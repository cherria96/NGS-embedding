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학회/2026/ICAE/paper/"/>
    </mc:Choice>
  </mc:AlternateContent>
  <xr:revisionPtr revIDLastSave="0" documentId="8_{0D66348B-6138-4F22-8DC0-A889CAA38764}" xr6:coauthVersionLast="47" xr6:coauthVersionMax="47" xr10:uidLastSave="{00000000-0000-0000-0000-000000000000}"/>
  <bookViews>
    <workbookView xWindow="-28920" yWindow="-1440" windowWidth="29040" windowHeight="15840" firstSheet="1" activeTab="1" xr2:uid="{00000000-000D-0000-FFFF-FFFF00000000}"/>
  </bookViews>
  <sheets>
    <sheet name="README" sheetId="1" r:id="rId1"/>
    <sheet name="Summary" sheetId="8" r:id="rId2"/>
    <sheet name="Genus_PerFlag" sheetId="2" r:id="rId3"/>
    <sheet name="Genus_MacroAvg" sheetId="3" r:id="rId4"/>
    <sheet name="TaxLevel_PerFlag" sheetId="4" r:id="rId5"/>
    <sheet name="TaxLevel_MacroAvg" sheetId="5" r:id="rId6"/>
    <sheet name="Combined_MacroAvg" sheetId="6" r:id="rId7"/>
    <sheet name="Label_Support" sheetId="7" r:id="rId8"/>
  </sheets>
  <definedNames>
    <definedName name="_xlnm._FilterDatabase" localSheetId="4" hidden="1">TaxLevel_PerFlag!$A$1:$AE$451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6" i="8" l="1"/>
  <c r="AO16" i="8"/>
  <c r="AP16" i="8"/>
  <c r="AQ16" i="8"/>
  <c r="AR16" i="8"/>
  <c r="AN17" i="8"/>
  <c r="AO17" i="8"/>
  <c r="AP17" i="8"/>
  <c r="AQ17" i="8"/>
  <c r="AR17" i="8"/>
  <c r="AN18" i="8"/>
  <c r="AN21" i="8" s="1"/>
  <c r="AO18" i="8"/>
  <c r="AP18" i="8"/>
  <c r="AQ18" i="8"/>
  <c r="AQ21" i="8" s="1"/>
  <c r="AR18" i="8"/>
  <c r="AR21" i="8" s="1"/>
  <c r="AN19" i="8"/>
  <c r="AO19" i="8"/>
  <c r="AP19" i="8"/>
  <c r="AQ19" i="8"/>
  <c r="AR19" i="8"/>
  <c r="AN20" i="8"/>
  <c r="AO20" i="8"/>
  <c r="AP20" i="8"/>
  <c r="AP21" i="8" s="1"/>
  <c r="AQ20" i="8"/>
  <c r="AR20" i="8"/>
  <c r="AI16" i="8"/>
  <c r="AJ16" i="8"/>
  <c r="AK16" i="8"/>
  <c r="AL16" i="8"/>
  <c r="AM16" i="8"/>
  <c r="AI17" i="8"/>
  <c r="AJ17" i="8"/>
  <c r="AK17" i="8"/>
  <c r="AL17" i="8"/>
  <c r="AM17" i="8"/>
  <c r="AI18" i="8"/>
  <c r="AJ18" i="8"/>
  <c r="AK18" i="8"/>
  <c r="AL18" i="8"/>
  <c r="AL21" i="8" s="1"/>
  <c r="AM18" i="8"/>
  <c r="AM21" i="8" s="1"/>
  <c r="AI19" i="8"/>
  <c r="AI21" i="8" s="1"/>
  <c r="AJ19" i="8"/>
  <c r="AJ21" i="8" s="1"/>
  <c r="AK19" i="8"/>
  <c r="AL19" i="8"/>
  <c r="AM19" i="8"/>
  <c r="AI20" i="8"/>
  <c r="AJ20" i="8"/>
  <c r="AK20" i="8"/>
  <c r="AK21" i="8" s="1"/>
  <c r="AL20" i="8"/>
  <c r="AM20" i="8"/>
  <c r="AD16" i="8"/>
  <c r="AE16" i="8"/>
  <c r="AF16" i="8"/>
  <c r="AG16" i="8"/>
  <c r="AH16" i="8"/>
  <c r="AD17" i="8"/>
  <c r="AE17" i="8"/>
  <c r="AF17" i="8"/>
  <c r="AG17" i="8"/>
  <c r="AH17" i="8"/>
  <c r="AD18" i="8"/>
  <c r="AE18" i="8"/>
  <c r="AF18" i="8"/>
  <c r="AG18" i="8"/>
  <c r="AG21" i="8" s="1"/>
  <c r="AH18" i="8"/>
  <c r="AH21" i="8" s="1"/>
  <c r="AD19" i="8"/>
  <c r="AD21" i="8" s="1"/>
  <c r="AE19" i="8"/>
  <c r="AF19" i="8"/>
  <c r="AG19" i="8"/>
  <c r="AH19" i="8"/>
  <c r="AD20" i="8"/>
  <c r="AE20" i="8"/>
  <c r="AE21" i="8" s="1"/>
  <c r="AF20" i="8"/>
  <c r="AF21" i="8" s="1"/>
  <c r="AG20" i="8"/>
  <c r="AH20" i="8"/>
  <c r="AN10" i="8"/>
  <c r="AO10" i="8"/>
  <c r="AP10" i="8"/>
  <c r="AQ10" i="8"/>
  <c r="AR10" i="8"/>
  <c r="AN11" i="8"/>
  <c r="AO11" i="8"/>
  <c r="AP11" i="8"/>
  <c r="AQ11" i="8"/>
  <c r="AR11" i="8"/>
  <c r="AN12" i="8"/>
  <c r="AO12" i="8"/>
  <c r="AP12" i="8"/>
  <c r="AQ12" i="8"/>
  <c r="AR12" i="8"/>
  <c r="AR15" i="8" s="1"/>
  <c r="AN13" i="8"/>
  <c r="AO13" i="8"/>
  <c r="AO15" i="8" s="1"/>
  <c r="AP13" i="8"/>
  <c r="AQ13" i="8"/>
  <c r="AQ15" i="8" s="1"/>
  <c r="AR13" i="8"/>
  <c r="AN14" i="8"/>
  <c r="AN15" i="8" s="1"/>
  <c r="AO14" i="8"/>
  <c r="AP14" i="8"/>
  <c r="AQ14" i="8"/>
  <c r="AR14" i="8"/>
  <c r="AI10" i="8"/>
  <c r="AJ10" i="8"/>
  <c r="AK10" i="8"/>
  <c r="AL10" i="8"/>
  <c r="AM10" i="8"/>
  <c r="AI11" i="8"/>
  <c r="AJ11" i="8"/>
  <c r="AK11" i="8"/>
  <c r="AL11" i="8"/>
  <c r="AM11" i="8"/>
  <c r="AI12" i="8"/>
  <c r="AI15" i="8" s="1"/>
  <c r="AJ12" i="8"/>
  <c r="AK12" i="8"/>
  <c r="AL12" i="8"/>
  <c r="AL15" i="8" s="1"/>
  <c r="AM12" i="8"/>
  <c r="AI13" i="8"/>
  <c r="AJ13" i="8"/>
  <c r="AJ15" i="8" s="1"/>
  <c r="AK13" i="8"/>
  <c r="AL13" i="8"/>
  <c r="AM13" i="8"/>
  <c r="AM15" i="8" s="1"/>
  <c r="AI14" i="8"/>
  <c r="AJ14" i="8"/>
  <c r="AK14" i="8"/>
  <c r="AK15" i="8" s="1"/>
  <c r="AL14" i="8"/>
  <c r="AM14" i="8"/>
  <c r="AD10" i="8"/>
  <c r="AE10" i="8"/>
  <c r="AF10" i="8"/>
  <c r="AG10" i="8"/>
  <c r="AH10" i="8"/>
  <c r="AD11" i="8"/>
  <c r="AE11" i="8"/>
  <c r="AF11" i="8"/>
  <c r="AG11" i="8"/>
  <c r="AH11" i="8"/>
  <c r="AD12" i="8"/>
  <c r="AE12" i="8"/>
  <c r="AF12" i="8"/>
  <c r="AG12" i="8"/>
  <c r="AH12" i="8"/>
  <c r="AH15" i="8" s="1"/>
  <c r="AD13" i="8"/>
  <c r="AD15" i="8" s="1"/>
  <c r="AE13" i="8"/>
  <c r="AE15" i="8" s="1"/>
  <c r="AF13" i="8"/>
  <c r="AG13" i="8"/>
  <c r="AH13" i="8"/>
  <c r="AD14" i="8"/>
  <c r="AE14" i="8"/>
  <c r="AF14" i="8"/>
  <c r="AF15" i="8" s="1"/>
  <c r="AG14" i="8"/>
  <c r="AH14" i="8"/>
  <c r="AN4" i="8"/>
  <c r="AO4" i="8"/>
  <c r="AP4" i="8"/>
  <c r="AQ4" i="8"/>
  <c r="AR4" i="8"/>
  <c r="AR9" i="8" s="1"/>
  <c r="AN5" i="8"/>
  <c r="AO5" i="8"/>
  <c r="AP5" i="8"/>
  <c r="AQ5" i="8"/>
  <c r="AR5" i="8"/>
  <c r="AN6" i="8"/>
  <c r="AO6" i="8"/>
  <c r="AP6" i="8"/>
  <c r="AQ6" i="8"/>
  <c r="AQ9" i="8" s="1"/>
  <c r="AR6" i="8"/>
  <c r="AN7" i="8"/>
  <c r="AO7" i="8"/>
  <c r="AO9" i="8" s="1"/>
  <c r="AP7" i="8"/>
  <c r="AP9" i="8" s="1"/>
  <c r="AQ7" i="8"/>
  <c r="AR7" i="8"/>
  <c r="AN8" i="8"/>
  <c r="AN9" i="8" s="1"/>
  <c r="AO8" i="8"/>
  <c r="AP8" i="8"/>
  <c r="AQ8" i="8"/>
  <c r="AR8" i="8"/>
  <c r="AI4" i="8"/>
  <c r="AJ4" i="8"/>
  <c r="AK4" i="8"/>
  <c r="AL4" i="8"/>
  <c r="AM4" i="8"/>
  <c r="AI5" i="8"/>
  <c r="AJ5" i="8"/>
  <c r="AK5" i="8"/>
  <c r="AL5" i="8"/>
  <c r="AM5" i="8"/>
  <c r="AI6" i="8"/>
  <c r="AI9" i="8" s="1"/>
  <c r="AJ6" i="8"/>
  <c r="AK6" i="8"/>
  <c r="AL6" i="8"/>
  <c r="AL9" i="8" s="1"/>
  <c r="AM6" i="8"/>
  <c r="AM9" i="8" s="1"/>
  <c r="AI7" i="8"/>
  <c r="AJ7" i="8"/>
  <c r="AK7" i="8"/>
  <c r="AL7" i="8"/>
  <c r="AM7" i="8"/>
  <c r="AI8" i="8"/>
  <c r="AJ8" i="8"/>
  <c r="AJ9" i="8" s="1"/>
  <c r="AK8" i="8"/>
  <c r="AK9" i="8" s="1"/>
  <c r="AL8" i="8"/>
  <c r="AM8" i="8"/>
  <c r="AD4" i="8"/>
  <c r="AE4" i="8"/>
  <c r="AF4" i="8"/>
  <c r="AG4" i="8"/>
  <c r="AH4" i="8"/>
  <c r="AD5" i="8"/>
  <c r="AE5" i="8"/>
  <c r="AF5" i="8"/>
  <c r="AG5" i="8"/>
  <c r="AG9" i="8" s="1"/>
  <c r="AH5" i="8"/>
  <c r="AD6" i="8"/>
  <c r="AD9" i="8" s="1"/>
  <c r="AE6" i="8"/>
  <c r="AF6" i="8"/>
  <c r="AG6" i="8"/>
  <c r="AH6" i="8"/>
  <c r="AH9" i="8" s="1"/>
  <c r="AD7" i="8"/>
  <c r="AE7" i="8"/>
  <c r="AF7" i="8"/>
  <c r="AF9" i="8" s="1"/>
  <c r="AG7" i="8"/>
  <c r="AH7" i="8"/>
  <c r="AD8" i="8"/>
  <c r="AE8" i="8"/>
  <c r="AE9" i="8" s="1"/>
  <c r="AF8" i="8"/>
  <c r="AG8" i="8"/>
  <c r="AH8" i="8"/>
  <c r="AO21" i="8"/>
  <c r="AP15" i="8"/>
  <c r="AG15" i="8"/>
  <c r="T41" i="8"/>
  <c r="S41" i="8"/>
  <c r="R41" i="8"/>
  <c r="Q41" i="8"/>
  <c r="P41" i="8"/>
  <c r="T40" i="8"/>
  <c r="S40" i="8"/>
  <c r="R40" i="8"/>
  <c r="Q40" i="8"/>
  <c r="P40" i="8"/>
  <c r="T39" i="8"/>
  <c r="S39" i="8"/>
  <c r="R39" i="8"/>
  <c r="Q39" i="8"/>
  <c r="P39" i="8"/>
  <c r="T38" i="8"/>
  <c r="S38" i="8"/>
  <c r="R38" i="8"/>
  <c r="Q38" i="8"/>
  <c r="P38" i="8"/>
  <c r="T37" i="8"/>
  <c r="S37" i="8"/>
  <c r="S42" i="8" s="1"/>
  <c r="R37" i="8"/>
  <c r="R42" i="8" s="1"/>
  <c r="Q37" i="8"/>
  <c r="O41" i="8"/>
  <c r="N41" i="8"/>
  <c r="M41" i="8"/>
  <c r="L41" i="8"/>
  <c r="K41" i="8"/>
  <c r="O40" i="8"/>
  <c r="N40" i="8"/>
  <c r="M40" i="8"/>
  <c r="L40" i="8"/>
  <c r="K40" i="8"/>
  <c r="O39" i="8"/>
  <c r="N39" i="8"/>
  <c r="M39" i="8"/>
  <c r="L39" i="8"/>
  <c r="K39" i="8"/>
  <c r="O38" i="8"/>
  <c r="N38" i="8"/>
  <c r="M38" i="8"/>
  <c r="L38" i="8"/>
  <c r="K38" i="8"/>
  <c r="O37" i="8"/>
  <c r="N37" i="8"/>
  <c r="M37" i="8"/>
  <c r="M42" i="8" s="1"/>
  <c r="L37" i="8"/>
  <c r="J41" i="8"/>
  <c r="I41" i="8"/>
  <c r="H41" i="8"/>
  <c r="G41" i="8"/>
  <c r="F41" i="8"/>
  <c r="J40" i="8"/>
  <c r="I40" i="8"/>
  <c r="H40" i="8"/>
  <c r="G40" i="8"/>
  <c r="F40" i="8"/>
  <c r="J39" i="8"/>
  <c r="I39" i="8"/>
  <c r="H39" i="8"/>
  <c r="G39" i="8"/>
  <c r="F39" i="8"/>
  <c r="J38" i="8"/>
  <c r="I38" i="8"/>
  <c r="H38" i="8"/>
  <c r="G38" i="8"/>
  <c r="F38" i="8"/>
  <c r="J37" i="8"/>
  <c r="I37" i="8"/>
  <c r="H37" i="8"/>
  <c r="H42" i="8" s="1"/>
  <c r="G37" i="8"/>
  <c r="T35" i="8"/>
  <c r="S35" i="8"/>
  <c r="R35" i="8"/>
  <c r="Q35" i="8"/>
  <c r="P35" i="8"/>
  <c r="T34" i="8"/>
  <c r="S34" i="8"/>
  <c r="R34" i="8"/>
  <c r="Q34" i="8"/>
  <c r="P34" i="8"/>
  <c r="T33" i="8"/>
  <c r="T36" i="8" s="1"/>
  <c r="S33" i="8"/>
  <c r="R33" i="8"/>
  <c r="Q33" i="8"/>
  <c r="P33" i="8"/>
  <c r="T32" i="8"/>
  <c r="S32" i="8"/>
  <c r="R32" i="8"/>
  <c r="Q32" i="8"/>
  <c r="P32" i="8"/>
  <c r="T31" i="8"/>
  <c r="S31" i="8"/>
  <c r="R31" i="8"/>
  <c r="R36" i="8" s="1"/>
  <c r="Q31" i="8"/>
  <c r="O35" i="8"/>
  <c r="N35" i="8"/>
  <c r="M35" i="8"/>
  <c r="L35" i="8"/>
  <c r="K35" i="8"/>
  <c r="O34" i="8"/>
  <c r="N34" i="8"/>
  <c r="M34" i="8"/>
  <c r="L34" i="8"/>
  <c r="K34" i="8"/>
  <c r="O33" i="8"/>
  <c r="O36" i="8" s="1"/>
  <c r="N33" i="8"/>
  <c r="M33" i="8"/>
  <c r="L33" i="8"/>
  <c r="K33" i="8"/>
  <c r="O32" i="8"/>
  <c r="N32" i="8"/>
  <c r="M32" i="8"/>
  <c r="L32" i="8"/>
  <c r="K32" i="8"/>
  <c r="O31" i="8"/>
  <c r="N31" i="8"/>
  <c r="N36" i="8" s="1"/>
  <c r="M31" i="8"/>
  <c r="M36" i="8" s="1"/>
  <c r="L31" i="8"/>
  <c r="J35" i="8"/>
  <c r="I35" i="8"/>
  <c r="H35" i="8"/>
  <c r="G35" i="8"/>
  <c r="F35" i="8"/>
  <c r="J34" i="8"/>
  <c r="I34" i="8"/>
  <c r="H34" i="8"/>
  <c r="G34" i="8"/>
  <c r="G36" i="8" s="1"/>
  <c r="F34" i="8"/>
  <c r="J33" i="8"/>
  <c r="I33" i="8"/>
  <c r="H33" i="8"/>
  <c r="G33" i="8"/>
  <c r="F33" i="8"/>
  <c r="J32" i="8"/>
  <c r="I32" i="8"/>
  <c r="H32" i="8"/>
  <c r="G32" i="8"/>
  <c r="F32" i="8"/>
  <c r="J31" i="8"/>
  <c r="I31" i="8"/>
  <c r="I36" i="8" s="1"/>
  <c r="H31" i="8"/>
  <c r="H36" i="8" s="1"/>
  <c r="G31" i="8"/>
  <c r="T29" i="8"/>
  <c r="S29" i="8"/>
  <c r="R29" i="8"/>
  <c r="Q29" i="8"/>
  <c r="P29" i="8"/>
  <c r="T28" i="8"/>
  <c r="S28" i="8"/>
  <c r="R28" i="8"/>
  <c r="Q28" i="8"/>
  <c r="P28" i="8"/>
  <c r="T27" i="8"/>
  <c r="S27" i="8"/>
  <c r="R27" i="8"/>
  <c r="Q27" i="8"/>
  <c r="P27" i="8"/>
  <c r="T26" i="8"/>
  <c r="S26" i="8"/>
  <c r="R26" i="8"/>
  <c r="Q26" i="8"/>
  <c r="P26" i="8"/>
  <c r="T25" i="8"/>
  <c r="S25" i="8"/>
  <c r="R25" i="8"/>
  <c r="R30" i="8" s="1"/>
  <c r="Q25" i="8"/>
  <c r="O29" i="8"/>
  <c r="N29" i="8"/>
  <c r="M29" i="8"/>
  <c r="L29" i="8"/>
  <c r="K29" i="8"/>
  <c r="O28" i="8"/>
  <c r="N28" i="8"/>
  <c r="M28" i="8"/>
  <c r="L28" i="8"/>
  <c r="K28" i="8"/>
  <c r="O27" i="8"/>
  <c r="N27" i="8"/>
  <c r="M27" i="8"/>
  <c r="L27" i="8"/>
  <c r="K27" i="8"/>
  <c r="O26" i="8"/>
  <c r="N26" i="8"/>
  <c r="M26" i="8"/>
  <c r="L26" i="8"/>
  <c r="K26" i="8"/>
  <c r="O25" i="8"/>
  <c r="N25" i="8"/>
  <c r="N30" i="8" s="1"/>
  <c r="M25" i="8"/>
  <c r="M30" i="8" s="1"/>
  <c r="L25" i="8"/>
  <c r="J29" i="8"/>
  <c r="I29" i="8"/>
  <c r="H29" i="8"/>
  <c r="G29" i="8"/>
  <c r="F29" i="8"/>
  <c r="J28" i="8"/>
  <c r="I28" i="8"/>
  <c r="H28" i="8"/>
  <c r="G28" i="8"/>
  <c r="F28" i="8"/>
  <c r="J27" i="8"/>
  <c r="I27" i="8"/>
  <c r="H27" i="8"/>
  <c r="G27" i="8"/>
  <c r="F27" i="8"/>
  <c r="J26" i="8"/>
  <c r="I26" i="8"/>
  <c r="H26" i="8"/>
  <c r="G26" i="8"/>
  <c r="F26" i="8"/>
  <c r="J25" i="8"/>
  <c r="I25" i="8"/>
  <c r="I30" i="8" s="1"/>
  <c r="H25" i="8"/>
  <c r="H30" i="8" s="1"/>
  <c r="G25" i="8"/>
  <c r="P37" i="8"/>
  <c r="K37" i="8"/>
  <c r="F37" i="8"/>
  <c r="P31" i="8"/>
  <c r="P36" i="8" s="1"/>
  <c r="K31" i="8"/>
  <c r="F31" i="8"/>
  <c r="P25" i="8"/>
  <c r="K25" i="8"/>
  <c r="F25" i="8"/>
  <c r="T20" i="8"/>
  <c r="S20" i="8"/>
  <c r="R20" i="8"/>
  <c r="Q20" i="8"/>
  <c r="P20" i="8"/>
  <c r="T19" i="8"/>
  <c r="S19" i="8"/>
  <c r="R19" i="8"/>
  <c r="Q19" i="8"/>
  <c r="P19" i="8"/>
  <c r="T18" i="8"/>
  <c r="S18" i="8"/>
  <c r="R18" i="8"/>
  <c r="Q18" i="8"/>
  <c r="P18" i="8"/>
  <c r="T17" i="8"/>
  <c r="S17" i="8"/>
  <c r="R17" i="8"/>
  <c r="Q17" i="8"/>
  <c r="P17" i="8"/>
  <c r="T16" i="8"/>
  <c r="S16" i="8"/>
  <c r="R16" i="8"/>
  <c r="Q16" i="8"/>
  <c r="O20" i="8"/>
  <c r="N20" i="8"/>
  <c r="M20" i="8"/>
  <c r="L20" i="8"/>
  <c r="K20" i="8"/>
  <c r="O19" i="8"/>
  <c r="N19" i="8"/>
  <c r="M19" i="8"/>
  <c r="L19" i="8"/>
  <c r="K19" i="8"/>
  <c r="O18" i="8"/>
  <c r="N18" i="8"/>
  <c r="M18" i="8"/>
  <c r="L18" i="8"/>
  <c r="K18" i="8"/>
  <c r="O17" i="8"/>
  <c r="N17" i="8"/>
  <c r="M17" i="8"/>
  <c r="L17" i="8"/>
  <c r="K17" i="8"/>
  <c r="O16" i="8"/>
  <c r="N16" i="8"/>
  <c r="M16" i="8"/>
  <c r="L16" i="8"/>
  <c r="J20" i="8"/>
  <c r="I20" i="8"/>
  <c r="H20" i="8"/>
  <c r="G20" i="8"/>
  <c r="F20" i="8"/>
  <c r="J19" i="8"/>
  <c r="I19" i="8"/>
  <c r="H19" i="8"/>
  <c r="G19" i="8"/>
  <c r="F19" i="8"/>
  <c r="J18" i="8"/>
  <c r="I18" i="8"/>
  <c r="H18" i="8"/>
  <c r="G18" i="8"/>
  <c r="F18" i="8"/>
  <c r="J17" i="8"/>
  <c r="I17" i="8"/>
  <c r="H17" i="8"/>
  <c r="G17" i="8"/>
  <c r="F17" i="8"/>
  <c r="J16" i="8"/>
  <c r="I16" i="8"/>
  <c r="H16" i="8"/>
  <c r="G16" i="8"/>
  <c r="T14" i="8"/>
  <c r="S14" i="8"/>
  <c r="R14" i="8"/>
  <c r="Q14" i="8"/>
  <c r="P14" i="8"/>
  <c r="T13" i="8"/>
  <c r="S13" i="8"/>
  <c r="R13" i="8"/>
  <c r="Q13" i="8"/>
  <c r="P13" i="8"/>
  <c r="T12" i="8"/>
  <c r="S12" i="8"/>
  <c r="R12" i="8"/>
  <c r="Q12" i="8"/>
  <c r="P12" i="8"/>
  <c r="T11" i="8"/>
  <c r="S11" i="8"/>
  <c r="R11" i="8"/>
  <c r="Q11" i="8"/>
  <c r="P11" i="8"/>
  <c r="T10" i="8"/>
  <c r="S10" i="8"/>
  <c r="R10" i="8"/>
  <c r="Q10" i="8"/>
  <c r="O14" i="8"/>
  <c r="N14" i="8"/>
  <c r="M14" i="8"/>
  <c r="L14" i="8"/>
  <c r="K14" i="8"/>
  <c r="O13" i="8"/>
  <c r="N13" i="8"/>
  <c r="M13" i="8"/>
  <c r="L13" i="8"/>
  <c r="K13" i="8"/>
  <c r="O12" i="8"/>
  <c r="N12" i="8"/>
  <c r="M12" i="8"/>
  <c r="L12" i="8"/>
  <c r="K12" i="8"/>
  <c r="O11" i="8"/>
  <c r="N11" i="8"/>
  <c r="M11" i="8"/>
  <c r="L11" i="8"/>
  <c r="K11" i="8"/>
  <c r="O10" i="8"/>
  <c r="N10" i="8"/>
  <c r="M10" i="8"/>
  <c r="L10" i="8"/>
  <c r="J14" i="8"/>
  <c r="I14" i="8"/>
  <c r="H14" i="8"/>
  <c r="G14" i="8"/>
  <c r="F14" i="8"/>
  <c r="J13" i="8"/>
  <c r="I13" i="8"/>
  <c r="H13" i="8"/>
  <c r="G13" i="8"/>
  <c r="F13" i="8"/>
  <c r="J12" i="8"/>
  <c r="I12" i="8"/>
  <c r="H12" i="8"/>
  <c r="G12" i="8"/>
  <c r="F12" i="8"/>
  <c r="J11" i="8"/>
  <c r="I11" i="8"/>
  <c r="H11" i="8"/>
  <c r="G11" i="8"/>
  <c r="F11" i="8"/>
  <c r="J10" i="8"/>
  <c r="I10" i="8"/>
  <c r="H10" i="8"/>
  <c r="G10" i="8"/>
  <c r="P16" i="8"/>
  <c r="K16" i="8"/>
  <c r="F16" i="8"/>
  <c r="P10" i="8"/>
  <c r="K10" i="8"/>
  <c r="F10" i="8"/>
  <c r="T8" i="8"/>
  <c r="S8" i="8"/>
  <c r="R8" i="8"/>
  <c r="Q8" i="8"/>
  <c r="P8" i="8"/>
  <c r="T7" i="8"/>
  <c r="S7" i="8"/>
  <c r="R7" i="8"/>
  <c r="Q7" i="8"/>
  <c r="P7" i="8"/>
  <c r="T6" i="8"/>
  <c r="S6" i="8"/>
  <c r="R6" i="8"/>
  <c r="Q6" i="8"/>
  <c r="P6" i="8"/>
  <c r="T5" i="8"/>
  <c r="S5" i="8"/>
  <c r="R5" i="8"/>
  <c r="Q5" i="8"/>
  <c r="P5" i="8"/>
  <c r="T4" i="8"/>
  <c r="S4" i="8"/>
  <c r="R4" i="8"/>
  <c r="Q4" i="8"/>
  <c r="O8" i="8"/>
  <c r="N8" i="8"/>
  <c r="M8" i="8"/>
  <c r="L8" i="8"/>
  <c r="K8" i="8"/>
  <c r="O7" i="8"/>
  <c r="N7" i="8"/>
  <c r="M7" i="8"/>
  <c r="L7" i="8"/>
  <c r="K7" i="8"/>
  <c r="O6" i="8"/>
  <c r="N6" i="8"/>
  <c r="M6" i="8"/>
  <c r="L6" i="8"/>
  <c r="K6" i="8"/>
  <c r="O5" i="8"/>
  <c r="N5" i="8"/>
  <c r="M5" i="8"/>
  <c r="L5" i="8"/>
  <c r="K5" i="8"/>
  <c r="O4" i="8"/>
  <c r="N4" i="8"/>
  <c r="M4" i="8"/>
  <c r="L4" i="8"/>
  <c r="J8" i="8"/>
  <c r="I8" i="8"/>
  <c r="H8" i="8"/>
  <c r="G8" i="8"/>
  <c r="F8" i="8"/>
  <c r="J7" i="8"/>
  <c r="I7" i="8"/>
  <c r="H7" i="8"/>
  <c r="G7" i="8"/>
  <c r="F7" i="8"/>
  <c r="J6" i="8"/>
  <c r="I6" i="8"/>
  <c r="H6" i="8"/>
  <c r="G6" i="8"/>
  <c r="F6" i="8"/>
  <c r="J5" i="8"/>
  <c r="I5" i="8"/>
  <c r="H5" i="8"/>
  <c r="G5" i="8"/>
  <c r="F5" i="8"/>
  <c r="J4" i="8"/>
  <c r="I4" i="8"/>
  <c r="H4" i="8"/>
  <c r="G4" i="8"/>
  <c r="P4" i="8"/>
  <c r="K4" i="8"/>
  <c r="F4" i="8"/>
  <c r="N42" i="8"/>
  <c r="L42" i="8"/>
  <c r="S36" i="8"/>
  <c r="Q36" i="8"/>
  <c r="S30" i="8"/>
  <c r="Q21" i="8" l="1"/>
  <c r="Q9" i="8"/>
  <c r="S15" i="8"/>
  <c r="G9" i="8"/>
  <c r="J9" i="8"/>
  <c r="O9" i="8"/>
  <c r="T9" i="8"/>
  <c r="L36" i="8"/>
  <c r="T30" i="8"/>
  <c r="O42" i="8"/>
  <c r="T42" i="8"/>
  <c r="H15" i="8"/>
  <c r="M15" i="8"/>
  <c r="R15" i="8"/>
  <c r="H21" i="8"/>
  <c r="M21" i="8"/>
  <c r="O21" i="8"/>
  <c r="R21" i="8"/>
  <c r="I15" i="8"/>
  <c r="N15" i="8"/>
  <c r="N21" i="8"/>
  <c r="S21" i="8"/>
  <c r="L30" i="8"/>
  <c r="Q42" i="8"/>
  <c r="L21" i="8"/>
  <c r="O30" i="8"/>
  <c r="J15" i="8"/>
  <c r="O15" i="8"/>
  <c r="T15" i="8"/>
  <c r="J21" i="8"/>
  <c r="T21" i="8"/>
  <c r="F36" i="8"/>
  <c r="L15" i="8"/>
  <c r="J36" i="8"/>
  <c r="J42" i="8"/>
  <c r="F9" i="8"/>
  <c r="L9" i="8"/>
  <c r="I42" i="8"/>
  <c r="G21" i="8"/>
  <c r="G15" i="8"/>
  <c r="J30" i="8"/>
  <c r="Q15" i="8"/>
  <c r="H9" i="8"/>
  <c r="M9" i="8"/>
  <c r="R9" i="8"/>
  <c r="I21" i="8"/>
  <c r="G30" i="8"/>
  <c r="Q30" i="8"/>
  <c r="G42" i="8"/>
  <c r="I9" i="8"/>
  <c r="N9" i="8"/>
  <c r="S9" i="8"/>
  <c r="P42" i="8"/>
  <c r="K42" i="8"/>
  <c r="F42" i="8"/>
  <c r="K36" i="8"/>
  <c r="P30" i="8"/>
  <c r="K30" i="8"/>
  <c r="F30" i="8"/>
  <c r="P21" i="8"/>
  <c r="K21" i="8"/>
  <c r="F21" i="8"/>
  <c r="P15" i="8"/>
  <c r="K15" i="8"/>
  <c r="F15" i="8"/>
  <c r="P9" i="8"/>
  <c r="K9" i="8"/>
</calcChain>
</file>

<file path=xl/sharedStrings.xml><?xml version="1.0" encoding="utf-8"?>
<sst xmlns="http://schemas.openxmlformats.org/spreadsheetml/2006/main" count="3242" uniqueCount="113">
  <si>
    <t>Field</t>
  </si>
  <si>
    <t>Value</t>
  </si>
  <si>
    <t>Baseline_summary_result.xlsx</t>
  </si>
  <si>
    <t>Source</t>
  </si>
  <si>
    <t>Phylospec/multi_models/results/{site_grouped_cv, site_grouped_cv_taxlevel}</t>
  </si>
  <si>
    <t>Generated</t>
  </si>
  <si>
    <t>2026-09-10</t>
  </si>
  <si>
    <t>Sheet</t>
  </si>
  <si>
    <t>Description</t>
  </si>
  <si>
    <t>README</t>
  </si>
  <si>
    <t>This sheet.</t>
  </si>
  <si>
    <t>Genus_PerFlag</t>
  </si>
  <si>
    <t>Per-label (flag) CV results at genus level for the advanced/embedding models: CNN, DeepPhylo, MetaDR, PMCNN, PhyloSpec, RF.</t>
  </si>
  <si>
    <t>Genus_MacroAvg</t>
  </si>
  <si>
    <t>Macro-averaged (across labels) results per domain x model, genus level.</t>
  </si>
  <si>
    <t>TaxLevel_PerFlag</t>
  </si>
  <si>
    <t>Per-label (flag) CV results across taxonomic levels (Phylum/Class/Order/Family/Genus) for classical baselines: GLMNET, KNN, NNET, RF, SVM, XGBoost.</t>
  </si>
  <si>
    <t>TaxLevel_MacroAvg</t>
  </si>
  <si>
    <t>Macro-averaged results per taxonomic level x domain x model.</t>
  </si>
  <si>
    <t>Combined_MacroAvg</t>
  </si>
  <si>
    <t>Genus_MacroAvg and TaxLevel_MacroAvg stacked for cross-experiment / cross-model comparison.</t>
  </si>
  <si>
    <t>Label_Support</t>
  </si>
  <si>
    <t>Number of positive samples/sites and total sites per label (flag), per domain. Identical across taxonomic levels.</t>
  </si>
  <si>
    <t>Column notes</t>
  </si>
  <si>
    <t>domain</t>
  </si>
  <si>
    <t>Dataset: ARC (archaea), BAC (bacteria), merged (ARC+BAC).</t>
  </si>
  <si>
    <t>flag</t>
  </si>
  <si>
    <t>Prediction target / warning label. 'MACRO' = macro-average across all flags.</t>
  </si>
  <si>
    <t>model</t>
  </si>
  <si>
    <t>Model name.</t>
  </si>
  <si>
    <t>level</t>
  </si>
  <si>
    <t>Taxonomic feature level used as model input (TaxLevel sheets only).</t>
  </si>
  <si>
    <t>n_pos / prevalence</t>
  </si>
  <si>
    <t>Number of positive samples and their prevalence for that flag.</t>
  </si>
  <si>
    <t>n_repeats_scored</t>
  </si>
  <si>
    <t>Number of CV repeats contributing to the metric.</t>
  </si>
  <si>
    <t>*_lo / *_hi</t>
  </si>
  <si>
    <t>Lower/upper bound of the bootstrap confidence interval for that metric.</t>
  </si>
  <si>
    <t>auprc_lift</t>
  </si>
  <si>
    <t>AUPRC divided by prevalence (lift over a random/no-skill baseline).</t>
  </si>
  <si>
    <t>n_pos</t>
  </si>
  <si>
    <t>prevalence</t>
  </si>
  <si>
    <t>auprc</t>
  </si>
  <si>
    <t>auprc_lo</t>
  </si>
  <si>
    <t>auprc_hi</t>
  </si>
  <si>
    <t>auprc_lift_lo</t>
  </si>
  <si>
    <t>auprc_lift_hi</t>
  </si>
  <si>
    <t>auroc</t>
  </si>
  <si>
    <t>auroc_lo</t>
  </si>
  <si>
    <t>auroc_hi</t>
  </si>
  <si>
    <t>mcc</t>
  </si>
  <si>
    <t>mcc_lo</t>
  </si>
  <si>
    <t>mcc_hi</t>
  </si>
  <si>
    <t>f2</t>
  </si>
  <si>
    <t>f2_lo</t>
  </si>
  <si>
    <t>f2_hi</t>
  </si>
  <si>
    <t>precision</t>
  </si>
  <si>
    <t>precision_lo</t>
  </si>
  <si>
    <t>precision_hi</t>
  </si>
  <si>
    <t>recall</t>
  </si>
  <si>
    <t>recall_lo</t>
  </si>
  <si>
    <t>recall_hi</t>
  </si>
  <si>
    <t>threshold</t>
  </si>
  <si>
    <t>threshold_lo</t>
  </si>
  <si>
    <t>threshold_hi</t>
  </si>
  <si>
    <t>ARC</t>
  </si>
  <si>
    <t>CNN</t>
  </si>
  <si>
    <t>acid_accumulation</t>
  </si>
  <si>
    <t>acid_base_balance</t>
  </si>
  <si>
    <t>ammonia_toxicity</t>
  </si>
  <si>
    <t>biogas_quality</t>
  </si>
  <si>
    <t>buffer_capacity</t>
  </si>
  <si>
    <t>DeepPhylo</t>
  </si>
  <si>
    <t>MetaDR</t>
  </si>
  <si>
    <t>PMCNN</t>
  </si>
  <si>
    <t>PhyloSpec</t>
  </si>
  <si>
    <t>RF</t>
  </si>
  <si>
    <t>BAC</t>
  </si>
  <si>
    <t>merged</t>
  </si>
  <si>
    <t>Phylum</t>
  </si>
  <si>
    <t>GLMNET</t>
  </si>
  <si>
    <t>KNN</t>
  </si>
  <si>
    <t>NNET</t>
  </si>
  <si>
    <t>SVM</t>
  </si>
  <si>
    <t>XGBoost</t>
  </si>
  <si>
    <t>Class</t>
  </si>
  <si>
    <t>Order</t>
  </si>
  <si>
    <t>Family</t>
  </si>
  <si>
    <t>Genus</t>
  </si>
  <si>
    <t>experiment</t>
  </si>
  <si>
    <t>Genus (advanced models)</t>
  </si>
  <si>
    <t>Taxonomic level (baseline models)</t>
  </si>
  <si>
    <t>label</t>
  </si>
  <si>
    <t>n_pos_samples</t>
  </si>
  <si>
    <t>n_pos_sites</t>
  </si>
  <si>
    <t>n_sites</t>
  </si>
  <si>
    <t>Dataset</t>
  </si>
  <si>
    <t>Flag</t>
  </si>
  <si>
    <t>MCC</t>
    <phoneticPr fontId="4" type="noConversion"/>
  </si>
  <si>
    <t>AUPR</t>
    <phoneticPr fontId="4" type="noConversion"/>
  </si>
  <si>
    <t>Macro-avg</t>
  </si>
  <si>
    <t>Phylospec</t>
  </si>
  <si>
    <t>DeepPhylo</t>
    <phoneticPr fontId="4" type="noConversion"/>
  </si>
  <si>
    <t>MetaDR</t>
    <phoneticPr fontId="4" type="noConversion"/>
  </si>
  <si>
    <t>RF</t>
    <phoneticPr fontId="4" type="noConversion"/>
  </si>
  <si>
    <t>Phylospec</t>
    <phoneticPr fontId="4" type="noConversion"/>
  </si>
  <si>
    <t>PMCNN</t>
    <phoneticPr fontId="4" type="noConversion"/>
  </si>
  <si>
    <t>F2</t>
    <phoneticPr fontId="4" type="noConversion"/>
  </si>
  <si>
    <t>1) TaxLevel</t>
  </si>
  <si>
    <t>1) TaxLevel</t>
    <phoneticPr fontId="2" type="noConversion"/>
  </si>
  <si>
    <t>2) Genus</t>
    <phoneticPr fontId="2" type="noConversion"/>
  </si>
  <si>
    <t>n_pos</t>
    <phoneticPr fontId="2" type="noConversion"/>
  </si>
  <si>
    <t>prevalence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</si>
</sst>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2" fontId="0" fillId="0" borderId="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6" fillId="2" borderId="8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0" borderId="2" xfId="0" applyNumberFormat="1" applyBorder="1"/>
    <xf numFmtId="2" fontId="1" fillId="2" borderId="9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16" xfId="0" applyBorder="1"/>
    <xf numFmtId="2" fontId="0" fillId="0" borderId="16" xfId="0" applyNumberFormat="1" applyBorder="1"/>
    <xf numFmtId="2" fontId="0" fillId="0" borderId="1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1" fillId="2" borderId="19" xfId="0" applyFont="1" applyFill="1" applyBorder="1"/>
    <xf numFmtId="2" fontId="1" fillId="2" borderId="19" xfId="0" applyNumberFormat="1" applyFont="1" applyFill="1" applyBorder="1"/>
    <xf numFmtId="2" fontId="1" fillId="2" borderId="10" xfId="0" applyNumberFormat="1" applyFont="1" applyFill="1" applyBorder="1" applyAlignment="1">
      <alignment horizontal="center" vertical="center"/>
    </xf>
    <xf numFmtId="2" fontId="7" fillId="2" borderId="8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EA47F6-7A41-440E-A52A-C690DE45C56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62ea616-be16-4ec0-9406-5a4e06f2877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pane ySplit="1" topLeftCell="A8" activePane="bottomLeft" state="frozen"/>
      <selection pane="bottomLeft" activeCell="H18" sqref="H18"/>
    </sheetView>
  </sheetViews>
  <sheetFormatPr defaultRowHeight="16.5"/>
  <cols>
    <col min="1" max="1" width="30" customWidth="1"/>
    <col min="2" max="2" width="4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6" spans="1:2">
      <c r="A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45B7-C8BF-4C4A-88D0-731873ED5E25}">
  <dimension ref="B1:AR87"/>
  <sheetViews>
    <sheetView tabSelected="1" workbookViewId="0">
      <selection activeCell="B1" sqref="B1:T42"/>
    </sheetView>
  </sheetViews>
  <sheetFormatPr defaultRowHeight="16.5"/>
  <cols>
    <col min="3" max="3" width="23" customWidth="1"/>
    <col min="4" max="4" width="7.75" customWidth="1"/>
    <col min="5" max="5" width="10.25" customWidth="1"/>
  </cols>
  <sheetData>
    <row r="1" spans="2:44" ht="17.25" thickBot="1">
      <c r="B1" t="s">
        <v>109</v>
      </c>
    </row>
    <row r="2" spans="2:44">
      <c r="B2" s="33" t="s">
        <v>96</v>
      </c>
      <c r="C2" s="35" t="s">
        <v>97</v>
      </c>
      <c r="D2" s="35" t="s">
        <v>111</v>
      </c>
      <c r="E2" s="35" t="s">
        <v>112</v>
      </c>
      <c r="F2" s="27" t="s">
        <v>98</v>
      </c>
      <c r="G2" s="28"/>
      <c r="H2" s="28"/>
      <c r="I2" s="28"/>
      <c r="J2" s="28"/>
      <c r="K2" s="27" t="s">
        <v>99</v>
      </c>
      <c r="L2" s="28"/>
      <c r="M2" s="28"/>
      <c r="N2" s="28"/>
      <c r="O2" s="28"/>
      <c r="P2" s="27" t="s">
        <v>107</v>
      </c>
      <c r="Q2" s="28"/>
      <c r="R2" s="28"/>
      <c r="S2" s="28"/>
      <c r="T2" s="29"/>
      <c r="Z2" s="33" t="s">
        <v>96</v>
      </c>
      <c r="AA2" s="35" t="s">
        <v>97</v>
      </c>
      <c r="AB2" s="35" t="s">
        <v>111</v>
      </c>
      <c r="AC2" s="35" t="s">
        <v>112</v>
      </c>
      <c r="AD2" s="27" t="s">
        <v>98</v>
      </c>
      <c r="AE2" s="28"/>
      <c r="AF2" s="28"/>
      <c r="AG2" s="28"/>
      <c r="AH2" s="28"/>
      <c r="AI2" s="27" t="s">
        <v>99</v>
      </c>
      <c r="AJ2" s="28"/>
      <c r="AK2" s="28"/>
      <c r="AL2" s="28"/>
      <c r="AM2" s="28"/>
      <c r="AN2" s="27" t="s">
        <v>107</v>
      </c>
      <c r="AO2" s="28"/>
      <c r="AP2" s="28"/>
      <c r="AQ2" s="28"/>
      <c r="AR2" s="29"/>
    </row>
    <row r="3" spans="2:44" ht="17.25" thickBot="1">
      <c r="B3" s="34"/>
      <c r="C3" s="36"/>
      <c r="D3" s="36"/>
      <c r="E3" s="36"/>
      <c r="F3" s="13" t="s">
        <v>79</v>
      </c>
      <c r="G3" s="14" t="s">
        <v>85</v>
      </c>
      <c r="H3" s="14" t="s">
        <v>86</v>
      </c>
      <c r="I3" s="14" t="s">
        <v>87</v>
      </c>
      <c r="J3" s="14" t="s">
        <v>88</v>
      </c>
      <c r="K3" s="13" t="s">
        <v>79</v>
      </c>
      <c r="L3" s="14" t="s">
        <v>85</v>
      </c>
      <c r="M3" s="14" t="s">
        <v>86</v>
      </c>
      <c r="N3" s="14" t="s">
        <v>87</v>
      </c>
      <c r="O3" s="14" t="s">
        <v>88</v>
      </c>
      <c r="P3" s="13" t="s">
        <v>79</v>
      </c>
      <c r="Q3" s="14" t="s">
        <v>85</v>
      </c>
      <c r="R3" s="14" t="s">
        <v>86</v>
      </c>
      <c r="S3" s="14" t="s">
        <v>87</v>
      </c>
      <c r="T3" s="15" t="s">
        <v>88</v>
      </c>
      <c r="Z3" s="34"/>
      <c r="AA3" s="36"/>
      <c r="AB3" s="36"/>
      <c r="AC3" s="36"/>
      <c r="AD3" s="13" t="s">
        <v>79</v>
      </c>
      <c r="AE3" s="14" t="s">
        <v>85</v>
      </c>
      <c r="AF3" s="14" t="s">
        <v>86</v>
      </c>
      <c r="AG3" s="14" t="s">
        <v>87</v>
      </c>
      <c r="AH3" s="14" t="s">
        <v>88</v>
      </c>
      <c r="AI3" s="13" t="s">
        <v>79</v>
      </c>
      <c r="AJ3" s="14" t="s">
        <v>85</v>
      </c>
      <c r="AK3" s="14" t="s">
        <v>86</v>
      </c>
      <c r="AL3" s="14" t="s">
        <v>87</v>
      </c>
      <c r="AM3" s="14" t="s">
        <v>88</v>
      </c>
      <c r="AN3" s="13" t="s">
        <v>79</v>
      </c>
      <c r="AO3" s="14" t="s">
        <v>85</v>
      </c>
      <c r="AP3" s="14" t="s">
        <v>86</v>
      </c>
      <c r="AQ3" s="14" t="s">
        <v>87</v>
      </c>
      <c r="AR3" s="15" t="s">
        <v>88</v>
      </c>
    </row>
    <row r="4" spans="2:44" ht="16.5" customHeight="1">
      <c r="B4" s="30" t="s">
        <v>65</v>
      </c>
      <c r="C4" s="16" t="s">
        <v>71</v>
      </c>
      <c r="D4" s="16">
        <v>9</v>
      </c>
      <c r="E4" s="17">
        <v>6.5217391304347797E-2</v>
      </c>
      <c r="F4" s="18">
        <f>_xlfn.MAXIFS(TaxLevel_PerFlag!$Q:$Q,TaxLevel_PerFlag!$A:$A,F$3,TaxLevel_PerFlag!$B:$B,$B$4,TaxLevel_PerFlag!$D:$D,$C4)</f>
        <v>5.7615480944813002E-2</v>
      </c>
      <c r="G4" s="19">
        <f>_xlfn.MAXIFS(TaxLevel_PerFlag!$Q:$Q,TaxLevel_PerFlag!$A:$A,G$3,TaxLevel_PerFlag!$B:$B,$B$4,TaxLevel_PerFlag!$D:$D,$C4)</f>
        <v>3.7926652335111201E-2</v>
      </c>
      <c r="H4" s="19">
        <f>_xlfn.MAXIFS(TaxLevel_PerFlag!$Q:$Q,TaxLevel_PerFlag!$A:$A,H$3,TaxLevel_PerFlag!$B:$B,$B$4,TaxLevel_PerFlag!$D:$D,$C4)</f>
        <v>4.1511953658977203E-2</v>
      </c>
      <c r="I4" s="19">
        <f>_xlfn.MAXIFS(TaxLevel_PerFlag!$Q:$Q,TaxLevel_PerFlag!$A:$A,I$3,TaxLevel_PerFlag!$B:$B,$B$4,TaxLevel_PerFlag!$D:$D,$C4)</f>
        <v>4.11589164817735E-2</v>
      </c>
      <c r="J4" s="19">
        <f>_xlfn.MAXIFS(TaxLevel_PerFlag!$Q:$Q,TaxLevel_PerFlag!$A:$A,J$3,TaxLevel_PerFlag!$B:$B,$B$4,TaxLevel_PerFlag!$D:$D,$C4)</f>
        <v>0.1092327908116477</v>
      </c>
      <c r="K4" s="18">
        <f>_xlfn.MAXIFS(TaxLevel_PerFlag!$H:$H,TaxLevel_PerFlag!$A:$A,K$3,TaxLevel_PerFlag!$B:$B,$B$4,TaxLevel_PerFlag!$D:$D,$C4)</f>
        <v>0.10632799799936719</v>
      </c>
      <c r="L4" s="19">
        <f>_xlfn.MAXIFS(TaxLevel_PerFlag!$H:$H,TaxLevel_PerFlag!$A:$A,L$3,TaxLevel_PerFlag!$B:$B,$B$4,TaxLevel_PerFlag!$D:$D,$C4)</f>
        <v>9.7759422962148304E-2</v>
      </c>
      <c r="M4" s="19">
        <f>_xlfn.MAXIFS(TaxLevel_PerFlag!$H:$H,TaxLevel_PerFlag!$A:$A,M$3,TaxLevel_PerFlag!$B:$B,$B$4,TaxLevel_PerFlag!$D:$D,$C4)</f>
        <v>0.1024699614711452</v>
      </c>
      <c r="N4" s="19">
        <f>_xlfn.MAXIFS(TaxLevel_PerFlag!$H:$H,TaxLevel_PerFlag!$A:$A,N$3,TaxLevel_PerFlag!$B:$B,$B$4,TaxLevel_PerFlag!$D:$D,$C4)</f>
        <v>0.1227899070584815</v>
      </c>
      <c r="O4" s="19">
        <f>_xlfn.MAXIFS(TaxLevel_PerFlag!$H:$H,TaxLevel_PerFlag!$A:$A,O$3,TaxLevel_PerFlag!$B:$B,$B$4,TaxLevel_PerFlag!$D:$D,$C4)</f>
        <v>0.11746651848616051</v>
      </c>
      <c r="P4" s="18">
        <f>_xlfn.MAXIFS(TaxLevel_PerFlag!$T:$T,TaxLevel_PerFlag!$A:$A,P$3,TaxLevel_PerFlag!$B:$B,$B$4,TaxLevel_PerFlag!$D:$D,$C4)</f>
        <v>0.25862068965517238</v>
      </c>
      <c r="Q4" s="19">
        <f>_xlfn.MAXIFS(TaxLevel_PerFlag!$T:$T,TaxLevel_PerFlag!$A:$A,Q$3,TaxLevel_PerFlag!$B:$B,$B$4,TaxLevel_PerFlag!$D:$D,$C4)</f>
        <v>0.25862068965517238</v>
      </c>
      <c r="R4" s="19">
        <f>_xlfn.MAXIFS(TaxLevel_PerFlag!$T:$T,TaxLevel_PerFlag!$A:$A,R$3,TaxLevel_PerFlag!$B:$B,$B$4,TaxLevel_PerFlag!$D:$D,$C4)</f>
        <v>0.26851765213178352</v>
      </c>
      <c r="S4" s="19">
        <f>_xlfn.MAXIFS(TaxLevel_PerFlag!$T:$T,TaxLevel_PerFlag!$A:$A,S$3,TaxLevel_PerFlag!$B:$B,$B$4,TaxLevel_PerFlag!$D:$D,$C4)</f>
        <v>0.2222115947392192</v>
      </c>
      <c r="T4" s="20">
        <f>_xlfn.MAXIFS(TaxLevel_PerFlag!$T:$T,TaxLevel_PerFlag!$A:$A,T$3,TaxLevel_PerFlag!$B:$B,$B$4,TaxLevel_PerFlag!$D:$D,$C4)</f>
        <v>0.27722369179192641</v>
      </c>
      <c r="V4" t="s">
        <v>71</v>
      </c>
      <c r="W4">
        <v>9</v>
      </c>
      <c r="X4">
        <v>6.5217391304347797E-2</v>
      </c>
      <c r="Z4" s="30" t="s">
        <v>65</v>
      </c>
      <c r="AA4" s="16" t="s">
        <v>71</v>
      </c>
      <c r="AB4" s="16">
        <v>9</v>
      </c>
      <c r="AC4" s="17">
        <v>6.5217391304347797E-2</v>
      </c>
      <c r="AD4" s="18">
        <f>SUMIFS(TaxLevel_PerFlag!$Q:$Q,TaxLevel_PerFlag!$A:$A,AD$3,TaxLevel_PerFlag!$B:$B,$Z$4,TaxLevel_PerFlag!$C:$C,"XGBoost",TaxLevel_PerFlag!$D:$D,$AA4)</f>
        <v>-0.11561046044644829</v>
      </c>
      <c r="AE4" s="19">
        <f>SUMIFS(TaxLevel_PerFlag!$Q:$Q,TaxLevel_PerFlag!$A:$A,AE$3,TaxLevel_PerFlag!$B:$B,$Z$4,TaxLevel_PerFlag!$C:$C,"XGBoost",TaxLevel_PerFlag!$D:$D,$AA4)</f>
        <v>-1.9903889858714999E-3</v>
      </c>
      <c r="AF4" s="19">
        <f>SUMIFS(TaxLevel_PerFlag!$Q:$Q,TaxLevel_PerFlag!$A:$A,AF$3,TaxLevel_PerFlag!$B:$B,$Z$4,TaxLevel_PerFlag!$C:$C,"XGBoost",TaxLevel_PerFlag!$D:$D,$AA4)</f>
        <v>-8.2215456386365501E-2</v>
      </c>
      <c r="AG4" s="19">
        <f>SUMIFS(TaxLevel_PerFlag!$Q:$Q,TaxLevel_PerFlag!$A:$A,AG$3,TaxLevel_PerFlag!$B:$B,$Z$4,TaxLevel_PerFlag!$C:$C,"XGBoost",TaxLevel_PerFlag!$D:$D,$AA4)</f>
        <v>2.3245517689301699E-2</v>
      </c>
      <c r="AH4" s="19">
        <f>SUMIFS(TaxLevel_PerFlag!$Q:$Q,TaxLevel_PerFlag!$A:$A,AH$3,TaxLevel_PerFlag!$B:$B,$Z$4,TaxLevel_PerFlag!$C:$C,"XGBoost",TaxLevel_PerFlag!$D:$D,$AA4)</f>
        <v>0.1092327908116477</v>
      </c>
      <c r="AI4" s="18">
        <f>SUMIFS(TaxLevel_PerFlag!$H:$H,TaxLevel_PerFlag!$A:$A,AI$3,TaxLevel_PerFlag!$B:$B,$Z$4,TaxLevel_PerFlag!$C:$C,"XGBoost",TaxLevel_PerFlag!$D:$D,$AA4)</f>
        <v>6.1493256117704301E-2</v>
      </c>
      <c r="AJ4" s="19">
        <f>SUMIFS(TaxLevel_PerFlag!$H:$H,TaxLevel_PerFlag!$A:$A,AJ$3,TaxLevel_PerFlag!$B:$B,$Z$4,TaxLevel_PerFlag!$C:$C,"XGBoost",TaxLevel_PerFlag!$D:$D,$AA4)</f>
        <v>7.9390186149180503E-2</v>
      </c>
      <c r="AK4" s="19">
        <f>SUMIFS(TaxLevel_PerFlag!$H:$H,TaxLevel_PerFlag!$A:$A,AK$3,TaxLevel_PerFlag!$B:$B,$Z$4,TaxLevel_PerFlag!$C:$C,"XGBoost",TaxLevel_PerFlag!$D:$D,$AA4)</f>
        <v>7.0087324978282003E-2</v>
      </c>
      <c r="AL4" s="19">
        <f>SUMIFS(TaxLevel_PerFlag!$H:$H,TaxLevel_PerFlag!$A:$A,AL$3,TaxLevel_PerFlag!$B:$B,$Z$4,TaxLevel_PerFlag!$C:$C,"XGBoost",TaxLevel_PerFlag!$D:$D,$AA4)</f>
        <v>9.4839487797914596E-2</v>
      </c>
      <c r="AM4" s="19">
        <f>SUMIFS(TaxLevel_PerFlag!$H:$H,TaxLevel_PerFlag!$A:$A,AM$3,TaxLevel_PerFlag!$B:$B,$Z$4,TaxLevel_PerFlag!$C:$C,"XGBoost",TaxLevel_PerFlag!$D:$D,$AA4)</f>
        <v>0.11746651848616051</v>
      </c>
      <c r="AN4" s="18">
        <f>SUMIFS(TaxLevel_PerFlag!$T:$T,TaxLevel_PerFlag!$A:$A,AN$3,TaxLevel_PerFlag!$B:$B,$Z$4,TaxLevel_PerFlag!$C:$C,"XGBoost",TaxLevel_PerFlag!$D:$D,$AA4)</f>
        <v>0.18514024295432011</v>
      </c>
      <c r="AO4" s="19">
        <f>SUMIFS(TaxLevel_PerFlag!$T:$T,TaxLevel_PerFlag!$A:$A,AO$3,TaxLevel_PerFlag!$B:$B,$Z$4,TaxLevel_PerFlag!$C:$C,"XGBoost",TaxLevel_PerFlag!$D:$D,$AA4)</f>
        <v>0.1591805636651048</v>
      </c>
      <c r="AP4" s="19">
        <f>SUMIFS(TaxLevel_PerFlag!$T:$T,TaxLevel_PerFlag!$A:$A,AP$3,TaxLevel_PerFlag!$B:$B,$Z$4,TaxLevel_PerFlag!$C:$C,"XGBoost",TaxLevel_PerFlag!$D:$D,$AA4)</f>
        <v>0.2180740536907467</v>
      </c>
      <c r="AQ4" s="19">
        <f>SUMIFS(TaxLevel_PerFlag!$T:$T,TaxLevel_PerFlag!$A:$A,AQ$3,TaxLevel_PerFlag!$B:$B,$Z$4,TaxLevel_PerFlag!$C:$C,"XGBoost",TaxLevel_PerFlag!$D:$D,$AA4)</f>
        <v>0.2222115947392192</v>
      </c>
      <c r="AR4" s="20">
        <f>SUMIFS(TaxLevel_PerFlag!$T:$T,TaxLevel_PerFlag!$A:$A,AR$3,TaxLevel_PerFlag!$B:$B,$Z$4,TaxLevel_PerFlag!$C:$C,"XGBoost",TaxLevel_PerFlag!$D:$D,$AA4)</f>
        <v>0.27722369179192641</v>
      </c>
    </row>
    <row r="5" spans="2:44">
      <c r="B5" s="31"/>
      <c r="C5" s="2" t="s">
        <v>68</v>
      </c>
      <c r="D5" s="2">
        <v>4</v>
      </c>
      <c r="E5" s="11">
        <v>2.8985507246376802E-2</v>
      </c>
      <c r="F5" s="3">
        <f>_xlfn.MAXIFS(TaxLevel_PerFlag!$Q:$Q,TaxLevel_PerFlag!$A:$A,F$3,TaxLevel_PerFlag!$B:$B,$B$4,TaxLevel_PerFlag!$D:$D,$C5)</f>
        <v>0.16502327355510929</v>
      </c>
      <c r="G5" s="4">
        <f>_xlfn.MAXIFS(TaxLevel_PerFlag!$Q:$Q,TaxLevel_PerFlag!$A:$A,G$3,TaxLevel_PerFlag!$B:$B,$B$4,TaxLevel_PerFlag!$D:$D,$C5)</f>
        <v>0.16507892942472979</v>
      </c>
      <c r="H5" s="4">
        <f>_xlfn.MAXIFS(TaxLevel_PerFlag!$Q:$Q,TaxLevel_PerFlag!$A:$A,H$3,TaxLevel_PerFlag!$B:$B,$B$4,TaxLevel_PerFlag!$D:$D,$C5)</f>
        <v>0.21032260745905129</v>
      </c>
      <c r="I5" s="4">
        <f>_xlfn.MAXIFS(TaxLevel_PerFlag!$Q:$Q,TaxLevel_PerFlag!$A:$A,I$3,TaxLevel_PerFlag!$B:$B,$B$4,TaxLevel_PerFlag!$D:$D,$C5)</f>
        <v>0.2048594308812649</v>
      </c>
      <c r="J5" s="4">
        <f>_xlfn.MAXIFS(TaxLevel_PerFlag!$Q:$Q,TaxLevel_PerFlag!$A:$A,J$3,TaxLevel_PerFlag!$B:$B,$B$4,TaxLevel_PerFlag!$D:$D,$C5)</f>
        <v>0.11842649963244629</v>
      </c>
      <c r="K5" s="3">
        <f>_xlfn.MAXIFS(TaxLevel_PerFlag!$H:$H,TaxLevel_PerFlag!$A:$A,K$3,TaxLevel_PerFlag!$B:$B,$B$4,TaxLevel_PerFlag!$D:$D,$C5)</f>
        <v>0.30912546109402489</v>
      </c>
      <c r="L5" s="4">
        <f>_xlfn.MAXIFS(TaxLevel_PerFlag!$H:$H,TaxLevel_PerFlag!$A:$A,L$3,TaxLevel_PerFlag!$B:$B,$B$4,TaxLevel_PerFlag!$D:$D,$C5)</f>
        <v>0.285276459048599</v>
      </c>
      <c r="M5" s="4">
        <f>_xlfn.MAXIFS(TaxLevel_PerFlag!$H:$H,TaxLevel_PerFlag!$A:$A,M$3,TaxLevel_PerFlag!$B:$B,$B$4,TaxLevel_PerFlag!$D:$D,$C5)</f>
        <v>0.2975106946930835</v>
      </c>
      <c r="N5" s="4">
        <f>_xlfn.MAXIFS(TaxLevel_PerFlag!$H:$H,TaxLevel_PerFlag!$A:$A,N$3,TaxLevel_PerFlag!$B:$B,$B$4,TaxLevel_PerFlag!$D:$D,$C5)</f>
        <v>0.29546039774942928</v>
      </c>
      <c r="O5" s="4">
        <f>_xlfn.MAXIFS(TaxLevel_PerFlag!$H:$H,TaxLevel_PerFlag!$A:$A,O$3,TaxLevel_PerFlag!$B:$B,$B$4,TaxLevel_PerFlag!$D:$D,$C5)</f>
        <v>0.27531159895460811</v>
      </c>
      <c r="P5" s="3">
        <f>_xlfn.MAXIFS(TaxLevel_PerFlag!$T:$T,TaxLevel_PerFlag!$A:$A,P$3,TaxLevel_PerFlag!$B:$B,$B$4,TaxLevel_PerFlag!$D:$D,$C5)</f>
        <v>0.42589095593289777</v>
      </c>
      <c r="Q5" s="4">
        <f>_xlfn.MAXIFS(TaxLevel_PerFlag!$T:$T,TaxLevel_PerFlag!$A:$A,Q$3,TaxLevel_PerFlag!$B:$B,$B$4,TaxLevel_PerFlag!$D:$D,$C5)</f>
        <v>0.38926656397265652</v>
      </c>
      <c r="R5" s="4">
        <f>_xlfn.MAXIFS(TaxLevel_PerFlag!$T:$T,TaxLevel_PerFlag!$A:$A,R$3,TaxLevel_PerFlag!$B:$B,$B$4,TaxLevel_PerFlag!$D:$D,$C5)</f>
        <v>0.42355395696154291</v>
      </c>
      <c r="S5" s="4">
        <f>_xlfn.MAXIFS(TaxLevel_PerFlag!$T:$T,TaxLevel_PerFlag!$A:$A,S$3,TaxLevel_PerFlag!$B:$B,$B$4,TaxLevel_PerFlag!$D:$D,$C5)</f>
        <v>0.40671578667545039</v>
      </c>
      <c r="T5" s="5">
        <f>_xlfn.MAXIFS(TaxLevel_PerFlag!$T:$T,TaxLevel_PerFlag!$A:$A,T$3,TaxLevel_PerFlag!$B:$B,$B$4,TaxLevel_PerFlag!$D:$D,$C5)</f>
        <v>0.37723278120566922</v>
      </c>
      <c r="V5" t="s">
        <v>67</v>
      </c>
      <c r="W5">
        <v>4</v>
      </c>
      <c r="X5">
        <v>2.8985507246376802E-2</v>
      </c>
      <c r="Z5" s="31"/>
      <c r="AA5" s="2" t="s">
        <v>68</v>
      </c>
      <c r="AB5" s="2">
        <v>4</v>
      </c>
      <c r="AC5" s="11">
        <v>2.8985507246376802E-2</v>
      </c>
      <c r="AD5" s="3">
        <f>SUMIFS(TaxLevel_PerFlag!$Q:$Q,TaxLevel_PerFlag!$A:$A,AD$3,TaxLevel_PerFlag!$B:$B,$Z$4,TaxLevel_PerFlag!$C:$C,"XGBoost",TaxLevel_PerFlag!$D:$D,$AA5)</f>
        <v>0.12510789805713149</v>
      </c>
      <c r="AE5" s="4">
        <f>SUMIFS(TaxLevel_PerFlag!$Q:$Q,TaxLevel_PerFlag!$A:$A,AE$3,TaxLevel_PerFlag!$B:$B,$Z$4,TaxLevel_PerFlag!$C:$C,"XGBoost",TaxLevel_PerFlag!$D:$D,$AA5)</f>
        <v>0.16507892942472979</v>
      </c>
      <c r="AF5" s="4">
        <f>SUMIFS(TaxLevel_PerFlag!$Q:$Q,TaxLevel_PerFlag!$A:$A,AF$3,TaxLevel_PerFlag!$B:$B,$Z$4,TaxLevel_PerFlag!$C:$C,"XGBoost",TaxLevel_PerFlag!$D:$D,$AA5)</f>
        <v>0.15984085468610229</v>
      </c>
      <c r="AG5" s="4">
        <f>SUMIFS(TaxLevel_PerFlag!$Q:$Q,TaxLevel_PerFlag!$A:$A,AG$3,TaxLevel_PerFlag!$B:$B,$Z$4,TaxLevel_PerFlag!$C:$C,"XGBoost",TaxLevel_PerFlag!$D:$D,$AA5)</f>
        <v>0.17721740584828249</v>
      </c>
      <c r="AH5" s="4">
        <f>SUMIFS(TaxLevel_PerFlag!$Q:$Q,TaxLevel_PerFlag!$A:$A,AH$3,TaxLevel_PerFlag!$B:$B,$Z$4,TaxLevel_PerFlag!$C:$C,"XGBoost",TaxLevel_PerFlag!$D:$D,$AA5)</f>
        <v>0.11842649963244629</v>
      </c>
      <c r="AI5" s="3">
        <f>SUMIFS(TaxLevel_PerFlag!$H:$H,TaxLevel_PerFlag!$A:$A,AI$3,TaxLevel_PerFlag!$B:$B,$Z$4,TaxLevel_PerFlag!$C:$C,"XGBoost",TaxLevel_PerFlag!$D:$D,$AA5)</f>
        <v>0.30912546109402489</v>
      </c>
      <c r="AJ5" s="4">
        <f>SUMIFS(TaxLevel_PerFlag!$H:$H,TaxLevel_PerFlag!$A:$A,AJ$3,TaxLevel_PerFlag!$B:$B,$Z$4,TaxLevel_PerFlag!$C:$C,"XGBoost",TaxLevel_PerFlag!$D:$D,$AA5)</f>
        <v>0.285276459048599</v>
      </c>
      <c r="AK5" s="4">
        <f>SUMIFS(TaxLevel_PerFlag!$H:$H,TaxLevel_PerFlag!$A:$A,AK$3,TaxLevel_PerFlag!$B:$B,$Z$4,TaxLevel_PerFlag!$C:$C,"XGBoost",TaxLevel_PerFlag!$D:$D,$AA5)</f>
        <v>0.2975106946930835</v>
      </c>
      <c r="AL5" s="4">
        <f>SUMIFS(TaxLevel_PerFlag!$H:$H,TaxLevel_PerFlag!$A:$A,AL$3,TaxLevel_PerFlag!$B:$B,$Z$4,TaxLevel_PerFlag!$C:$C,"XGBoost",TaxLevel_PerFlag!$D:$D,$AA5)</f>
        <v>0.29546039774942928</v>
      </c>
      <c r="AM5" s="4">
        <f>SUMIFS(TaxLevel_PerFlag!$H:$H,TaxLevel_PerFlag!$A:$A,AM$3,TaxLevel_PerFlag!$B:$B,$Z$4,TaxLevel_PerFlag!$C:$C,"XGBoost",TaxLevel_PerFlag!$D:$D,$AA5)</f>
        <v>0.27531159895460811</v>
      </c>
      <c r="AN5" s="3">
        <f>SUMIFS(TaxLevel_PerFlag!$T:$T,TaxLevel_PerFlag!$A:$A,AN$3,TaxLevel_PerFlag!$B:$B,$Z$4,TaxLevel_PerFlag!$C:$C,"XGBoost",TaxLevel_PerFlag!$D:$D,$AA5)</f>
        <v>0.26945282383855279</v>
      </c>
      <c r="AO5" s="4">
        <f>SUMIFS(TaxLevel_PerFlag!$T:$T,TaxLevel_PerFlag!$A:$A,AO$3,TaxLevel_PerFlag!$B:$B,$Z$4,TaxLevel_PerFlag!$C:$C,"XGBoost",TaxLevel_PerFlag!$D:$D,$AA5)</f>
        <v>0.33463071909092779</v>
      </c>
      <c r="AP5" s="4">
        <f>SUMIFS(TaxLevel_PerFlag!$T:$T,TaxLevel_PerFlag!$A:$A,AP$3,TaxLevel_PerFlag!$B:$B,$Z$4,TaxLevel_PerFlag!$C:$C,"XGBoost",TaxLevel_PerFlag!$D:$D,$AA5)</f>
        <v>0.291958547343527</v>
      </c>
      <c r="AQ5" s="4">
        <f>SUMIFS(TaxLevel_PerFlag!$T:$T,TaxLevel_PerFlag!$A:$A,AQ$3,TaxLevel_PerFlag!$B:$B,$Z$4,TaxLevel_PerFlag!$C:$C,"XGBoost",TaxLevel_PerFlag!$D:$D,$AA5)</f>
        <v>0.40671578667545039</v>
      </c>
      <c r="AR5" s="5">
        <f>SUMIFS(TaxLevel_PerFlag!$T:$T,TaxLevel_PerFlag!$A:$A,AR$3,TaxLevel_PerFlag!$B:$B,$Z$4,TaxLevel_PerFlag!$C:$C,"XGBoost",TaxLevel_PerFlag!$D:$D,$AA5)</f>
        <v>0.37723278120566922</v>
      </c>
    </row>
    <row r="6" spans="2:44">
      <c r="B6" s="31"/>
      <c r="C6" s="2" t="s">
        <v>67</v>
      </c>
      <c r="D6" s="2">
        <v>20</v>
      </c>
      <c r="E6" s="11">
        <v>0.14492753623188401</v>
      </c>
      <c r="F6" s="3">
        <f>_xlfn.MAXIFS(TaxLevel_PerFlag!$Q:$Q,TaxLevel_PerFlag!$A:$A,F$3,TaxLevel_PerFlag!$B:$B,$B$4,TaxLevel_PerFlag!$D:$D,$C6)</f>
        <v>0.1062071383947838</v>
      </c>
      <c r="G6" s="4">
        <f>_xlfn.MAXIFS(TaxLevel_PerFlag!$Q:$Q,TaxLevel_PerFlag!$A:$A,G$3,TaxLevel_PerFlag!$B:$B,$B$4,TaxLevel_PerFlag!$D:$D,$C6)</f>
        <v>6.3281052734742299E-2</v>
      </c>
      <c r="H6" s="4">
        <f>_xlfn.MAXIFS(TaxLevel_PerFlag!$Q:$Q,TaxLevel_PerFlag!$A:$A,H$3,TaxLevel_PerFlag!$B:$B,$B$4,TaxLevel_PerFlag!$D:$D,$C6)</f>
        <v>8.8389388492140702E-2</v>
      </c>
      <c r="I6" s="4">
        <f>_xlfn.MAXIFS(TaxLevel_PerFlag!$Q:$Q,TaxLevel_PerFlag!$A:$A,I$3,TaxLevel_PerFlag!$B:$B,$B$4,TaxLevel_PerFlag!$D:$D,$C6)</f>
        <v>0.18907876269353319</v>
      </c>
      <c r="J6" s="4">
        <f>_xlfn.MAXIFS(TaxLevel_PerFlag!$Q:$Q,TaxLevel_PerFlag!$A:$A,J$3,TaxLevel_PerFlag!$B:$B,$B$4,TaxLevel_PerFlag!$D:$D,$C6)</f>
        <v>0.15110531633939761</v>
      </c>
      <c r="K6" s="3">
        <f>_xlfn.MAXIFS(TaxLevel_PerFlag!$H:$H,TaxLevel_PerFlag!$A:$A,K$3,TaxLevel_PerFlag!$B:$B,$B$4,TaxLevel_PerFlag!$D:$D,$C6)</f>
        <v>6.2770049152978999E-2</v>
      </c>
      <c r="L6" s="4">
        <f>_xlfn.MAXIFS(TaxLevel_PerFlag!$H:$H,TaxLevel_PerFlag!$A:$A,L$3,TaxLevel_PerFlag!$B:$B,$B$4,TaxLevel_PerFlag!$D:$D,$C6)</f>
        <v>7.9129263742724998E-2</v>
      </c>
      <c r="M6" s="4">
        <f>_xlfn.MAXIFS(TaxLevel_PerFlag!$H:$H,TaxLevel_PerFlag!$A:$A,M$3,TaxLevel_PerFlag!$B:$B,$B$4,TaxLevel_PerFlag!$D:$D,$C6)</f>
        <v>7.8905245403098595E-2</v>
      </c>
      <c r="N6" s="4">
        <f>_xlfn.MAXIFS(TaxLevel_PerFlag!$H:$H,TaxLevel_PerFlag!$A:$A,N$3,TaxLevel_PerFlag!$B:$B,$B$4,TaxLevel_PerFlag!$D:$D,$C6)</f>
        <v>0.2413827732742064</v>
      </c>
      <c r="O6" s="4">
        <f>_xlfn.MAXIFS(TaxLevel_PerFlag!$H:$H,TaxLevel_PerFlag!$A:$A,O$3,TaxLevel_PerFlag!$B:$B,$B$4,TaxLevel_PerFlag!$D:$D,$C6)</f>
        <v>0.20443604758049611</v>
      </c>
      <c r="P6" s="3">
        <f>_xlfn.MAXIFS(TaxLevel_PerFlag!$T:$T,TaxLevel_PerFlag!$A:$A,P$3,TaxLevel_PerFlag!$B:$B,$B$4,TaxLevel_PerFlag!$D:$D,$C6)</f>
        <v>0.18270628430811489</v>
      </c>
      <c r="Q6" s="4">
        <f>_xlfn.MAXIFS(TaxLevel_PerFlag!$T:$T,TaxLevel_PerFlag!$A:$A,Q$3,TaxLevel_PerFlag!$B:$B,$B$4,TaxLevel_PerFlag!$D:$D,$C6)</f>
        <v>0.17698967698967691</v>
      </c>
      <c r="R6" s="4">
        <f>_xlfn.MAXIFS(TaxLevel_PerFlag!$T:$T,TaxLevel_PerFlag!$A:$A,R$3,TaxLevel_PerFlag!$B:$B,$B$4,TaxLevel_PerFlag!$D:$D,$C6)</f>
        <v>0.17698967698967691</v>
      </c>
      <c r="S6" s="4">
        <f>_xlfn.MAXIFS(TaxLevel_PerFlag!$T:$T,TaxLevel_PerFlag!$A:$A,S$3,TaxLevel_PerFlag!$B:$B,$B$4,TaxLevel_PerFlag!$D:$D,$C6)</f>
        <v>0.29262188865847399</v>
      </c>
      <c r="T6" s="5">
        <f>_xlfn.MAXIFS(TaxLevel_PerFlag!$T:$T,TaxLevel_PerFlag!$A:$A,T$3,TaxLevel_PerFlag!$B:$B,$B$4,TaxLevel_PerFlag!$D:$D,$C6)</f>
        <v>0.23551784400294329</v>
      </c>
      <c r="V6" t="s">
        <v>68</v>
      </c>
      <c r="W6">
        <v>20</v>
      </c>
      <c r="X6">
        <v>0.14492753623188401</v>
      </c>
      <c r="Z6" s="31"/>
      <c r="AA6" s="2" t="s">
        <v>67</v>
      </c>
      <c r="AB6" s="2">
        <v>20</v>
      </c>
      <c r="AC6" s="11">
        <v>0.14492753623188401</v>
      </c>
      <c r="AD6" s="3">
        <f>SUMIFS(TaxLevel_PerFlag!$Q:$Q,TaxLevel_PerFlag!$A:$A,AD$3,TaxLevel_PerFlag!$B:$B,$Z$4,TaxLevel_PerFlag!$C:$C,"XGBoost",TaxLevel_PerFlag!$D:$D,$AA6)</f>
        <v>3.3545319066702099E-2</v>
      </c>
      <c r="AE6" s="4">
        <f>SUMIFS(TaxLevel_PerFlag!$Q:$Q,TaxLevel_PerFlag!$A:$A,AE$3,TaxLevel_PerFlag!$B:$B,$Z$4,TaxLevel_PerFlag!$C:$C,"XGBoost",TaxLevel_PerFlag!$D:$D,$AA6)</f>
        <v>-2.02642681193109E-2</v>
      </c>
      <c r="AF6" s="4">
        <f>SUMIFS(TaxLevel_PerFlag!$Q:$Q,TaxLevel_PerFlag!$A:$A,AF$3,TaxLevel_PerFlag!$B:$B,$Z$4,TaxLevel_PerFlag!$C:$C,"XGBoost",TaxLevel_PerFlag!$D:$D,$AA6)</f>
        <v>1.8531783332697699E-2</v>
      </c>
      <c r="AG6" s="4">
        <f>SUMIFS(TaxLevel_PerFlag!$Q:$Q,TaxLevel_PerFlag!$A:$A,AG$3,TaxLevel_PerFlag!$B:$B,$Z$4,TaxLevel_PerFlag!$C:$C,"XGBoost",TaxLevel_PerFlag!$D:$D,$AA6)</f>
        <v>0.18907876269353319</v>
      </c>
      <c r="AH6" s="4">
        <f>SUMIFS(TaxLevel_PerFlag!$Q:$Q,TaxLevel_PerFlag!$A:$A,AH$3,TaxLevel_PerFlag!$B:$B,$Z$4,TaxLevel_PerFlag!$C:$C,"XGBoost",TaxLevel_PerFlag!$D:$D,$AA6)</f>
        <v>0.15110531633939761</v>
      </c>
      <c r="AI6" s="3">
        <f>SUMIFS(TaxLevel_PerFlag!$H:$H,TaxLevel_PerFlag!$A:$A,AI$3,TaxLevel_PerFlag!$B:$B,$Z$4,TaxLevel_PerFlag!$C:$C,"XGBoost",TaxLevel_PerFlag!$D:$D,$AA6)</f>
        <v>4.38702495407804E-2</v>
      </c>
      <c r="AJ6" s="4">
        <f>SUMIFS(TaxLevel_PerFlag!$H:$H,TaxLevel_PerFlag!$A:$A,AJ$3,TaxLevel_PerFlag!$B:$B,$Z$4,TaxLevel_PerFlag!$C:$C,"XGBoost",TaxLevel_PerFlag!$D:$D,$AA6)</f>
        <v>3.2770811969977602E-2</v>
      </c>
      <c r="AK6" s="4">
        <f>SUMIFS(TaxLevel_PerFlag!$H:$H,TaxLevel_PerFlag!$A:$A,AK$3,TaxLevel_PerFlag!$B:$B,$Z$4,TaxLevel_PerFlag!$C:$C,"XGBoost",TaxLevel_PerFlag!$D:$D,$AA6)</f>
        <v>3.3856556545974803E-2</v>
      </c>
      <c r="AL6" s="4">
        <f>SUMIFS(TaxLevel_PerFlag!$H:$H,TaxLevel_PerFlag!$A:$A,AL$3,TaxLevel_PerFlag!$B:$B,$Z$4,TaxLevel_PerFlag!$C:$C,"XGBoost",TaxLevel_PerFlag!$D:$D,$AA6)</f>
        <v>0.2413827732742064</v>
      </c>
      <c r="AM6" s="4">
        <f>SUMIFS(TaxLevel_PerFlag!$H:$H,TaxLevel_PerFlag!$A:$A,AM$3,TaxLevel_PerFlag!$B:$B,$Z$4,TaxLevel_PerFlag!$C:$C,"XGBoost",TaxLevel_PerFlag!$D:$D,$AA6)</f>
        <v>0.12146046354186769</v>
      </c>
      <c r="AN6" s="3">
        <f>SUMIFS(TaxLevel_PerFlag!$T:$T,TaxLevel_PerFlag!$A:$A,AN$3,TaxLevel_PerFlag!$B:$B,$Z$4,TaxLevel_PerFlag!$C:$C,"XGBoost",TaxLevel_PerFlag!$D:$D,$AA6)</f>
        <v>0.1301802505758452</v>
      </c>
      <c r="AO6" s="4">
        <f>SUMIFS(TaxLevel_PerFlag!$T:$T,TaxLevel_PerFlag!$A:$A,AO$3,TaxLevel_PerFlag!$B:$B,$Z$4,TaxLevel_PerFlag!$C:$C,"XGBoost",TaxLevel_PerFlag!$D:$D,$AA6)</f>
        <v>0.1004903371797322</v>
      </c>
      <c r="AP6" s="4">
        <f>SUMIFS(TaxLevel_PerFlag!$T:$T,TaxLevel_PerFlag!$A:$A,AP$3,TaxLevel_PerFlag!$B:$B,$Z$4,TaxLevel_PerFlag!$C:$C,"XGBoost",TaxLevel_PerFlag!$D:$D,$AA6)</f>
        <v>0.1180864987717636</v>
      </c>
      <c r="AQ6" s="4">
        <f>SUMIFS(TaxLevel_PerFlag!$T:$T,TaxLevel_PerFlag!$A:$A,AQ$3,TaxLevel_PerFlag!$B:$B,$Z$4,TaxLevel_PerFlag!$C:$C,"XGBoost",TaxLevel_PerFlag!$D:$D,$AA6)</f>
        <v>0.27017966928132281</v>
      </c>
      <c r="AR6" s="5">
        <f>SUMIFS(TaxLevel_PerFlag!$T:$T,TaxLevel_PerFlag!$A:$A,AR$3,TaxLevel_PerFlag!$B:$B,$Z$4,TaxLevel_PerFlag!$C:$C,"XGBoost",TaxLevel_PerFlag!$D:$D,$AA6)</f>
        <v>0.23521480476804829</v>
      </c>
    </row>
    <row r="7" spans="2:44">
      <c r="B7" s="31"/>
      <c r="C7" s="2" t="s">
        <v>69</v>
      </c>
      <c r="D7" s="2">
        <v>26</v>
      </c>
      <c r="E7" s="11">
        <v>0.1884057971014492</v>
      </c>
      <c r="F7" s="3">
        <f>_xlfn.MAXIFS(TaxLevel_PerFlag!$Q:$Q,TaxLevel_PerFlag!$A:$A,F$3,TaxLevel_PerFlag!$B:$B,$B$4,TaxLevel_PerFlag!$D:$D,$C7)</f>
        <v>0.5194110224282491</v>
      </c>
      <c r="G7" s="4">
        <f>_xlfn.MAXIFS(TaxLevel_PerFlag!$Q:$Q,TaxLevel_PerFlag!$A:$A,G$3,TaxLevel_PerFlag!$B:$B,$B$4,TaxLevel_PerFlag!$D:$D,$C7)</f>
        <v>0.47368653850350462</v>
      </c>
      <c r="H7" s="4">
        <f>_xlfn.MAXIFS(TaxLevel_PerFlag!$Q:$Q,TaxLevel_PerFlag!$A:$A,H$3,TaxLevel_PerFlag!$B:$B,$B$4,TaxLevel_PerFlag!$D:$D,$C7)</f>
        <v>0.4786172162222444</v>
      </c>
      <c r="I7" s="4">
        <f>_xlfn.MAXIFS(TaxLevel_PerFlag!$Q:$Q,TaxLevel_PerFlag!$A:$A,I$3,TaxLevel_PerFlag!$B:$B,$B$4,TaxLevel_PerFlag!$D:$D,$C7)</f>
        <v>0.56848376308070914</v>
      </c>
      <c r="J7" s="4">
        <f>_xlfn.MAXIFS(TaxLevel_PerFlag!$Q:$Q,TaxLevel_PerFlag!$A:$A,J$3,TaxLevel_PerFlag!$B:$B,$B$4,TaxLevel_PerFlag!$D:$D,$C7)</f>
        <v>0.54889822136346123</v>
      </c>
      <c r="K7" s="3">
        <f>_xlfn.MAXIFS(TaxLevel_PerFlag!$H:$H,TaxLevel_PerFlag!$A:$A,K$3,TaxLevel_PerFlag!$B:$B,$B$4,TaxLevel_PerFlag!$D:$D,$C7)</f>
        <v>0.59791791174077291</v>
      </c>
      <c r="L7" s="4">
        <f>_xlfn.MAXIFS(TaxLevel_PerFlag!$H:$H,TaxLevel_PerFlag!$A:$A,L$3,TaxLevel_PerFlag!$B:$B,$B$4,TaxLevel_PerFlag!$D:$D,$C7)</f>
        <v>0.57107802321145273</v>
      </c>
      <c r="M7" s="4">
        <f>_xlfn.MAXIFS(TaxLevel_PerFlag!$H:$H,TaxLevel_PerFlag!$A:$A,M$3,TaxLevel_PerFlag!$B:$B,$B$4,TaxLevel_PerFlag!$D:$D,$C7)</f>
        <v>0.56936985241935323</v>
      </c>
      <c r="N7" s="4">
        <f>_xlfn.MAXIFS(TaxLevel_PerFlag!$H:$H,TaxLevel_PerFlag!$A:$A,N$3,TaxLevel_PerFlag!$B:$B,$B$4,TaxLevel_PerFlag!$D:$D,$C7)</f>
        <v>0.54890358888974022</v>
      </c>
      <c r="O7" s="4">
        <f>_xlfn.MAXIFS(TaxLevel_PerFlag!$H:$H,TaxLevel_PerFlag!$A:$A,O$3,TaxLevel_PerFlag!$B:$B,$B$4,TaxLevel_PerFlag!$D:$D,$C7)</f>
        <v>0.59006765605614675</v>
      </c>
      <c r="P7" s="3">
        <f>_xlfn.MAXIFS(TaxLevel_PerFlag!$T:$T,TaxLevel_PerFlag!$A:$A,P$3,TaxLevel_PerFlag!$B:$B,$B$4,TaxLevel_PerFlag!$D:$D,$C7)</f>
        <v>0.68507460882686977</v>
      </c>
      <c r="Q7" s="4">
        <f>_xlfn.MAXIFS(TaxLevel_PerFlag!$T:$T,TaxLevel_PerFlag!$A:$A,Q$3,TaxLevel_PerFlag!$B:$B,$B$4,TaxLevel_PerFlag!$D:$D,$C7)</f>
        <v>0.68070439144080197</v>
      </c>
      <c r="R7" s="4">
        <f>_xlfn.MAXIFS(TaxLevel_PerFlag!$T:$T,TaxLevel_PerFlag!$A:$A,R$3,TaxLevel_PerFlag!$B:$B,$B$4,TaxLevel_PerFlag!$D:$D,$C7)</f>
        <v>0.68951272685786302</v>
      </c>
      <c r="S7" s="4">
        <f>_xlfn.MAXIFS(TaxLevel_PerFlag!$T:$T,TaxLevel_PerFlag!$A:$A,S$3,TaxLevel_PerFlag!$B:$B,$B$4,TaxLevel_PerFlag!$D:$D,$C7)</f>
        <v>0.75760504092322045</v>
      </c>
      <c r="T7" s="5">
        <f>_xlfn.MAXIFS(TaxLevel_PerFlag!$T:$T,TaxLevel_PerFlag!$A:$A,T$3,TaxLevel_PerFlag!$B:$B,$B$4,TaxLevel_PerFlag!$D:$D,$C7)</f>
        <v>0.69868783957529756</v>
      </c>
      <c r="V7" t="s">
        <v>69</v>
      </c>
      <c r="W7">
        <v>26</v>
      </c>
      <c r="X7">
        <v>0.1884057971014492</v>
      </c>
      <c r="Z7" s="31"/>
      <c r="AA7" s="2" t="s">
        <v>69</v>
      </c>
      <c r="AB7" s="2">
        <v>26</v>
      </c>
      <c r="AC7" s="11">
        <v>0.1884057971014492</v>
      </c>
      <c r="AD7" s="3">
        <f>SUMIFS(TaxLevel_PerFlag!$Q:$Q,TaxLevel_PerFlag!$A:$A,AD$3,TaxLevel_PerFlag!$B:$B,$Z$4,TaxLevel_PerFlag!$C:$C,"XGBoost",TaxLevel_PerFlag!$D:$D,$AA7)</f>
        <v>0.4522352105526421</v>
      </c>
      <c r="AE7" s="4">
        <f>SUMIFS(TaxLevel_PerFlag!$Q:$Q,TaxLevel_PerFlag!$A:$A,AE$3,TaxLevel_PerFlag!$B:$B,$Z$4,TaxLevel_PerFlag!$C:$C,"XGBoost",TaxLevel_PerFlag!$D:$D,$AA7)</f>
        <v>0.45998774332623349</v>
      </c>
      <c r="AF7" s="4">
        <f>SUMIFS(TaxLevel_PerFlag!$Q:$Q,TaxLevel_PerFlag!$A:$A,AF$3,TaxLevel_PerFlag!$B:$B,$Z$4,TaxLevel_PerFlag!$C:$C,"XGBoost",TaxLevel_PerFlag!$D:$D,$AA7)</f>
        <v>0.46218151498355031</v>
      </c>
      <c r="AG7" s="4">
        <f>SUMIFS(TaxLevel_PerFlag!$Q:$Q,TaxLevel_PerFlag!$A:$A,AG$3,TaxLevel_PerFlag!$B:$B,$Z$4,TaxLevel_PerFlag!$C:$C,"XGBoost",TaxLevel_PerFlag!$D:$D,$AA7)</f>
        <v>0.41792078506229441</v>
      </c>
      <c r="AH7" s="4">
        <f>SUMIFS(TaxLevel_PerFlag!$Q:$Q,TaxLevel_PerFlag!$A:$A,AH$3,TaxLevel_PerFlag!$B:$B,$Z$4,TaxLevel_PerFlag!$C:$C,"XGBoost",TaxLevel_PerFlag!$D:$D,$AA7)</f>
        <v>0.47334207973959852</v>
      </c>
      <c r="AI7" s="3">
        <f>SUMIFS(TaxLevel_PerFlag!$H:$H,TaxLevel_PerFlag!$A:$A,AI$3,TaxLevel_PerFlag!$B:$B,$Z$4,TaxLevel_PerFlag!$C:$C,"XGBoost",TaxLevel_PerFlag!$D:$D,$AA7)</f>
        <v>0.59791791174077291</v>
      </c>
      <c r="AJ7" s="4">
        <f>SUMIFS(TaxLevel_PerFlag!$H:$H,TaxLevel_PerFlag!$A:$A,AJ$3,TaxLevel_PerFlag!$B:$B,$Z$4,TaxLevel_PerFlag!$C:$C,"XGBoost",TaxLevel_PerFlag!$D:$D,$AA7)</f>
        <v>0.57107802321145273</v>
      </c>
      <c r="AK7" s="4">
        <f>SUMIFS(TaxLevel_PerFlag!$H:$H,TaxLevel_PerFlag!$A:$A,AK$3,TaxLevel_PerFlag!$B:$B,$Z$4,TaxLevel_PerFlag!$C:$C,"XGBoost",TaxLevel_PerFlag!$D:$D,$AA7)</f>
        <v>0.56936985241935323</v>
      </c>
      <c r="AL7" s="4">
        <f>SUMIFS(TaxLevel_PerFlag!$H:$H,TaxLevel_PerFlag!$A:$A,AL$3,TaxLevel_PerFlag!$B:$B,$Z$4,TaxLevel_PerFlag!$C:$C,"XGBoost",TaxLevel_PerFlag!$D:$D,$AA7)</f>
        <v>0.54890358888974022</v>
      </c>
      <c r="AM7" s="4">
        <f>SUMIFS(TaxLevel_PerFlag!$H:$H,TaxLevel_PerFlag!$A:$A,AM$3,TaxLevel_PerFlag!$B:$B,$Z$4,TaxLevel_PerFlag!$C:$C,"XGBoost",TaxLevel_PerFlag!$D:$D,$AA7)</f>
        <v>0.59006765605614675</v>
      </c>
      <c r="AN7" s="3">
        <f>SUMIFS(TaxLevel_PerFlag!$T:$T,TaxLevel_PerFlag!$A:$A,AN$3,TaxLevel_PerFlag!$B:$B,$Z$4,TaxLevel_PerFlag!$C:$C,"XGBoost",TaxLevel_PerFlag!$D:$D,$AA7)</f>
        <v>0.56371430843871795</v>
      </c>
      <c r="AO7" s="4">
        <f>SUMIFS(TaxLevel_PerFlag!$T:$T,TaxLevel_PerFlag!$A:$A,AO$3,TaxLevel_PerFlag!$B:$B,$Z$4,TaxLevel_PerFlag!$C:$C,"XGBoost",TaxLevel_PerFlag!$D:$D,$AA7)</f>
        <v>0.61351980156378105</v>
      </c>
      <c r="AP7" s="4">
        <f>SUMIFS(TaxLevel_PerFlag!$T:$T,TaxLevel_PerFlag!$A:$A,AP$3,TaxLevel_PerFlag!$B:$B,$Z$4,TaxLevel_PerFlag!$C:$C,"XGBoost",TaxLevel_PerFlag!$D:$D,$AA7)</f>
        <v>0.63249038594815266</v>
      </c>
      <c r="AQ7" s="4">
        <f>SUMIFS(TaxLevel_PerFlag!$T:$T,TaxLevel_PerFlag!$A:$A,AQ$3,TaxLevel_PerFlag!$B:$B,$Z$4,TaxLevel_PerFlag!$C:$C,"XGBoost",TaxLevel_PerFlag!$D:$D,$AA7)</f>
        <v>0.62652937456968805</v>
      </c>
      <c r="AR7" s="5">
        <f>SUMIFS(TaxLevel_PerFlag!$T:$T,TaxLevel_PerFlag!$A:$A,AR$3,TaxLevel_PerFlag!$B:$B,$Z$4,TaxLevel_PerFlag!$C:$C,"XGBoost",TaxLevel_PerFlag!$D:$D,$AA7)</f>
        <v>0.68006909052999176</v>
      </c>
    </row>
    <row r="8" spans="2:44">
      <c r="B8" s="31"/>
      <c r="C8" s="2" t="s">
        <v>70</v>
      </c>
      <c r="D8" s="2">
        <v>7</v>
      </c>
      <c r="E8" s="11">
        <v>5.0724637681159403E-2</v>
      </c>
      <c r="F8" s="6">
        <f>_xlfn.MAXIFS(TaxLevel_PerFlag!$Q:$Q,TaxLevel_PerFlag!$A:$A,F$3,TaxLevel_PerFlag!$B:$B,$B$4,TaxLevel_PerFlag!$D:$D,$C8)</f>
        <v>4.9277698139988099E-2</v>
      </c>
      <c r="G8" s="4">
        <f>_xlfn.MAXIFS(TaxLevel_PerFlag!$Q:$Q,TaxLevel_PerFlag!$A:$A,G$3,TaxLevel_PerFlag!$B:$B,$B$4,TaxLevel_PerFlag!$D:$D,$C8)</f>
        <v>0</v>
      </c>
      <c r="H8" s="4">
        <f>_xlfn.MAXIFS(TaxLevel_PerFlag!$Q:$Q,TaxLevel_PerFlag!$A:$A,H$3,TaxLevel_PerFlag!$B:$B,$B$4,TaxLevel_PerFlag!$D:$D,$C8)</f>
        <v>1.33202873722286E-2</v>
      </c>
      <c r="I8" s="4">
        <f>_xlfn.MAXIFS(TaxLevel_PerFlag!$Q:$Q,TaxLevel_PerFlag!$A:$A,I$3,TaxLevel_PerFlag!$B:$B,$B$4,TaxLevel_PerFlag!$D:$D,$C8)</f>
        <v>0.208366845627805</v>
      </c>
      <c r="J8" s="4">
        <f>_xlfn.MAXIFS(TaxLevel_PerFlag!$Q:$Q,TaxLevel_PerFlag!$A:$A,J$3,TaxLevel_PerFlag!$B:$B,$B$4,TaxLevel_PerFlag!$D:$D,$C8)</f>
        <v>0.1226249870245965</v>
      </c>
      <c r="K8" s="3">
        <f>_xlfn.MAXIFS(TaxLevel_PerFlag!$H:$H,TaxLevel_PerFlag!$A:$A,K$3,TaxLevel_PerFlag!$B:$B,$B$4,TaxLevel_PerFlag!$D:$D,$C8)</f>
        <v>5.7821582910681499E-2</v>
      </c>
      <c r="L8" s="4">
        <f>_xlfn.MAXIFS(TaxLevel_PerFlag!$H:$H,TaxLevel_PerFlag!$A:$A,L$3,TaxLevel_PerFlag!$B:$B,$B$4,TaxLevel_PerFlag!$D:$D,$C8)</f>
        <v>5.27814878197908E-2</v>
      </c>
      <c r="M8" s="4">
        <f>_xlfn.MAXIFS(TaxLevel_PerFlag!$H:$H,TaxLevel_PerFlag!$A:$A,M$3,TaxLevel_PerFlag!$B:$B,$B$4,TaxLevel_PerFlag!$D:$D,$C8)</f>
        <v>5.7096423785853098E-2</v>
      </c>
      <c r="N8" s="4">
        <f>_xlfn.MAXIFS(TaxLevel_PerFlag!$H:$H,TaxLevel_PerFlag!$A:$A,N$3,TaxLevel_PerFlag!$B:$B,$B$4,TaxLevel_PerFlag!$D:$D,$C8)</f>
        <v>0.14743244136283509</v>
      </c>
      <c r="O8" s="4">
        <f>_xlfn.MAXIFS(TaxLevel_PerFlag!$H:$H,TaxLevel_PerFlag!$A:$A,O$3,TaxLevel_PerFlag!$B:$B,$B$4,TaxLevel_PerFlag!$D:$D,$C8)</f>
        <v>0.11805456635718239</v>
      </c>
      <c r="P8" s="3">
        <f>_xlfn.MAXIFS(TaxLevel_PerFlag!$T:$T,TaxLevel_PerFlag!$A:$A,P$3,TaxLevel_PerFlag!$B:$B,$B$4,TaxLevel_PerFlag!$D:$D,$C8)</f>
        <v>0.21691573897546851</v>
      </c>
      <c r="Q8" s="4">
        <f>_xlfn.MAXIFS(TaxLevel_PerFlag!$T:$T,TaxLevel_PerFlag!$A:$A,Q$3,TaxLevel_PerFlag!$B:$B,$B$4,TaxLevel_PerFlag!$D:$D,$C8)</f>
        <v>0.21084337349397589</v>
      </c>
      <c r="R8" s="4">
        <f>_xlfn.MAXIFS(TaxLevel_PerFlag!$T:$T,TaxLevel_PerFlag!$A:$A,R$3,TaxLevel_PerFlag!$B:$B,$B$4,TaxLevel_PerFlag!$D:$D,$C8)</f>
        <v>0.21084337349397589</v>
      </c>
      <c r="S8" s="4">
        <f>_xlfn.MAXIFS(TaxLevel_PerFlag!$T:$T,TaxLevel_PerFlag!$A:$A,S$3,TaxLevel_PerFlag!$B:$B,$B$4,TaxLevel_PerFlag!$D:$D,$C8)</f>
        <v>0.35505463761257677</v>
      </c>
      <c r="T8" s="5">
        <f>_xlfn.MAXIFS(TaxLevel_PerFlag!$T:$T,TaxLevel_PerFlag!$A:$A,T$3,TaxLevel_PerFlag!$B:$B,$B$4,TaxLevel_PerFlag!$D:$D,$C8)</f>
        <v>0.27793144336080261</v>
      </c>
      <c r="V8" t="s">
        <v>70</v>
      </c>
      <c r="W8">
        <v>7</v>
      </c>
      <c r="X8">
        <v>5.0724637681159403E-2</v>
      </c>
      <c r="Z8" s="31"/>
      <c r="AA8" s="2" t="s">
        <v>70</v>
      </c>
      <c r="AB8" s="2">
        <v>7</v>
      </c>
      <c r="AC8" s="11">
        <v>5.0724637681159403E-2</v>
      </c>
      <c r="AD8" s="6">
        <f>SUMIFS(TaxLevel_PerFlag!$Q:$Q,TaxLevel_PerFlag!$A:$A,AD$3,TaxLevel_PerFlag!$B:$B,$Z$4,TaxLevel_PerFlag!$C:$C,"XGBoost",TaxLevel_PerFlag!$D:$D,$AA8)</f>
        <v>4.9277698139988099E-2</v>
      </c>
      <c r="AE8" s="4">
        <f>SUMIFS(TaxLevel_PerFlag!$Q:$Q,TaxLevel_PerFlag!$A:$A,AE$3,TaxLevel_PerFlag!$B:$B,$Z$4,TaxLevel_PerFlag!$C:$C,"XGBoost",TaxLevel_PerFlag!$D:$D,$AA8)</f>
        <v>-4.1130405482174198E-2</v>
      </c>
      <c r="AF8" s="4">
        <f>SUMIFS(TaxLevel_PerFlag!$Q:$Q,TaxLevel_PerFlag!$A:$A,AF$3,TaxLevel_PerFlag!$B:$B,$Z$4,TaxLevel_PerFlag!$C:$C,"XGBoost",TaxLevel_PerFlag!$D:$D,$AA8)</f>
        <v>-3.5367223189489198E-2</v>
      </c>
      <c r="AG8" s="4">
        <f>SUMIFS(TaxLevel_PerFlag!$Q:$Q,TaxLevel_PerFlag!$A:$A,AG$3,TaxLevel_PerFlag!$B:$B,$Z$4,TaxLevel_PerFlag!$C:$C,"XGBoost",TaxLevel_PerFlag!$D:$D,$AA8)</f>
        <v>0.1042255561515352</v>
      </c>
      <c r="AH8" s="4">
        <f>SUMIFS(TaxLevel_PerFlag!$Q:$Q,TaxLevel_PerFlag!$A:$A,AH$3,TaxLevel_PerFlag!$B:$B,$Z$4,TaxLevel_PerFlag!$C:$C,"XGBoost",TaxLevel_PerFlag!$D:$D,$AA8)</f>
        <v>0.1226249870245965</v>
      </c>
      <c r="AI8" s="3">
        <f>SUMIFS(TaxLevel_PerFlag!$H:$H,TaxLevel_PerFlag!$A:$A,AI$3,TaxLevel_PerFlag!$B:$B,$Z$4,TaxLevel_PerFlag!$C:$C,"XGBoost",TaxLevel_PerFlag!$D:$D,$AA8)</f>
        <v>5.7821582910681499E-2</v>
      </c>
      <c r="AJ8" s="4">
        <f>SUMIFS(TaxLevel_PerFlag!$H:$H,TaxLevel_PerFlag!$A:$A,AJ$3,TaxLevel_PerFlag!$B:$B,$Z$4,TaxLevel_PerFlag!$C:$C,"XGBoost",TaxLevel_PerFlag!$D:$D,$AA8)</f>
        <v>4.6661294069645101E-2</v>
      </c>
      <c r="AK8" s="4">
        <f>SUMIFS(TaxLevel_PerFlag!$H:$H,TaxLevel_PerFlag!$A:$A,AK$3,TaxLevel_PerFlag!$B:$B,$Z$4,TaxLevel_PerFlag!$C:$C,"XGBoost",TaxLevel_PerFlag!$D:$D,$AA8)</f>
        <v>5.0353837524076801E-2</v>
      </c>
      <c r="AL8" s="4">
        <f>SUMIFS(TaxLevel_PerFlag!$H:$H,TaxLevel_PerFlag!$A:$A,AL$3,TaxLevel_PerFlag!$B:$B,$Z$4,TaxLevel_PerFlag!$C:$C,"XGBoost",TaxLevel_PerFlag!$D:$D,$AA8)</f>
        <v>8.4444115484473503E-2</v>
      </c>
      <c r="AM8" s="4">
        <f>SUMIFS(TaxLevel_PerFlag!$H:$H,TaxLevel_PerFlag!$A:$A,AM$3,TaxLevel_PerFlag!$B:$B,$Z$4,TaxLevel_PerFlag!$C:$C,"XGBoost",TaxLevel_PerFlag!$D:$D,$AA8)</f>
        <v>0.11805456635718239</v>
      </c>
      <c r="AN8" s="3">
        <f>SUMIFS(TaxLevel_PerFlag!$T:$T,TaxLevel_PerFlag!$A:$A,AN$3,TaxLevel_PerFlag!$B:$B,$Z$4,TaxLevel_PerFlag!$C:$C,"XGBoost",TaxLevel_PerFlag!$D:$D,$AA8)</f>
        <v>0.21691573897546851</v>
      </c>
      <c r="AO8" s="4">
        <f>SUMIFS(TaxLevel_PerFlag!$T:$T,TaxLevel_PerFlag!$A:$A,AO$3,TaxLevel_PerFlag!$B:$B,$Z$4,TaxLevel_PerFlag!$C:$C,"XGBoost",TaxLevel_PerFlag!$D:$D,$AA8)</f>
        <v>0.1552610609214225</v>
      </c>
      <c r="AP8" s="4">
        <f>SUMIFS(TaxLevel_PerFlag!$T:$T,TaxLevel_PerFlag!$A:$A,AP$3,TaxLevel_PerFlag!$B:$B,$Z$4,TaxLevel_PerFlag!$C:$C,"XGBoost",TaxLevel_PerFlag!$D:$D,$AA8)</f>
        <v>0.18967535158712009</v>
      </c>
      <c r="AQ8" s="4">
        <f>SUMIFS(TaxLevel_PerFlag!$T:$T,TaxLevel_PerFlag!$A:$A,AQ$3,TaxLevel_PerFlag!$B:$B,$Z$4,TaxLevel_PerFlag!$C:$C,"XGBoost",TaxLevel_PerFlag!$D:$D,$AA8)</f>
        <v>0.25832777873522439</v>
      </c>
      <c r="AR8" s="5">
        <f>SUMIFS(TaxLevel_PerFlag!$T:$T,TaxLevel_PerFlag!$A:$A,AR$3,TaxLevel_PerFlag!$B:$B,$Z$4,TaxLevel_PerFlag!$C:$C,"XGBoost",TaxLevel_PerFlag!$D:$D,$AA8)</f>
        <v>0.27793144336080261</v>
      </c>
    </row>
    <row r="9" spans="2:44" ht="17.25" thickBot="1">
      <c r="B9" s="32"/>
      <c r="C9" s="21" t="s">
        <v>100</v>
      </c>
      <c r="D9" s="21"/>
      <c r="E9" s="22"/>
      <c r="F9" s="24">
        <f>AVERAGE(F4:F8)</f>
        <v>0.17950692269258867</v>
      </c>
      <c r="G9" s="8">
        <f t="shared" ref="G9:T9" si="0">AVERAGE(G4:G8)</f>
        <v>0.14799463459961756</v>
      </c>
      <c r="H9" s="8">
        <f t="shared" si="0"/>
        <v>0.16643229064092843</v>
      </c>
      <c r="I9" s="12">
        <f t="shared" si="0"/>
        <v>0.24238954375301711</v>
      </c>
      <c r="J9" s="8">
        <f t="shared" si="0"/>
        <v>0.21005756303430986</v>
      </c>
      <c r="K9" s="24">
        <f t="shared" si="0"/>
        <v>0.22679260057956507</v>
      </c>
      <c r="L9" s="25">
        <f t="shared" si="0"/>
        <v>0.21720493135694316</v>
      </c>
      <c r="M9" s="25">
        <f t="shared" si="0"/>
        <v>0.22107043555450673</v>
      </c>
      <c r="N9" s="26">
        <f t="shared" si="0"/>
        <v>0.27119382166693851</v>
      </c>
      <c r="O9" s="25">
        <f t="shared" si="0"/>
        <v>0.26106727748691877</v>
      </c>
      <c r="P9" s="7">
        <f t="shared" si="0"/>
        <v>0.3538416555397047</v>
      </c>
      <c r="Q9" s="8">
        <f t="shared" si="0"/>
        <v>0.34328493911045677</v>
      </c>
      <c r="R9" s="8">
        <f t="shared" si="0"/>
        <v>0.35388347728696845</v>
      </c>
      <c r="S9" s="12">
        <f t="shared" si="0"/>
        <v>0.40684178972178814</v>
      </c>
      <c r="T9" s="9">
        <f t="shared" si="0"/>
        <v>0.37331871998732785</v>
      </c>
      <c r="Z9" s="32"/>
      <c r="AA9" s="21" t="s">
        <v>100</v>
      </c>
      <c r="AB9" s="21"/>
      <c r="AC9" s="22"/>
      <c r="AD9" s="24">
        <f>AVERAGE(AD4:AD8)</f>
        <v>0.10891113307400309</v>
      </c>
      <c r="AE9" s="8">
        <f t="shared" ref="AE9:AR9" si="1">AVERAGE(AE4:AE8)</f>
        <v>0.11233632203272134</v>
      </c>
      <c r="AF9" s="8">
        <f t="shared" si="1"/>
        <v>0.10459429468529913</v>
      </c>
      <c r="AG9" s="12">
        <f t="shared" si="1"/>
        <v>0.18233760548898939</v>
      </c>
      <c r="AH9" s="8">
        <f t="shared" si="1"/>
        <v>0.19494633470953732</v>
      </c>
      <c r="AI9" s="24">
        <f t="shared" si="1"/>
        <v>0.21404569228079279</v>
      </c>
      <c r="AJ9" s="25">
        <f t="shared" si="1"/>
        <v>0.20303535488977098</v>
      </c>
      <c r="AK9" s="25">
        <f t="shared" si="1"/>
        <v>0.20423565323215409</v>
      </c>
      <c r="AL9" s="26">
        <f t="shared" si="1"/>
        <v>0.25300607263915281</v>
      </c>
      <c r="AM9" s="25">
        <f t="shared" si="1"/>
        <v>0.24447216067919308</v>
      </c>
      <c r="AN9" s="7">
        <f t="shared" si="1"/>
        <v>0.27308067295658095</v>
      </c>
      <c r="AO9" s="8">
        <f t="shared" si="1"/>
        <v>0.27261649648419367</v>
      </c>
      <c r="AP9" s="8">
        <f t="shared" si="1"/>
        <v>0.29005696746826198</v>
      </c>
      <c r="AQ9" s="12">
        <f t="shared" si="1"/>
        <v>0.35679284080018092</v>
      </c>
      <c r="AR9" s="9">
        <f t="shared" si="1"/>
        <v>0.36953436233128767</v>
      </c>
    </row>
    <row r="10" spans="2:44" ht="16.5" customHeight="1">
      <c r="B10" s="30" t="s">
        <v>77</v>
      </c>
      <c r="C10" s="16" t="s">
        <v>71</v>
      </c>
      <c r="D10" s="16">
        <v>9</v>
      </c>
      <c r="E10" s="17">
        <v>6.5217391304347797E-2</v>
      </c>
      <c r="F10" s="18">
        <f>_xlfn.MAXIFS(TaxLevel_PerFlag!$Q:$Q,TaxLevel_PerFlag!$A:$A,F$3,TaxLevel_PerFlag!$B:$B,$B$10,TaxLevel_PerFlag!$D:$D,$C10)</f>
        <v>7.5404555751059393E-2</v>
      </c>
      <c r="G10" s="19">
        <f>_xlfn.MAXIFS(TaxLevel_PerFlag!$Q:$Q,TaxLevel_PerFlag!$A:$A,G$3,TaxLevel_PerFlag!$B:$B,$B$10,TaxLevel_PerFlag!$D:$D,$C10)</f>
        <v>0.14698681456411949</v>
      </c>
      <c r="H10" s="19">
        <f>_xlfn.MAXIFS(TaxLevel_PerFlag!$Q:$Q,TaxLevel_PerFlag!$A:$A,H$3,TaxLevel_PerFlag!$B:$B,$B$10,TaxLevel_PerFlag!$D:$D,$C10)</f>
        <v>0.24853563166298351</v>
      </c>
      <c r="I10" s="19">
        <f>_xlfn.MAXIFS(TaxLevel_PerFlag!$Q:$Q,TaxLevel_PerFlag!$A:$A,I$3,TaxLevel_PerFlag!$B:$B,$B$10,TaxLevel_PerFlag!$D:$D,$C10)</f>
        <v>0.20785484111053229</v>
      </c>
      <c r="J10" s="19">
        <f>_xlfn.MAXIFS(TaxLevel_PerFlag!$Q:$Q,TaxLevel_PerFlag!$A:$A,J$3,TaxLevel_PerFlag!$B:$B,$B$10,TaxLevel_PerFlag!$D:$D,$C10)</f>
        <v>0.13959211618048811</v>
      </c>
      <c r="K10" s="18">
        <f>_xlfn.MAXIFS(TaxLevel_PerFlag!$H:$H,TaxLevel_PerFlag!$A:$A,K$3,TaxLevel_PerFlag!$B:$B,$B$10,TaxLevel_PerFlag!$D:$D,$C10)</f>
        <v>0.1031835143394912</v>
      </c>
      <c r="L10" s="19">
        <f>_xlfn.MAXIFS(TaxLevel_PerFlag!$H:$H,TaxLevel_PerFlag!$A:$A,L$3,TaxLevel_PerFlag!$B:$B,$B$10,TaxLevel_PerFlag!$D:$D,$C10)</f>
        <v>0.26336867651855422</v>
      </c>
      <c r="M10" s="19">
        <f>_xlfn.MAXIFS(TaxLevel_PerFlag!$H:$H,TaxLevel_PerFlag!$A:$A,M$3,TaxLevel_PerFlag!$B:$B,$B$10,TaxLevel_PerFlag!$D:$D,$C10)</f>
        <v>0.29836433274089158</v>
      </c>
      <c r="N10" s="19">
        <f>_xlfn.MAXIFS(TaxLevel_PerFlag!$H:$H,TaxLevel_PerFlag!$A:$A,N$3,TaxLevel_PerFlag!$B:$B,$B$10,TaxLevel_PerFlag!$D:$D,$C10)</f>
        <v>0.28419268572513201</v>
      </c>
      <c r="O10" s="19">
        <f>_xlfn.MAXIFS(TaxLevel_PerFlag!$H:$H,TaxLevel_PerFlag!$A:$A,O$3,TaxLevel_PerFlag!$B:$B,$B$10,TaxLevel_PerFlag!$D:$D,$C10)</f>
        <v>0.14883597883597879</v>
      </c>
      <c r="P10" s="18">
        <f>_xlfn.MAXIFS(TaxLevel_PerFlag!$T:$T,TaxLevel_PerFlag!$A:$A,P$3,TaxLevel_PerFlag!$B:$B,$B$10,TaxLevel_PerFlag!$D:$D,$C10)</f>
        <v>0.22979216783128531</v>
      </c>
      <c r="Q10" s="19">
        <f>_xlfn.MAXIFS(TaxLevel_PerFlag!$T:$T,TaxLevel_PerFlag!$A:$A,Q$3,TaxLevel_PerFlag!$B:$B,$B$10,TaxLevel_PerFlag!$D:$D,$C10)</f>
        <v>0.30430153252523578</v>
      </c>
      <c r="R10" s="19">
        <f>_xlfn.MAXIFS(TaxLevel_PerFlag!$T:$T,TaxLevel_PerFlag!$A:$A,R$3,TaxLevel_PerFlag!$B:$B,$B$10,TaxLevel_PerFlag!$D:$D,$C10)</f>
        <v>0.28338649654439119</v>
      </c>
      <c r="S10" s="19">
        <f>_xlfn.MAXIFS(TaxLevel_PerFlag!$T:$T,TaxLevel_PerFlag!$A:$A,S$3,TaxLevel_PerFlag!$B:$B,$B$10,TaxLevel_PerFlag!$D:$D,$C10)</f>
        <v>0.27012751249728501</v>
      </c>
      <c r="T10" s="20">
        <f>_xlfn.MAXIFS(TaxLevel_PerFlag!$T:$T,TaxLevel_PerFlag!$A:$A,T$3,TaxLevel_PerFlag!$B:$B,$B$10,TaxLevel_PerFlag!$D:$D,$C10)</f>
        <v>0.2643247901029116</v>
      </c>
      <c r="Z10" s="30" t="s">
        <v>77</v>
      </c>
      <c r="AA10" s="16" t="s">
        <v>71</v>
      </c>
      <c r="AB10" s="16">
        <v>9</v>
      </c>
      <c r="AC10" s="17">
        <v>6.5217391304347797E-2</v>
      </c>
      <c r="AD10" s="18">
        <f>SUMIFS(TaxLevel_PerFlag!$Q:$Q,TaxLevel_PerFlag!$A:$A,AD$3,TaxLevel_PerFlag!$B:$B,$Z$10,TaxLevel_PerFlag!$C:$C,"XGBoost",TaxLevel_PerFlag!$D:$D,$AA10)</f>
        <v>7.5404555751059393E-2</v>
      </c>
      <c r="AE10" s="19">
        <f>SUMIFS(TaxLevel_PerFlag!$Q:$Q,TaxLevel_PerFlag!$A:$A,AE$3,TaxLevel_PerFlag!$B:$B,$Z$10,TaxLevel_PerFlag!$C:$C,"XGBoost",TaxLevel_PerFlag!$D:$D,$AA10)</f>
        <v>0.14152150803996269</v>
      </c>
      <c r="AF10" s="19">
        <f>SUMIFS(TaxLevel_PerFlag!$Q:$Q,TaxLevel_PerFlag!$A:$A,AF$3,TaxLevel_PerFlag!$B:$B,$Z$10,TaxLevel_PerFlag!$C:$C,"XGBoost",TaxLevel_PerFlag!$D:$D,$AA10)</f>
        <v>0.24853563166298351</v>
      </c>
      <c r="AG10" s="19">
        <f>SUMIFS(TaxLevel_PerFlag!$Q:$Q,TaxLevel_PerFlag!$A:$A,AG$3,TaxLevel_PerFlag!$B:$B,$Z$10,TaxLevel_PerFlag!$C:$C,"XGBoost",TaxLevel_PerFlag!$D:$D,$AA10)</f>
        <v>0.13088300961556201</v>
      </c>
      <c r="AH10" s="19">
        <f>SUMIFS(TaxLevel_PerFlag!$Q:$Q,TaxLevel_PerFlag!$A:$A,AH$3,TaxLevel_PerFlag!$B:$B,$Z$10,TaxLevel_PerFlag!$C:$C,"XGBoost",TaxLevel_PerFlag!$D:$D,$AA10)</f>
        <v>9.2762126736818398E-2</v>
      </c>
      <c r="AI10" s="18">
        <f>SUMIFS(TaxLevel_PerFlag!$H:$H,TaxLevel_PerFlag!$A:$A,AI$3,TaxLevel_PerFlag!$B:$B,$Z$10,TaxLevel_PerFlag!$C:$C,"XGBoost",TaxLevel_PerFlag!$D:$D,$AA10)</f>
        <v>0.1031835143394912</v>
      </c>
      <c r="AJ10" s="19">
        <f>SUMIFS(TaxLevel_PerFlag!$H:$H,TaxLevel_PerFlag!$A:$A,AJ$3,TaxLevel_PerFlag!$B:$B,$Z$10,TaxLevel_PerFlag!$C:$C,"XGBoost",TaxLevel_PerFlag!$D:$D,$AA10)</f>
        <v>0.26336867651855422</v>
      </c>
      <c r="AK10" s="19">
        <f>SUMIFS(TaxLevel_PerFlag!$H:$H,TaxLevel_PerFlag!$A:$A,AK$3,TaxLevel_PerFlag!$B:$B,$Z$10,TaxLevel_PerFlag!$C:$C,"XGBoost",TaxLevel_PerFlag!$D:$D,$AA10)</f>
        <v>0.29836433274089158</v>
      </c>
      <c r="AL10" s="19">
        <f>SUMIFS(TaxLevel_PerFlag!$H:$H,TaxLevel_PerFlag!$A:$A,AL$3,TaxLevel_PerFlag!$B:$B,$Z$10,TaxLevel_PerFlag!$C:$C,"XGBoost",TaxLevel_PerFlag!$D:$D,$AA10)</f>
        <v>0.28419268572513201</v>
      </c>
      <c r="AM10" s="19">
        <f>SUMIFS(TaxLevel_PerFlag!$H:$H,TaxLevel_PerFlag!$A:$A,AM$3,TaxLevel_PerFlag!$B:$B,$Z$10,TaxLevel_PerFlag!$C:$C,"XGBoost",TaxLevel_PerFlag!$D:$D,$AA10)</f>
        <v>0.1319620810275389</v>
      </c>
      <c r="AN10" s="18">
        <f>SUMIFS(TaxLevel_PerFlag!$T:$T,TaxLevel_PerFlag!$A:$A,AN$3,TaxLevel_PerFlag!$B:$B,$Z$10,TaxLevel_PerFlag!$C:$C,"XGBoost",TaxLevel_PerFlag!$D:$D,$AA10)</f>
        <v>0.22410981557586321</v>
      </c>
      <c r="AO10" s="19">
        <f>SUMIFS(TaxLevel_PerFlag!$T:$T,TaxLevel_PerFlag!$A:$A,AO$3,TaxLevel_PerFlag!$B:$B,$Z$10,TaxLevel_PerFlag!$C:$C,"XGBoost",TaxLevel_PerFlag!$D:$D,$AA10)</f>
        <v>0.27410089865253218</v>
      </c>
      <c r="AP10" s="19">
        <f>SUMIFS(TaxLevel_PerFlag!$T:$T,TaxLevel_PerFlag!$A:$A,AP$3,TaxLevel_PerFlag!$B:$B,$Z$10,TaxLevel_PerFlag!$C:$C,"XGBoost",TaxLevel_PerFlag!$D:$D,$AA10)</f>
        <v>0.28338649654439119</v>
      </c>
      <c r="AQ10" s="19">
        <f>SUMIFS(TaxLevel_PerFlag!$T:$T,TaxLevel_PerFlag!$A:$A,AQ$3,TaxLevel_PerFlag!$B:$B,$Z$10,TaxLevel_PerFlag!$C:$C,"XGBoost",TaxLevel_PerFlag!$D:$D,$AA10)</f>
        <v>0.2326025395085411</v>
      </c>
      <c r="AR10" s="20">
        <f>SUMIFS(TaxLevel_PerFlag!$T:$T,TaxLevel_PerFlag!$A:$A,AR$3,TaxLevel_PerFlag!$B:$B,$Z$10,TaxLevel_PerFlag!$C:$C,"XGBoost",TaxLevel_PerFlag!$D:$D,$AA10)</f>
        <v>0.224333928414925</v>
      </c>
    </row>
    <row r="11" spans="2:44">
      <c r="B11" s="31"/>
      <c r="C11" s="2" t="s">
        <v>68</v>
      </c>
      <c r="D11" s="2">
        <v>4</v>
      </c>
      <c r="E11" s="11">
        <v>2.8985507246376802E-2</v>
      </c>
      <c r="F11" s="3">
        <f>_xlfn.MAXIFS(TaxLevel_PerFlag!$Q:$Q,TaxLevel_PerFlag!$A:$A,F$3,TaxLevel_PerFlag!$B:$B,$B$10,TaxLevel_PerFlag!$D:$D,$C11)</f>
        <v>0.39098098625842109</v>
      </c>
      <c r="G11" s="4">
        <f>_xlfn.MAXIFS(TaxLevel_PerFlag!$Q:$Q,TaxLevel_PerFlag!$A:$A,G$3,TaxLevel_PerFlag!$B:$B,$B$10,TaxLevel_PerFlag!$D:$D,$C11)</f>
        <v>0.29711259749980712</v>
      </c>
      <c r="H11" s="4">
        <f>_xlfn.MAXIFS(TaxLevel_PerFlag!$Q:$Q,TaxLevel_PerFlag!$A:$A,H$3,TaxLevel_PerFlag!$B:$B,$B$10,TaxLevel_PerFlag!$D:$D,$C11)</f>
        <v>0.31271476821187161</v>
      </c>
      <c r="I11" s="4">
        <f>_xlfn.MAXIFS(TaxLevel_PerFlag!$Q:$Q,TaxLevel_PerFlag!$A:$A,I$3,TaxLevel_PerFlag!$B:$B,$B$10,TaxLevel_PerFlag!$D:$D,$C11)</f>
        <v>0.28811510672251578</v>
      </c>
      <c r="J11" s="4">
        <f>_xlfn.MAXIFS(TaxLevel_PerFlag!$Q:$Q,TaxLevel_PerFlag!$A:$A,J$3,TaxLevel_PerFlag!$B:$B,$B$10,TaxLevel_PerFlag!$D:$D,$C11)</f>
        <v>0.29764347694117049</v>
      </c>
      <c r="K11" s="3">
        <f>_xlfn.MAXIFS(TaxLevel_PerFlag!$H:$H,TaxLevel_PerFlag!$A:$A,K$3,TaxLevel_PerFlag!$B:$B,$B$10,TaxLevel_PerFlag!$D:$D,$C11)</f>
        <v>0.52102531599926294</v>
      </c>
      <c r="L11" s="4">
        <f>_xlfn.MAXIFS(TaxLevel_PerFlag!$H:$H,TaxLevel_PerFlag!$A:$A,L$3,TaxLevel_PerFlag!$B:$B,$B$10,TaxLevel_PerFlag!$D:$D,$C11)</f>
        <v>0.36604016742167078</v>
      </c>
      <c r="M11" s="4">
        <f>_xlfn.MAXIFS(TaxLevel_PerFlag!$H:$H,TaxLevel_PerFlag!$A:$A,M$3,TaxLevel_PerFlag!$B:$B,$B$10,TaxLevel_PerFlag!$D:$D,$C11)</f>
        <v>0.37704281905991949</v>
      </c>
      <c r="N11" s="4">
        <f>_xlfn.MAXIFS(TaxLevel_PerFlag!$H:$H,TaxLevel_PerFlag!$A:$A,N$3,TaxLevel_PerFlag!$B:$B,$B$10,TaxLevel_PerFlag!$D:$D,$C11)</f>
        <v>0.41313066952130478</v>
      </c>
      <c r="O11" s="4">
        <f>_xlfn.MAXIFS(TaxLevel_PerFlag!$H:$H,TaxLevel_PerFlag!$A:$A,O$3,TaxLevel_PerFlag!$B:$B,$B$10,TaxLevel_PerFlag!$D:$D,$C11)</f>
        <v>0.35625692072961668</v>
      </c>
      <c r="P11" s="3">
        <f>_xlfn.MAXIFS(TaxLevel_PerFlag!$T:$T,TaxLevel_PerFlag!$A:$A,P$3,TaxLevel_PerFlag!$B:$B,$B$10,TaxLevel_PerFlag!$D:$D,$C11)</f>
        <v>0.45972537842356148</v>
      </c>
      <c r="Q11" s="4">
        <f>_xlfn.MAXIFS(TaxLevel_PerFlag!$T:$T,TaxLevel_PerFlag!$A:$A,Q$3,TaxLevel_PerFlag!$B:$B,$B$10,TaxLevel_PerFlag!$D:$D,$C11)</f>
        <v>0.52888999567880945</v>
      </c>
      <c r="R11" s="4">
        <f>_xlfn.MAXIFS(TaxLevel_PerFlag!$T:$T,TaxLevel_PerFlag!$A:$A,R$3,TaxLevel_PerFlag!$B:$B,$B$10,TaxLevel_PerFlag!$D:$D,$C11)</f>
        <v>0.50575727715231467</v>
      </c>
      <c r="S11" s="4">
        <f>_xlfn.MAXIFS(TaxLevel_PerFlag!$T:$T,TaxLevel_PerFlag!$A:$A,S$3,TaxLevel_PerFlag!$B:$B,$B$10,TaxLevel_PerFlag!$D:$D,$C11)</f>
        <v>0.52202302334026751</v>
      </c>
      <c r="T11" s="5">
        <f>_xlfn.MAXIFS(TaxLevel_PerFlag!$T:$T,TaxLevel_PerFlag!$A:$A,T$3,TaxLevel_PerFlag!$B:$B,$B$10,TaxLevel_PerFlag!$D:$D,$C11)</f>
        <v>0.54487281801474841</v>
      </c>
      <c r="Z11" s="31"/>
      <c r="AA11" s="2" t="s">
        <v>68</v>
      </c>
      <c r="AB11" s="2">
        <v>4</v>
      </c>
      <c r="AC11" s="11">
        <v>2.8985507246376802E-2</v>
      </c>
      <c r="AD11" s="3">
        <f>SUMIFS(TaxLevel_PerFlag!$Q:$Q,TaxLevel_PerFlag!$A:$A,AD$3,TaxLevel_PerFlag!$B:$B,$Z$10,TaxLevel_PerFlag!$C:$C,"XGBoost",TaxLevel_PerFlag!$D:$D,$AA11)</f>
        <v>0.39098098625842109</v>
      </c>
      <c r="AE11" s="4">
        <f>SUMIFS(TaxLevel_PerFlag!$Q:$Q,TaxLevel_PerFlag!$A:$A,AE$3,TaxLevel_PerFlag!$B:$B,$Z$10,TaxLevel_PerFlag!$C:$C,"XGBoost",TaxLevel_PerFlag!$D:$D,$AA11)</f>
        <v>0.23942559678080311</v>
      </c>
      <c r="AF11" s="4">
        <f>SUMIFS(TaxLevel_PerFlag!$Q:$Q,TaxLevel_PerFlag!$A:$A,AF$3,TaxLevel_PerFlag!$B:$B,$Z$10,TaxLevel_PerFlag!$C:$C,"XGBoost",TaxLevel_PerFlag!$D:$D,$AA11)</f>
        <v>0.31271476821187161</v>
      </c>
      <c r="AG11" s="4">
        <f>SUMIFS(TaxLevel_PerFlag!$Q:$Q,TaxLevel_PerFlag!$A:$A,AG$3,TaxLevel_PerFlag!$B:$B,$Z$10,TaxLevel_PerFlag!$C:$C,"XGBoost",TaxLevel_PerFlag!$D:$D,$AA11)</f>
        <v>0.26595297046776412</v>
      </c>
      <c r="AH11" s="4">
        <f>SUMIFS(TaxLevel_PerFlag!$Q:$Q,TaxLevel_PerFlag!$A:$A,AH$3,TaxLevel_PerFlag!$B:$B,$Z$10,TaxLevel_PerFlag!$C:$C,"XGBoost",TaxLevel_PerFlag!$D:$D,$AA11)</f>
        <v>0.22924259179228151</v>
      </c>
      <c r="AI11" s="3">
        <f>SUMIFS(TaxLevel_PerFlag!$H:$H,TaxLevel_PerFlag!$A:$A,AI$3,TaxLevel_PerFlag!$B:$B,$Z$10,TaxLevel_PerFlag!$C:$C,"XGBoost",TaxLevel_PerFlag!$D:$D,$AA11)</f>
        <v>0.52102531599926294</v>
      </c>
      <c r="AJ11" s="4">
        <f>SUMIFS(TaxLevel_PerFlag!$H:$H,TaxLevel_PerFlag!$A:$A,AJ$3,TaxLevel_PerFlag!$B:$B,$Z$10,TaxLevel_PerFlag!$C:$C,"XGBoost",TaxLevel_PerFlag!$D:$D,$AA11)</f>
        <v>0.36604016742167078</v>
      </c>
      <c r="AK11" s="4">
        <f>SUMIFS(TaxLevel_PerFlag!$H:$H,TaxLevel_PerFlag!$A:$A,AK$3,TaxLevel_PerFlag!$B:$B,$Z$10,TaxLevel_PerFlag!$C:$C,"XGBoost",TaxLevel_PerFlag!$D:$D,$AA11)</f>
        <v>0.32250783052191712</v>
      </c>
      <c r="AL11" s="4">
        <f>SUMIFS(TaxLevel_PerFlag!$H:$H,TaxLevel_PerFlag!$A:$A,AL$3,TaxLevel_PerFlag!$B:$B,$Z$10,TaxLevel_PerFlag!$C:$C,"XGBoost",TaxLevel_PerFlag!$D:$D,$AA11)</f>
        <v>0.37938305827754137</v>
      </c>
      <c r="AM11" s="4">
        <f>SUMIFS(TaxLevel_PerFlag!$H:$H,TaxLevel_PerFlag!$A:$A,AM$3,TaxLevel_PerFlag!$B:$B,$Z$10,TaxLevel_PerFlag!$C:$C,"XGBoost",TaxLevel_PerFlag!$D:$D,$AA11)</f>
        <v>0.33458035158842941</v>
      </c>
      <c r="AN11" s="3">
        <f>SUMIFS(TaxLevel_PerFlag!$T:$T,TaxLevel_PerFlag!$A:$A,AN$3,TaxLevel_PerFlag!$B:$B,$Z$10,TaxLevel_PerFlag!$C:$C,"XGBoost",TaxLevel_PerFlag!$D:$D,$AA11)</f>
        <v>0.45630622449844421</v>
      </c>
      <c r="AO11" s="4">
        <f>SUMIFS(TaxLevel_PerFlag!$T:$T,TaxLevel_PerFlag!$A:$A,AO$3,TaxLevel_PerFlag!$B:$B,$Z$10,TaxLevel_PerFlag!$C:$C,"XGBoost",TaxLevel_PerFlag!$D:$D,$AA11)</f>
        <v>0.45536352020325588</v>
      </c>
      <c r="AP11" s="4">
        <f>SUMIFS(TaxLevel_PerFlag!$T:$T,TaxLevel_PerFlag!$A:$A,AP$3,TaxLevel_PerFlag!$B:$B,$Z$10,TaxLevel_PerFlag!$C:$C,"XGBoost",TaxLevel_PerFlag!$D:$D,$AA11)</f>
        <v>0.47570618244810081</v>
      </c>
      <c r="AQ11" s="4">
        <f>SUMIFS(TaxLevel_PerFlag!$T:$T,TaxLevel_PerFlag!$A:$A,AQ$3,TaxLevel_PerFlag!$B:$B,$Z$10,TaxLevel_PerFlag!$C:$C,"XGBoost",TaxLevel_PerFlag!$D:$D,$AA11)</f>
        <v>0.4292561634582911</v>
      </c>
      <c r="AR11" s="5">
        <f>SUMIFS(TaxLevel_PerFlag!$T:$T,TaxLevel_PerFlag!$A:$A,AR$3,TaxLevel_PerFlag!$B:$B,$Z$10,TaxLevel_PerFlag!$C:$C,"XGBoost",TaxLevel_PerFlag!$D:$D,$AA11)</f>
        <v>0.37210215850567879</v>
      </c>
    </row>
    <row r="12" spans="2:44">
      <c r="B12" s="31"/>
      <c r="C12" s="2" t="s">
        <v>67</v>
      </c>
      <c r="D12" s="2">
        <v>20</v>
      </c>
      <c r="E12" s="11">
        <v>0.14492753623188401</v>
      </c>
      <c r="F12" s="3">
        <f>_xlfn.MAXIFS(TaxLevel_PerFlag!$Q:$Q,TaxLevel_PerFlag!$A:$A,F$3,TaxLevel_PerFlag!$B:$B,$B$10,TaxLevel_PerFlag!$D:$D,$C12)</f>
        <v>0.1924204332390321</v>
      </c>
      <c r="G12" s="4">
        <f>_xlfn.MAXIFS(TaxLevel_PerFlag!$Q:$Q,TaxLevel_PerFlag!$A:$A,G$3,TaxLevel_PerFlag!$B:$B,$B$10,TaxLevel_PerFlag!$D:$D,$C12)</f>
        <v>0.16146928839823069</v>
      </c>
      <c r="H12" s="4">
        <f>_xlfn.MAXIFS(TaxLevel_PerFlag!$Q:$Q,TaxLevel_PerFlag!$A:$A,H$3,TaxLevel_PerFlag!$B:$B,$B$10,TaxLevel_PerFlag!$D:$D,$C12)</f>
        <v>0.56878149039763726</v>
      </c>
      <c r="I12" s="4">
        <f>_xlfn.MAXIFS(TaxLevel_PerFlag!$Q:$Q,TaxLevel_PerFlag!$A:$A,I$3,TaxLevel_PerFlag!$B:$B,$B$10,TaxLevel_PerFlag!$D:$D,$C12)</f>
        <v>0.18864022936970259</v>
      </c>
      <c r="J12" s="4">
        <f>_xlfn.MAXIFS(TaxLevel_PerFlag!$Q:$Q,TaxLevel_PerFlag!$A:$A,J$3,TaxLevel_PerFlag!$B:$B,$B$10,TaxLevel_PerFlag!$D:$D,$C12)</f>
        <v>0.23061452978378821</v>
      </c>
      <c r="K12" s="3">
        <f>_xlfn.MAXIFS(TaxLevel_PerFlag!$H:$H,TaxLevel_PerFlag!$A:$A,K$3,TaxLevel_PerFlag!$B:$B,$B$10,TaxLevel_PerFlag!$D:$D,$C12)</f>
        <v>0.26896825396825391</v>
      </c>
      <c r="L12" s="4">
        <f>_xlfn.MAXIFS(TaxLevel_PerFlag!$H:$H,TaxLevel_PerFlag!$A:$A,L$3,TaxLevel_PerFlag!$B:$B,$B$10,TaxLevel_PerFlag!$D:$D,$C12)</f>
        <v>0.22260585819409351</v>
      </c>
      <c r="M12" s="4">
        <f>_xlfn.MAXIFS(TaxLevel_PerFlag!$H:$H,TaxLevel_PerFlag!$A:$A,M$3,TaxLevel_PerFlag!$B:$B,$B$10,TaxLevel_PerFlag!$D:$D,$C12)</f>
        <v>0.47601162454103618</v>
      </c>
      <c r="N12" s="4">
        <f>_xlfn.MAXIFS(TaxLevel_PerFlag!$H:$H,TaxLevel_PerFlag!$A:$A,N$3,TaxLevel_PerFlag!$B:$B,$B$10,TaxLevel_PerFlag!$D:$D,$C12)</f>
        <v>0.32505339962229068</v>
      </c>
      <c r="O12" s="4">
        <f>_xlfn.MAXIFS(TaxLevel_PerFlag!$H:$H,TaxLevel_PerFlag!$A:$A,O$3,TaxLevel_PerFlag!$B:$B,$B$10,TaxLevel_PerFlag!$D:$D,$C12)</f>
        <v>0.31477276309942581</v>
      </c>
      <c r="P12" s="3">
        <f>_xlfn.MAXIFS(TaxLevel_PerFlag!$T:$T,TaxLevel_PerFlag!$A:$A,P$3,TaxLevel_PerFlag!$B:$B,$B$10,TaxLevel_PerFlag!$D:$D,$C12)</f>
        <v>0.28596218596218598</v>
      </c>
      <c r="Q12" s="4">
        <f>_xlfn.MAXIFS(TaxLevel_PerFlag!$T:$T,TaxLevel_PerFlag!$A:$A,Q$3,TaxLevel_PerFlag!$B:$B,$B$10,TaxLevel_PerFlag!$D:$D,$C12)</f>
        <v>0.25680583724813788</v>
      </c>
      <c r="R12" s="4">
        <f>_xlfn.MAXIFS(TaxLevel_PerFlag!$T:$T,TaxLevel_PerFlag!$A:$A,R$3,TaxLevel_PerFlag!$B:$B,$B$10,TaxLevel_PerFlag!$D:$D,$C12)</f>
        <v>0.58909774436090223</v>
      </c>
      <c r="S12" s="4">
        <f>_xlfn.MAXIFS(TaxLevel_PerFlag!$T:$T,TaxLevel_PerFlag!$A:$A,S$3,TaxLevel_PerFlag!$B:$B,$B$10,TaxLevel_PerFlag!$D:$D,$C12)</f>
        <v>0.21379118815430331</v>
      </c>
      <c r="T12" s="5">
        <f>_xlfn.MAXIFS(TaxLevel_PerFlag!$T:$T,TaxLevel_PerFlag!$A:$A,T$3,TaxLevel_PerFlag!$B:$B,$B$10,TaxLevel_PerFlag!$D:$D,$C12)</f>
        <v>0.241669849758085</v>
      </c>
      <c r="Z12" s="31"/>
      <c r="AA12" s="2" t="s">
        <v>67</v>
      </c>
      <c r="AB12" s="2">
        <v>20</v>
      </c>
      <c r="AC12" s="11">
        <v>0.14492753623188401</v>
      </c>
      <c r="AD12" s="3">
        <f>SUMIFS(TaxLevel_PerFlag!$Q:$Q,TaxLevel_PerFlag!$A:$A,AD$3,TaxLevel_PerFlag!$B:$B,$Z$10,TaxLevel_PerFlag!$C:$C,"XGBoost",TaxLevel_PerFlag!$D:$D,$AA12)</f>
        <v>0.10345806856926471</v>
      </c>
      <c r="AE12" s="4">
        <f>SUMIFS(TaxLevel_PerFlag!$Q:$Q,TaxLevel_PerFlag!$A:$A,AE$3,TaxLevel_PerFlag!$B:$B,$Z$10,TaxLevel_PerFlag!$C:$C,"XGBoost",TaxLevel_PerFlag!$D:$D,$AA12)</f>
        <v>0.16146928839823069</v>
      </c>
      <c r="AF12" s="4">
        <f>SUMIFS(TaxLevel_PerFlag!$Q:$Q,TaxLevel_PerFlag!$A:$A,AF$3,TaxLevel_PerFlag!$B:$B,$Z$10,TaxLevel_PerFlag!$C:$C,"XGBoost",TaxLevel_PerFlag!$D:$D,$AA12)</f>
        <v>0.56878149039763726</v>
      </c>
      <c r="AG12" s="4">
        <f>SUMIFS(TaxLevel_PerFlag!$Q:$Q,TaxLevel_PerFlag!$A:$A,AG$3,TaxLevel_PerFlag!$B:$B,$Z$10,TaxLevel_PerFlag!$C:$C,"XGBoost",TaxLevel_PerFlag!$D:$D,$AA12)</f>
        <v>4.5013008660253102E-2</v>
      </c>
      <c r="AH12" s="4">
        <f>SUMIFS(TaxLevel_PerFlag!$Q:$Q,TaxLevel_PerFlag!$A:$A,AH$3,TaxLevel_PerFlag!$B:$B,$Z$10,TaxLevel_PerFlag!$C:$C,"XGBoost",TaxLevel_PerFlag!$D:$D,$AA12)</f>
        <v>9.5352691321822905E-2</v>
      </c>
      <c r="AI12" s="3">
        <f>SUMIFS(TaxLevel_PerFlag!$H:$H,TaxLevel_PerFlag!$A:$A,AI$3,TaxLevel_PerFlag!$B:$B,$Z$10,TaxLevel_PerFlag!$C:$C,"XGBoost",TaxLevel_PerFlag!$D:$D,$AA12)</f>
        <v>0.111006712639729</v>
      </c>
      <c r="AJ12" s="4">
        <f>SUMIFS(TaxLevel_PerFlag!$H:$H,TaxLevel_PerFlag!$A:$A,AJ$3,TaxLevel_PerFlag!$B:$B,$Z$10,TaxLevel_PerFlag!$C:$C,"XGBoost",TaxLevel_PerFlag!$D:$D,$AA12)</f>
        <v>0.1250704364970141</v>
      </c>
      <c r="AK12" s="4">
        <f>SUMIFS(TaxLevel_PerFlag!$H:$H,TaxLevel_PerFlag!$A:$A,AK$3,TaxLevel_PerFlag!$B:$B,$Z$10,TaxLevel_PerFlag!$C:$C,"XGBoost",TaxLevel_PerFlag!$D:$D,$AA12)</f>
        <v>0.47601162454103618</v>
      </c>
      <c r="AL12" s="4">
        <f>SUMIFS(TaxLevel_PerFlag!$H:$H,TaxLevel_PerFlag!$A:$A,AL$3,TaxLevel_PerFlag!$B:$B,$Z$10,TaxLevel_PerFlag!$C:$C,"XGBoost",TaxLevel_PerFlag!$D:$D,$AA12)</f>
        <v>0.10434476673932019</v>
      </c>
      <c r="AM12" s="4">
        <f>SUMIFS(TaxLevel_PerFlag!$H:$H,TaxLevel_PerFlag!$A:$A,AM$3,TaxLevel_PerFlag!$B:$B,$Z$10,TaxLevel_PerFlag!$C:$C,"XGBoost",TaxLevel_PerFlag!$D:$D,$AA12)</f>
        <v>0.1076579410108523</v>
      </c>
      <c r="AN12" s="3">
        <f>SUMIFS(TaxLevel_PerFlag!$T:$T,TaxLevel_PerFlag!$A:$A,AN$3,TaxLevel_PerFlag!$B:$B,$Z$10,TaxLevel_PerFlag!$C:$C,"XGBoost",TaxLevel_PerFlag!$D:$D,$AA12)</f>
        <v>0.15342555994729901</v>
      </c>
      <c r="AO12" s="4">
        <f>SUMIFS(TaxLevel_PerFlag!$T:$T,TaxLevel_PerFlag!$A:$A,AO$3,TaxLevel_PerFlag!$B:$B,$Z$10,TaxLevel_PerFlag!$C:$C,"XGBoost",TaxLevel_PerFlag!$D:$D,$AA12)</f>
        <v>0.2439442986402347</v>
      </c>
      <c r="AP12" s="4">
        <f>SUMIFS(TaxLevel_PerFlag!$T:$T,TaxLevel_PerFlag!$A:$A,AP$3,TaxLevel_PerFlag!$B:$B,$Z$10,TaxLevel_PerFlag!$C:$C,"XGBoost",TaxLevel_PerFlag!$D:$D,$AA12)</f>
        <v>0.58909774436090223</v>
      </c>
      <c r="AQ12" s="4">
        <f>SUMIFS(TaxLevel_PerFlag!$T:$T,TaxLevel_PerFlag!$A:$A,AQ$3,TaxLevel_PerFlag!$B:$B,$Z$10,TaxLevel_PerFlag!$C:$C,"XGBoost",TaxLevel_PerFlag!$D:$D,$AA12)</f>
        <v>0.1479182548957686</v>
      </c>
      <c r="AR12" s="5">
        <f>SUMIFS(TaxLevel_PerFlag!$T:$T,TaxLevel_PerFlag!$A:$A,AR$3,TaxLevel_PerFlag!$B:$B,$Z$10,TaxLevel_PerFlag!$C:$C,"XGBoost",TaxLevel_PerFlag!$D:$D,$AA12)</f>
        <v>0.17774928989113131</v>
      </c>
    </row>
    <row r="13" spans="2:44">
      <c r="B13" s="31"/>
      <c r="C13" s="2" t="s">
        <v>69</v>
      </c>
      <c r="D13" s="2">
        <v>26</v>
      </c>
      <c r="E13" s="11">
        <v>0.1884057971014492</v>
      </c>
      <c r="F13" s="3">
        <f>_xlfn.MAXIFS(TaxLevel_PerFlag!$Q:$Q,TaxLevel_PerFlag!$A:$A,F$3,TaxLevel_PerFlag!$B:$B,$B$10,TaxLevel_PerFlag!$D:$D,$C13)</f>
        <v>0.64964940099912138</v>
      </c>
      <c r="G13" s="4">
        <f>_xlfn.MAXIFS(TaxLevel_PerFlag!$Q:$Q,TaxLevel_PerFlag!$A:$A,G$3,TaxLevel_PerFlag!$B:$B,$B$10,TaxLevel_PerFlag!$D:$D,$C13)</f>
        <v>0.69051723059164127</v>
      </c>
      <c r="H13" s="4">
        <f>_xlfn.MAXIFS(TaxLevel_PerFlag!$Q:$Q,TaxLevel_PerFlag!$A:$A,H$3,TaxLevel_PerFlag!$B:$B,$B$10,TaxLevel_PerFlag!$D:$D,$C13)</f>
        <v>0.6765276007086618</v>
      </c>
      <c r="I13" s="4">
        <f>_xlfn.MAXIFS(TaxLevel_PerFlag!$Q:$Q,TaxLevel_PerFlag!$A:$A,I$3,TaxLevel_PerFlag!$B:$B,$B$10,TaxLevel_PerFlag!$D:$D,$C13)</f>
        <v>0.68344735823235647</v>
      </c>
      <c r="J13" s="4">
        <f>_xlfn.MAXIFS(TaxLevel_PerFlag!$Q:$Q,TaxLevel_PerFlag!$A:$A,J$3,TaxLevel_PerFlag!$B:$B,$B$10,TaxLevel_PerFlag!$D:$D,$C13)</f>
        <v>0.63886487561579985</v>
      </c>
      <c r="K13" s="3">
        <f>_xlfn.MAXIFS(TaxLevel_PerFlag!$H:$H,TaxLevel_PerFlag!$A:$A,K$3,TaxLevel_PerFlag!$B:$B,$B$10,TaxLevel_PerFlag!$D:$D,$C13)</f>
        <v>0.62860734970024701</v>
      </c>
      <c r="L13" s="4">
        <f>_xlfn.MAXIFS(TaxLevel_PerFlag!$H:$H,TaxLevel_PerFlag!$A:$A,L$3,TaxLevel_PerFlag!$B:$B,$B$10,TaxLevel_PerFlag!$D:$D,$C13)</f>
        <v>0.71673360065913339</v>
      </c>
      <c r="M13" s="4">
        <f>_xlfn.MAXIFS(TaxLevel_PerFlag!$H:$H,TaxLevel_PerFlag!$A:$A,M$3,TaxLevel_PerFlag!$B:$B,$B$10,TaxLevel_PerFlag!$D:$D,$C13)</f>
        <v>0.68593956182737859</v>
      </c>
      <c r="N13" s="4">
        <f>_xlfn.MAXIFS(TaxLevel_PerFlag!$H:$H,TaxLevel_PerFlag!$A:$A,N$3,TaxLevel_PerFlag!$B:$B,$B$10,TaxLevel_PerFlag!$D:$D,$C13)</f>
        <v>0.64021579737465661</v>
      </c>
      <c r="O13" s="4">
        <f>_xlfn.MAXIFS(TaxLevel_PerFlag!$H:$H,TaxLevel_PerFlag!$A:$A,O$3,TaxLevel_PerFlag!$B:$B,$B$10,TaxLevel_PerFlag!$D:$D,$C13)</f>
        <v>0.60239951820242155</v>
      </c>
      <c r="P13" s="3">
        <f>_xlfn.MAXIFS(TaxLevel_PerFlag!$T:$T,TaxLevel_PerFlag!$A:$A,P$3,TaxLevel_PerFlag!$B:$B,$B$10,TaxLevel_PerFlag!$D:$D,$C13)</f>
        <v>0.82776917663617167</v>
      </c>
      <c r="Q13" s="4">
        <f>_xlfn.MAXIFS(TaxLevel_PerFlag!$T:$T,TaxLevel_PerFlag!$A:$A,Q$3,TaxLevel_PerFlag!$B:$B,$B$10,TaxLevel_PerFlag!$D:$D,$C13)</f>
        <v>0.84706073659191272</v>
      </c>
      <c r="R13" s="4">
        <f>_xlfn.MAXIFS(TaxLevel_PerFlag!$T:$T,TaxLevel_PerFlag!$A:$A,R$3,TaxLevel_PerFlag!$B:$B,$B$10,TaxLevel_PerFlag!$D:$D,$C13)</f>
        <v>0.84546762589928071</v>
      </c>
      <c r="S13" s="4">
        <f>_xlfn.MAXIFS(TaxLevel_PerFlag!$T:$T,TaxLevel_PerFlag!$A:$A,S$3,TaxLevel_PerFlag!$B:$B,$B$10,TaxLevel_PerFlag!$D:$D,$C13)</f>
        <v>0.85269482980892375</v>
      </c>
      <c r="T13" s="5">
        <f>_xlfn.MAXIFS(TaxLevel_PerFlag!$T:$T,TaxLevel_PerFlag!$A:$A,T$3,TaxLevel_PerFlag!$B:$B,$B$10,TaxLevel_PerFlag!$D:$D,$C13)</f>
        <v>0.79363918658341381</v>
      </c>
      <c r="Z13" s="31"/>
      <c r="AA13" s="2" t="s">
        <v>69</v>
      </c>
      <c r="AB13" s="2">
        <v>26</v>
      </c>
      <c r="AC13" s="11">
        <v>0.1884057971014492</v>
      </c>
      <c r="AD13" s="3">
        <f>SUMIFS(TaxLevel_PerFlag!$Q:$Q,TaxLevel_PerFlag!$A:$A,AD$3,TaxLevel_PerFlag!$B:$B,$Z$10,TaxLevel_PerFlag!$C:$C,"XGBoost",TaxLevel_PerFlag!$D:$D,$AA13)</f>
        <v>0.59016946908496926</v>
      </c>
      <c r="AE13" s="4">
        <f>SUMIFS(TaxLevel_PerFlag!$Q:$Q,TaxLevel_PerFlag!$A:$A,AE$3,TaxLevel_PerFlag!$B:$B,$Z$10,TaxLevel_PerFlag!$C:$C,"XGBoost",TaxLevel_PerFlag!$D:$D,$AA13)</f>
        <v>0.54226443239434807</v>
      </c>
      <c r="AF13" s="4">
        <f>SUMIFS(TaxLevel_PerFlag!$Q:$Q,TaxLevel_PerFlag!$A:$A,AF$3,TaxLevel_PerFlag!$B:$B,$Z$10,TaxLevel_PerFlag!$C:$C,"XGBoost",TaxLevel_PerFlag!$D:$D,$AA13)</f>
        <v>0.58680827004765534</v>
      </c>
      <c r="AG13" s="4">
        <f>SUMIFS(TaxLevel_PerFlag!$Q:$Q,TaxLevel_PerFlag!$A:$A,AG$3,TaxLevel_PerFlag!$B:$B,$Z$10,TaxLevel_PerFlag!$C:$C,"XGBoost",TaxLevel_PerFlag!$D:$D,$AA13)</f>
        <v>0.61549812484477739</v>
      </c>
      <c r="AH13" s="4">
        <f>SUMIFS(TaxLevel_PerFlag!$Q:$Q,TaxLevel_PerFlag!$A:$A,AH$3,TaxLevel_PerFlag!$B:$B,$Z$10,TaxLevel_PerFlag!$C:$C,"XGBoost",TaxLevel_PerFlag!$D:$D,$AA13)</f>
        <v>0.59582098937195693</v>
      </c>
      <c r="AI13" s="3">
        <f>SUMIFS(TaxLevel_PerFlag!$H:$H,TaxLevel_PerFlag!$A:$A,AI$3,TaxLevel_PerFlag!$B:$B,$Z$10,TaxLevel_PerFlag!$C:$C,"XGBoost",TaxLevel_PerFlag!$D:$D,$AA13)</f>
        <v>0.62860734970024701</v>
      </c>
      <c r="AJ13" s="4">
        <f>SUMIFS(TaxLevel_PerFlag!$H:$H,TaxLevel_PerFlag!$A:$A,AJ$3,TaxLevel_PerFlag!$B:$B,$Z$10,TaxLevel_PerFlag!$C:$C,"XGBoost",TaxLevel_PerFlag!$D:$D,$AA13)</f>
        <v>0.71673360065913339</v>
      </c>
      <c r="AK13" s="4">
        <f>SUMIFS(TaxLevel_PerFlag!$H:$H,TaxLevel_PerFlag!$A:$A,AK$3,TaxLevel_PerFlag!$B:$B,$Z$10,TaxLevel_PerFlag!$C:$C,"XGBoost",TaxLevel_PerFlag!$D:$D,$AA13)</f>
        <v>0.64085879594031814</v>
      </c>
      <c r="AL13" s="4">
        <f>SUMIFS(TaxLevel_PerFlag!$H:$H,TaxLevel_PerFlag!$A:$A,AL$3,TaxLevel_PerFlag!$B:$B,$Z$10,TaxLevel_PerFlag!$C:$C,"XGBoost",TaxLevel_PerFlag!$D:$D,$AA13)</f>
        <v>0.64021579737465661</v>
      </c>
      <c r="AM13" s="4">
        <f>SUMIFS(TaxLevel_PerFlag!$H:$H,TaxLevel_PerFlag!$A:$A,AM$3,TaxLevel_PerFlag!$B:$B,$Z$10,TaxLevel_PerFlag!$C:$C,"XGBoost",TaxLevel_PerFlag!$D:$D,$AA13)</f>
        <v>0.57203214780602862</v>
      </c>
      <c r="AN13" s="3">
        <f>SUMIFS(TaxLevel_PerFlag!$T:$T,TaxLevel_PerFlag!$A:$A,AN$3,TaxLevel_PerFlag!$B:$B,$Z$10,TaxLevel_PerFlag!$C:$C,"XGBoost",TaxLevel_PerFlag!$D:$D,$AA13)</f>
        <v>0.79379910829288514</v>
      </c>
      <c r="AO13" s="4">
        <f>SUMIFS(TaxLevel_PerFlag!$T:$T,TaxLevel_PerFlag!$A:$A,AO$3,TaxLevel_PerFlag!$B:$B,$Z$10,TaxLevel_PerFlag!$C:$C,"XGBoost",TaxLevel_PerFlag!$D:$D,$AA13)</f>
        <v>0.69603432453959102</v>
      </c>
      <c r="AP13" s="4">
        <f>SUMIFS(TaxLevel_PerFlag!$T:$T,TaxLevel_PerFlag!$A:$A,AP$3,TaxLevel_PerFlag!$B:$B,$Z$10,TaxLevel_PerFlag!$C:$C,"XGBoost",TaxLevel_PerFlag!$D:$D,$AA13)</f>
        <v>0.76749946473778374</v>
      </c>
      <c r="AQ13" s="4">
        <f>SUMIFS(TaxLevel_PerFlag!$T:$T,TaxLevel_PerFlag!$A:$A,AQ$3,TaxLevel_PerFlag!$B:$B,$Z$10,TaxLevel_PerFlag!$C:$C,"XGBoost",TaxLevel_PerFlag!$D:$D,$AA13)</f>
        <v>0.81693980926717491</v>
      </c>
      <c r="AR13" s="5">
        <f>SUMIFS(TaxLevel_PerFlag!$T:$T,TaxLevel_PerFlag!$A:$A,AR$3,TaxLevel_PerFlag!$B:$B,$Z$10,TaxLevel_PerFlag!$C:$C,"XGBoost",TaxLevel_PerFlag!$D:$D,$AA13)</f>
        <v>0.77290625981051053</v>
      </c>
    </row>
    <row r="14" spans="2:44">
      <c r="B14" s="31"/>
      <c r="C14" s="2" t="s">
        <v>70</v>
      </c>
      <c r="D14" s="2">
        <v>7</v>
      </c>
      <c r="E14" s="11">
        <v>5.0724637681159403E-2</v>
      </c>
      <c r="F14" s="6">
        <f>_xlfn.MAXIFS(TaxLevel_PerFlag!$Q:$Q,TaxLevel_PerFlag!$A:$A,F$3,TaxLevel_PerFlag!$B:$B,$B$10,TaxLevel_PerFlag!$D:$D,$C14)</f>
        <v>6.4920690790945201E-2</v>
      </c>
      <c r="G14" s="4">
        <f>_xlfn.MAXIFS(TaxLevel_PerFlag!$Q:$Q,TaxLevel_PerFlag!$A:$A,G$3,TaxLevel_PerFlag!$B:$B,$B$10,TaxLevel_PerFlag!$D:$D,$C14)</f>
        <v>0.19159217175122101</v>
      </c>
      <c r="H14" s="4">
        <f>_xlfn.MAXIFS(TaxLevel_PerFlag!$Q:$Q,TaxLevel_PerFlag!$A:$A,H$3,TaxLevel_PerFlag!$B:$B,$B$10,TaxLevel_PerFlag!$D:$D,$C14)</f>
        <v>0.25214974449585031</v>
      </c>
      <c r="I14" s="4">
        <f>_xlfn.MAXIFS(TaxLevel_PerFlag!$Q:$Q,TaxLevel_PerFlag!$A:$A,I$3,TaxLevel_PerFlag!$B:$B,$B$10,TaxLevel_PerFlag!$D:$D,$C14)</f>
        <v>0.31749024378478219</v>
      </c>
      <c r="J14" s="4">
        <f>_xlfn.MAXIFS(TaxLevel_PerFlag!$Q:$Q,TaxLevel_PerFlag!$A:$A,J$3,TaxLevel_PerFlag!$B:$B,$B$10,TaxLevel_PerFlag!$D:$D,$C14)</f>
        <v>0.39139016330857429</v>
      </c>
      <c r="K14" s="3">
        <f>_xlfn.MAXIFS(TaxLevel_PerFlag!$H:$H,TaxLevel_PerFlag!$A:$A,K$3,TaxLevel_PerFlag!$B:$B,$B$10,TaxLevel_PerFlag!$D:$D,$C14)</f>
        <v>0.10649359405905259</v>
      </c>
      <c r="L14" s="4">
        <f>_xlfn.MAXIFS(TaxLevel_PerFlag!$H:$H,TaxLevel_PerFlag!$A:$A,L$3,TaxLevel_PerFlag!$B:$B,$B$10,TaxLevel_PerFlag!$D:$D,$C14)</f>
        <v>0.27851698690820897</v>
      </c>
      <c r="M14" s="4">
        <f>_xlfn.MAXIFS(TaxLevel_PerFlag!$H:$H,TaxLevel_PerFlag!$A:$A,M$3,TaxLevel_PerFlag!$B:$B,$B$10,TaxLevel_PerFlag!$D:$D,$C14)</f>
        <v>0.30891156462585029</v>
      </c>
      <c r="N14" s="4">
        <f>_xlfn.MAXIFS(TaxLevel_PerFlag!$H:$H,TaxLevel_PerFlag!$A:$A,N$3,TaxLevel_PerFlag!$B:$B,$B$10,TaxLevel_PerFlag!$D:$D,$C14)</f>
        <v>0.32108843537414961</v>
      </c>
      <c r="O14" s="4">
        <f>_xlfn.MAXIFS(TaxLevel_PerFlag!$H:$H,TaxLevel_PerFlag!$A:$A,O$3,TaxLevel_PerFlag!$B:$B,$B$10,TaxLevel_PerFlag!$D:$D,$C14)</f>
        <v>0.3548295623780035</v>
      </c>
      <c r="P14" s="3">
        <f>_xlfn.MAXIFS(TaxLevel_PerFlag!$T:$T,TaxLevel_PerFlag!$A:$A,P$3,TaxLevel_PerFlag!$B:$B,$B$10,TaxLevel_PerFlag!$D:$D,$C14)</f>
        <v>0.20833333333333329</v>
      </c>
      <c r="Q14" s="4">
        <f>_xlfn.MAXIFS(TaxLevel_PerFlag!$T:$T,TaxLevel_PerFlag!$A:$A,Q$3,TaxLevel_PerFlag!$B:$B,$B$10,TaxLevel_PerFlag!$D:$D,$C14)</f>
        <v>0.30514534833924312</v>
      </c>
      <c r="R14" s="4">
        <f>_xlfn.MAXIFS(TaxLevel_PerFlag!$T:$T,TaxLevel_PerFlag!$A:$A,R$3,TaxLevel_PerFlag!$B:$B,$B$10,TaxLevel_PerFlag!$D:$D,$C14)</f>
        <v>0.3408850026497085</v>
      </c>
      <c r="S14" s="4">
        <f>_xlfn.MAXIFS(TaxLevel_PerFlag!$T:$T,TaxLevel_PerFlag!$A:$A,S$3,TaxLevel_PerFlag!$B:$B,$B$10,TaxLevel_PerFlag!$D:$D,$C14)</f>
        <v>0.3819494628318158</v>
      </c>
      <c r="T14" s="5">
        <f>_xlfn.MAXIFS(TaxLevel_PerFlag!$T:$T,TaxLevel_PerFlag!$A:$A,T$3,TaxLevel_PerFlag!$B:$B,$B$10,TaxLevel_PerFlag!$D:$D,$C14)</f>
        <v>0.47449802770915811</v>
      </c>
      <c r="Z14" s="31"/>
      <c r="AA14" s="2" t="s">
        <v>70</v>
      </c>
      <c r="AB14" s="2">
        <v>7</v>
      </c>
      <c r="AC14" s="11">
        <v>5.0724637681159403E-2</v>
      </c>
      <c r="AD14" s="6">
        <f>SUMIFS(TaxLevel_PerFlag!$Q:$Q,TaxLevel_PerFlag!$A:$A,AD$3,TaxLevel_PerFlag!$B:$B,$Z$10,TaxLevel_PerFlag!$C:$C,"XGBoost",TaxLevel_PerFlag!$D:$D,$AA14)</f>
        <v>3.3888658727545602E-2</v>
      </c>
      <c r="AE14" s="4">
        <f>SUMIFS(TaxLevel_PerFlag!$Q:$Q,TaxLevel_PerFlag!$A:$A,AE$3,TaxLevel_PerFlag!$B:$B,$Z$10,TaxLevel_PerFlag!$C:$C,"XGBoost",TaxLevel_PerFlag!$D:$D,$AA14)</f>
        <v>0.19159217175122101</v>
      </c>
      <c r="AF14" s="4">
        <f>SUMIFS(TaxLevel_PerFlag!$Q:$Q,TaxLevel_PerFlag!$A:$A,AF$3,TaxLevel_PerFlag!$B:$B,$Z$10,TaxLevel_PerFlag!$C:$C,"XGBoost",TaxLevel_PerFlag!$D:$D,$AA14)</f>
        <v>0.1012875803371948</v>
      </c>
      <c r="AG14" s="4">
        <f>SUMIFS(TaxLevel_PerFlag!$Q:$Q,TaxLevel_PerFlag!$A:$A,AG$3,TaxLevel_PerFlag!$B:$B,$Z$10,TaxLevel_PerFlag!$C:$C,"XGBoost",TaxLevel_PerFlag!$D:$D,$AA14)</f>
        <v>0.1089969680434212</v>
      </c>
      <c r="AH14" s="4">
        <f>SUMIFS(TaxLevel_PerFlag!$Q:$Q,TaxLevel_PerFlag!$A:$A,AH$3,TaxLevel_PerFlag!$B:$B,$Z$10,TaxLevel_PerFlag!$C:$C,"XGBoost",TaxLevel_PerFlag!$D:$D,$AA14)</f>
        <v>7.53735187606933E-2</v>
      </c>
      <c r="AI14" s="3">
        <f>SUMIFS(TaxLevel_PerFlag!$H:$H,TaxLevel_PerFlag!$A:$A,AI$3,TaxLevel_PerFlag!$B:$B,$Z$10,TaxLevel_PerFlag!$C:$C,"XGBoost",TaxLevel_PerFlag!$D:$D,$AA14)</f>
        <v>6.25125133880053E-2</v>
      </c>
      <c r="AJ14" s="4">
        <f>SUMIFS(TaxLevel_PerFlag!$H:$H,TaxLevel_PerFlag!$A:$A,AJ$3,TaxLevel_PerFlag!$B:$B,$Z$10,TaxLevel_PerFlag!$C:$C,"XGBoost",TaxLevel_PerFlag!$D:$D,$AA14)</f>
        <v>0.20184713690176531</v>
      </c>
      <c r="AK14" s="4">
        <f>SUMIFS(TaxLevel_PerFlag!$H:$H,TaxLevel_PerFlag!$A:$A,AK$3,TaxLevel_PerFlag!$B:$B,$Z$10,TaxLevel_PerFlag!$C:$C,"XGBoost",TaxLevel_PerFlag!$D:$D,$AA14)</f>
        <v>0.12090752965550269</v>
      </c>
      <c r="AL14" s="4">
        <f>SUMIFS(TaxLevel_PerFlag!$H:$H,TaxLevel_PerFlag!$A:$A,AL$3,TaxLevel_PerFlag!$B:$B,$Z$10,TaxLevel_PerFlag!$C:$C,"XGBoost",TaxLevel_PerFlag!$D:$D,$AA14)</f>
        <v>0.1669019994924707</v>
      </c>
      <c r="AM14" s="4">
        <f>SUMIFS(TaxLevel_PerFlag!$H:$H,TaxLevel_PerFlag!$A:$A,AM$3,TaxLevel_PerFlag!$B:$B,$Z$10,TaxLevel_PerFlag!$C:$C,"XGBoost",TaxLevel_PerFlag!$D:$D,$AA14)</f>
        <v>0.11772906406771851</v>
      </c>
      <c r="AN14" s="3">
        <f>SUMIFS(TaxLevel_PerFlag!$T:$T,TaxLevel_PerFlag!$A:$A,AN$3,TaxLevel_PerFlag!$B:$B,$Z$10,TaxLevel_PerFlag!$C:$C,"XGBoost",TaxLevel_PerFlag!$D:$D,$AA14)</f>
        <v>0.2039629030185057</v>
      </c>
      <c r="AO14" s="4">
        <f>SUMIFS(TaxLevel_PerFlag!$T:$T,TaxLevel_PerFlag!$A:$A,AO$3,TaxLevel_PerFlag!$B:$B,$Z$10,TaxLevel_PerFlag!$C:$C,"XGBoost",TaxLevel_PerFlag!$D:$D,$AA14)</f>
        <v>0.30514534833924312</v>
      </c>
      <c r="AP14" s="4">
        <f>SUMIFS(TaxLevel_PerFlag!$T:$T,TaxLevel_PerFlag!$A:$A,AP$3,TaxLevel_PerFlag!$B:$B,$Z$10,TaxLevel_PerFlag!$C:$C,"XGBoost",TaxLevel_PerFlag!$D:$D,$AA14)</f>
        <v>0.2361402095084609</v>
      </c>
      <c r="AQ14" s="4">
        <f>SUMIFS(TaxLevel_PerFlag!$T:$T,TaxLevel_PerFlag!$A:$A,AQ$3,TaxLevel_PerFlag!$B:$B,$Z$10,TaxLevel_PerFlag!$C:$C,"XGBoost",TaxLevel_PerFlag!$D:$D,$AA14)</f>
        <v>0.18576408373607789</v>
      </c>
      <c r="AR14" s="5">
        <f>SUMIFS(TaxLevel_PerFlag!$T:$T,TaxLevel_PerFlag!$A:$A,AR$3,TaxLevel_PerFlag!$B:$B,$Z$10,TaxLevel_PerFlag!$C:$C,"XGBoost",TaxLevel_PerFlag!$D:$D,$AA14)</f>
        <v>0.23579277769567811</v>
      </c>
    </row>
    <row r="15" spans="2:44" ht="17.25" thickBot="1">
      <c r="B15" s="32"/>
      <c r="C15" s="21" t="s">
        <v>100</v>
      </c>
      <c r="D15" s="21"/>
      <c r="E15" s="22"/>
      <c r="F15" s="24">
        <f>AVERAGE(F10:F14)</f>
        <v>0.27467521340771583</v>
      </c>
      <c r="G15" s="8">
        <f t="shared" ref="G15" si="2">AVERAGE(G10:G14)</f>
        <v>0.29753562056100391</v>
      </c>
      <c r="H15" s="12">
        <f t="shared" ref="H15" si="3">AVERAGE(H10:H14)</f>
        <v>0.4117418470954009</v>
      </c>
      <c r="I15" s="8">
        <f t="shared" ref="I15" si="4">AVERAGE(I10:I14)</f>
        <v>0.33710955584397789</v>
      </c>
      <c r="J15" s="8">
        <f t="shared" ref="J15" si="5">AVERAGE(J10:J14)</f>
        <v>0.33962103236596419</v>
      </c>
      <c r="K15" s="24">
        <f t="shared" ref="K15" si="6">AVERAGE(K10:K14)</f>
        <v>0.32565560561326157</v>
      </c>
      <c r="L15" s="25">
        <f t="shared" ref="L15" si="7">AVERAGE(L10:L14)</f>
        <v>0.36945305794033217</v>
      </c>
      <c r="M15" s="26">
        <f t="shared" ref="M15" si="8">AVERAGE(M10:M14)</f>
        <v>0.42925398055901526</v>
      </c>
      <c r="N15" s="25">
        <f t="shared" ref="N15" si="9">AVERAGE(N10:N14)</f>
        <v>0.39673619752350675</v>
      </c>
      <c r="O15" s="25">
        <f t="shared" ref="O15" si="10">AVERAGE(O10:O14)</f>
        <v>0.35541894864908924</v>
      </c>
      <c r="P15" s="7">
        <f t="shared" ref="P15" si="11">AVERAGE(P10:P14)</f>
        <v>0.40231644843730752</v>
      </c>
      <c r="Q15" s="8">
        <f t="shared" ref="Q15" si="12">AVERAGE(Q10:Q14)</f>
        <v>0.44844069007666781</v>
      </c>
      <c r="R15" s="12">
        <f t="shared" ref="R15" si="13">AVERAGE(R10:R14)</f>
        <v>0.51291882932131938</v>
      </c>
      <c r="S15" s="8">
        <f t="shared" ref="S15" si="14">AVERAGE(S10:S14)</f>
        <v>0.44811720332651905</v>
      </c>
      <c r="T15" s="9">
        <f t="shared" ref="T15" si="15">AVERAGE(T10:T14)</f>
        <v>0.46380093443366333</v>
      </c>
      <c r="Z15" s="32"/>
      <c r="AA15" s="21" t="s">
        <v>100</v>
      </c>
      <c r="AB15" s="21"/>
      <c r="AC15" s="22"/>
      <c r="AD15" s="24">
        <f>AVERAGE(AD10:AD14)</f>
        <v>0.23878034767825201</v>
      </c>
      <c r="AE15" s="8">
        <f t="shared" ref="AE15:AR15" si="16">AVERAGE(AE10:AE14)</f>
        <v>0.25525459947291307</v>
      </c>
      <c r="AF15" s="12">
        <f t="shared" si="16"/>
        <v>0.36362554813146852</v>
      </c>
      <c r="AG15" s="8">
        <f t="shared" si="16"/>
        <v>0.23326881632635557</v>
      </c>
      <c r="AH15" s="8">
        <f t="shared" si="16"/>
        <v>0.2177103835967146</v>
      </c>
      <c r="AI15" s="24">
        <f t="shared" si="16"/>
        <v>0.28526708121334715</v>
      </c>
      <c r="AJ15" s="25">
        <f t="shared" si="16"/>
        <v>0.33461200359962756</v>
      </c>
      <c r="AK15" s="26">
        <f t="shared" si="16"/>
        <v>0.37173002267993316</v>
      </c>
      <c r="AL15" s="25">
        <f t="shared" si="16"/>
        <v>0.31500766152182419</v>
      </c>
      <c r="AM15" s="25">
        <f t="shared" si="16"/>
        <v>0.25279231710011352</v>
      </c>
      <c r="AN15" s="7">
        <f t="shared" si="16"/>
        <v>0.36632072226659945</v>
      </c>
      <c r="AO15" s="8">
        <f t="shared" si="16"/>
        <v>0.39491767807497141</v>
      </c>
      <c r="AP15" s="12">
        <f t="shared" si="16"/>
        <v>0.47036601951992785</v>
      </c>
      <c r="AQ15" s="8">
        <f t="shared" si="16"/>
        <v>0.36249617017317071</v>
      </c>
      <c r="AR15" s="9">
        <f t="shared" si="16"/>
        <v>0.35657688286358474</v>
      </c>
    </row>
    <row r="16" spans="2:44" ht="16.5" customHeight="1">
      <c r="B16" s="30" t="s">
        <v>78</v>
      </c>
      <c r="C16" s="16" t="s">
        <v>71</v>
      </c>
      <c r="D16" s="16">
        <v>9</v>
      </c>
      <c r="E16" s="17">
        <v>6.5217391304347797E-2</v>
      </c>
      <c r="F16" s="18">
        <f>_xlfn.MAXIFS(TaxLevel_PerFlag!$Q:$Q,TaxLevel_PerFlag!$A:$A,F$3,TaxLevel_PerFlag!$B:$B,$B$16,TaxLevel_PerFlag!$D:$D,$C16)</f>
        <v>2.2191029987467699E-2</v>
      </c>
      <c r="G16" s="19">
        <f>_xlfn.MAXIFS(TaxLevel_PerFlag!$Q:$Q,TaxLevel_PerFlag!$A:$A,G$3,TaxLevel_PerFlag!$B:$B,$B$16,TaxLevel_PerFlag!$D:$D,$C16)</f>
        <v>0.16747736878780561</v>
      </c>
      <c r="H16" s="19">
        <f>_xlfn.MAXIFS(TaxLevel_PerFlag!$Q:$Q,TaxLevel_PerFlag!$A:$A,H$3,TaxLevel_PerFlag!$B:$B,$B$16,TaxLevel_PerFlag!$D:$D,$C16)</f>
        <v>0.20816679944749111</v>
      </c>
      <c r="I16" s="19">
        <f>_xlfn.MAXIFS(TaxLevel_PerFlag!$Q:$Q,TaxLevel_PerFlag!$A:$A,I$3,TaxLevel_PerFlag!$B:$B,$B$16,TaxLevel_PerFlag!$D:$D,$C16)</f>
        <v>0.16938385303372519</v>
      </c>
      <c r="J16" s="19">
        <f>_xlfn.MAXIFS(TaxLevel_PerFlag!$Q:$Q,TaxLevel_PerFlag!$A:$A,J$3,TaxLevel_PerFlag!$B:$B,$B$16,TaxLevel_PerFlag!$D:$D,$C16)</f>
        <v>0.16055595410595641</v>
      </c>
      <c r="K16" s="18">
        <f>_xlfn.MAXIFS(TaxLevel_PerFlag!$H:$H,TaxLevel_PerFlag!$A:$A,K$3,TaxLevel_PerFlag!$B:$B,$B$16,TaxLevel_PerFlag!$D:$D,$C16)</f>
        <v>9.0168820644619896E-2</v>
      </c>
      <c r="L16" s="19">
        <f>_xlfn.MAXIFS(TaxLevel_PerFlag!$H:$H,TaxLevel_PerFlag!$A:$A,L$3,TaxLevel_PerFlag!$B:$B,$B$16,TaxLevel_PerFlag!$D:$D,$C16)</f>
        <v>0.22388642099032249</v>
      </c>
      <c r="M16" s="19">
        <f>_xlfn.MAXIFS(TaxLevel_PerFlag!$H:$H,TaxLevel_PerFlag!$A:$A,M$3,TaxLevel_PerFlag!$B:$B,$B$16,TaxLevel_PerFlag!$D:$D,$C16)</f>
        <v>0.28386696660446481</v>
      </c>
      <c r="N16" s="19">
        <f>_xlfn.MAXIFS(TaxLevel_PerFlag!$H:$H,TaxLevel_PerFlag!$A:$A,N$3,TaxLevel_PerFlag!$B:$B,$B$16,TaxLevel_PerFlag!$D:$D,$C16)</f>
        <v>0.2903137891903988</v>
      </c>
      <c r="O16" s="19">
        <f>_xlfn.MAXIFS(TaxLevel_PerFlag!$H:$H,TaxLevel_PerFlag!$A:$A,O$3,TaxLevel_PerFlag!$B:$B,$B$16,TaxLevel_PerFlag!$D:$D,$C16)</f>
        <v>0.138694649419287</v>
      </c>
      <c r="P16" s="18">
        <f>_xlfn.MAXIFS(TaxLevel_PerFlag!$T:$T,TaxLevel_PerFlag!$A:$A,P$3,TaxLevel_PerFlag!$B:$B,$B$16,TaxLevel_PerFlag!$D:$D,$C16)</f>
        <v>0.2485064935323878</v>
      </c>
      <c r="Q16" s="19">
        <f>_xlfn.MAXIFS(TaxLevel_PerFlag!$T:$T,TaxLevel_PerFlag!$A:$A,Q$3,TaxLevel_PerFlag!$B:$B,$B$16,TaxLevel_PerFlag!$D:$D,$C16)</f>
        <v>0.2612902003145906</v>
      </c>
      <c r="R16" s="19">
        <f>_xlfn.MAXIFS(TaxLevel_PerFlag!$T:$T,TaxLevel_PerFlag!$A:$A,R$3,TaxLevel_PerFlag!$B:$B,$B$16,TaxLevel_PerFlag!$D:$D,$C16)</f>
        <v>0.30246954911251051</v>
      </c>
      <c r="S16" s="19">
        <f>_xlfn.MAXIFS(TaxLevel_PerFlag!$T:$T,TaxLevel_PerFlag!$A:$A,S$3,TaxLevel_PerFlag!$B:$B,$B$16,TaxLevel_PerFlag!$D:$D,$C16)</f>
        <v>0.289105222081189</v>
      </c>
      <c r="T16" s="20">
        <f>_xlfn.MAXIFS(TaxLevel_PerFlag!$T:$T,TaxLevel_PerFlag!$A:$A,T$3,TaxLevel_PerFlag!$B:$B,$B$16,TaxLevel_PerFlag!$D:$D,$C16)</f>
        <v>0.29618275808936728</v>
      </c>
      <c r="Z16" s="30" t="s">
        <v>78</v>
      </c>
      <c r="AA16" s="16" t="s">
        <v>71</v>
      </c>
      <c r="AB16" s="16">
        <v>9</v>
      </c>
      <c r="AC16" s="17">
        <v>6.5217391304347797E-2</v>
      </c>
      <c r="AD16" s="18">
        <f>SUMIFS(TaxLevel_PerFlag!$Q:$Q,TaxLevel_PerFlag!$A:$A,AD$3,TaxLevel_PerFlag!$B:$B,$Z$16,TaxLevel_PerFlag!$C:$C,"XGBoost",TaxLevel_PerFlag!$D:$D,$AA16)</f>
        <v>7.1316287737475002E-3</v>
      </c>
      <c r="AE16" s="19">
        <f>SUMIFS(TaxLevel_PerFlag!$Q:$Q,TaxLevel_PerFlag!$A:$A,AE$3,TaxLevel_PerFlag!$B:$B,$Z$16,TaxLevel_PerFlag!$C:$C,"XGBoost",TaxLevel_PerFlag!$D:$D,$AA16)</f>
        <v>0.11104297240348029</v>
      </c>
      <c r="AF16" s="19">
        <f>SUMIFS(TaxLevel_PerFlag!$Q:$Q,TaxLevel_PerFlag!$A:$A,AF$3,TaxLevel_PerFlag!$B:$B,$Z$16,TaxLevel_PerFlag!$C:$C,"XGBoost",TaxLevel_PerFlag!$D:$D,$AA16)</f>
        <v>0.20816679944749111</v>
      </c>
      <c r="AG16" s="19">
        <f>SUMIFS(TaxLevel_PerFlag!$Q:$Q,TaxLevel_PerFlag!$A:$A,AG$3,TaxLevel_PerFlag!$B:$B,$Z$16,TaxLevel_PerFlag!$C:$C,"XGBoost",TaxLevel_PerFlag!$D:$D,$AA16)</f>
        <v>0.16938385303372519</v>
      </c>
      <c r="AH16" s="19">
        <f>SUMIFS(TaxLevel_PerFlag!$Q:$Q,TaxLevel_PerFlag!$A:$A,AH$3,TaxLevel_PerFlag!$B:$B,$Z$16,TaxLevel_PerFlag!$C:$C,"XGBoost",TaxLevel_PerFlag!$D:$D,$AA16)</f>
        <v>5.34849944200015E-2</v>
      </c>
      <c r="AI16" s="18">
        <f>SUMIFS(TaxLevel_PerFlag!$H:$H,TaxLevel_PerFlag!$A:$A,AI$3,TaxLevel_PerFlag!$B:$B,$Z$16,TaxLevel_PerFlag!$C:$C,"XGBoost",TaxLevel_PerFlag!$D:$D,$AA16)</f>
        <v>8.9087429729520204E-2</v>
      </c>
      <c r="AJ16" s="19">
        <f>SUMIFS(TaxLevel_PerFlag!$H:$H,TaxLevel_PerFlag!$A:$A,AJ$3,TaxLevel_PerFlag!$B:$B,$Z$16,TaxLevel_PerFlag!$C:$C,"XGBoost",TaxLevel_PerFlag!$D:$D,$AA16)</f>
        <v>0.22388642099032249</v>
      </c>
      <c r="AK16" s="19">
        <f>SUMIFS(TaxLevel_PerFlag!$H:$H,TaxLevel_PerFlag!$A:$A,AK$3,TaxLevel_PerFlag!$B:$B,$Z$16,TaxLevel_PerFlag!$C:$C,"XGBoost",TaxLevel_PerFlag!$D:$D,$AA16)</f>
        <v>0.28386696660446481</v>
      </c>
      <c r="AL16" s="19">
        <f>SUMIFS(TaxLevel_PerFlag!$H:$H,TaxLevel_PerFlag!$A:$A,AL$3,TaxLevel_PerFlag!$B:$B,$Z$16,TaxLevel_PerFlag!$C:$C,"XGBoost",TaxLevel_PerFlag!$D:$D,$AA16)</f>
        <v>0.25533913222171217</v>
      </c>
      <c r="AM16" s="19">
        <f>SUMIFS(TaxLevel_PerFlag!$H:$H,TaxLevel_PerFlag!$A:$A,AM$3,TaxLevel_PerFlag!$B:$B,$Z$16,TaxLevel_PerFlag!$C:$C,"XGBoost",TaxLevel_PerFlag!$D:$D,$AA16)</f>
        <v>9.2606122663697193E-2</v>
      </c>
      <c r="AN16" s="18">
        <f>SUMIFS(TaxLevel_PerFlag!$T:$T,TaxLevel_PerFlag!$A:$A,AN$3,TaxLevel_PerFlag!$B:$B,$Z$16,TaxLevel_PerFlag!$C:$C,"XGBoost",TaxLevel_PerFlag!$D:$D,$AA16)</f>
        <v>0.1668925739005046</v>
      </c>
      <c r="AO16" s="19">
        <f>SUMIFS(TaxLevel_PerFlag!$T:$T,TaxLevel_PerFlag!$A:$A,AO$3,TaxLevel_PerFlag!$B:$B,$Z$16,TaxLevel_PerFlag!$C:$C,"XGBoost",TaxLevel_PerFlag!$D:$D,$AA16)</f>
        <v>0.2569763569763569</v>
      </c>
      <c r="AP16" s="19">
        <f>SUMIFS(TaxLevel_PerFlag!$T:$T,TaxLevel_PerFlag!$A:$A,AP$3,TaxLevel_PerFlag!$B:$B,$Z$16,TaxLevel_PerFlag!$C:$C,"XGBoost",TaxLevel_PerFlag!$D:$D,$AA16)</f>
        <v>0.26619362327183083</v>
      </c>
      <c r="AQ16" s="19">
        <f>SUMIFS(TaxLevel_PerFlag!$T:$T,TaxLevel_PerFlag!$A:$A,AQ$3,TaxLevel_PerFlag!$B:$B,$Z$16,TaxLevel_PerFlag!$C:$C,"XGBoost",TaxLevel_PerFlag!$D:$D,$AA16)</f>
        <v>0.22242494210457589</v>
      </c>
      <c r="AR16" s="20">
        <f>SUMIFS(TaxLevel_PerFlag!$T:$T,TaxLevel_PerFlag!$A:$A,AR$3,TaxLevel_PerFlag!$B:$B,$Z$16,TaxLevel_PerFlag!$C:$C,"XGBoost",TaxLevel_PerFlag!$D:$D,$AA16)</f>
        <v>0.18559750687426699</v>
      </c>
    </row>
    <row r="17" spans="2:44">
      <c r="B17" s="31"/>
      <c r="C17" s="2" t="s">
        <v>68</v>
      </c>
      <c r="D17" s="2">
        <v>4</v>
      </c>
      <c r="E17" s="11">
        <v>2.8985507246376802E-2</v>
      </c>
      <c r="F17" s="3">
        <f>_xlfn.MAXIFS(TaxLevel_PerFlag!$Q:$Q,TaxLevel_PerFlag!$A:$A,F$3,TaxLevel_PerFlag!$B:$B,$B$16,TaxLevel_PerFlag!$D:$D,$C17)</f>
        <v>0.37489881673411651</v>
      </c>
      <c r="G17" s="4">
        <f>_xlfn.MAXIFS(TaxLevel_PerFlag!$Q:$Q,TaxLevel_PerFlag!$A:$A,G$3,TaxLevel_PerFlag!$B:$B,$B$16,TaxLevel_PerFlag!$D:$D,$C17)</f>
        <v>0.27886555919052147</v>
      </c>
      <c r="H17" s="4">
        <f>_xlfn.MAXIFS(TaxLevel_PerFlag!$Q:$Q,TaxLevel_PerFlag!$A:$A,H$3,TaxLevel_PerFlag!$B:$B,$B$16,TaxLevel_PerFlag!$D:$D,$C17)</f>
        <v>0.26534498448963351</v>
      </c>
      <c r="I17" s="4">
        <f>_xlfn.MAXIFS(TaxLevel_PerFlag!$Q:$Q,TaxLevel_PerFlag!$A:$A,I$3,TaxLevel_PerFlag!$B:$B,$B$16,TaxLevel_PerFlag!$D:$D,$C17)</f>
        <v>0.26365068206527531</v>
      </c>
      <c r="J17" s="4">
        <f>_xlfn.MAXIFS(TaxLevel_PerFlag!$Q:$Q,TaxLevel_PerFlag!$A:$A,J$3,TaxLevel_PerFlag!$B:$B,$B$16,TaxLevel_PerFlag!$D:$D,$C17)</f>
        <v>0.28609019234953281</v>
      </c>
      <c r="K17" s="3">
        <f>_xlfn.MAXIFS(TaxLevel_PerFlag!$H:$H,TaxLevel_PerFlag!$A:$A,K$3,TaxLevel_PerFlag!$B:$B,$B$16,TaxLevel_PerFlag!$D:$D,$C17)</f>
        <v>0.44558000126951458</v>
      </c>
      <c r="L17" s="4">
        <f>_xlfn.MAXIFS(TaxLevel_PerFlag!$H:$H,TaxLevel_PerFlag!$A:$A,L$3,TaxLevel_PerFlag!$B:$B,$B$16,TaxLevel_PerFlag!$D:$D,$C17)</f>
        <v>0.35646520123907888</v>
      </c>
      <c r="M17" s="4">
        <f>_xlfn.MAXIFS(TaxLevel_PerFlag!$H:$H,TaxLevel_PerFlag!$A:$A,M$3,TaxLevel_PerFlag!$B:$B,$B$16,TaxLevel_PerFlag!$D:$D,$C17)</f>
        <v>0.35598056094506458</v>
      </c>
      <c r="N17" s="4">
        <f>_xlfn.MAXIFS(TaxLevel_PerFlag!$H:$H,TaxLevel_PerFlag!$A:$A,N$3,TaxLevel_PerFlag!$B:$B,$B$16,TaxLevel_PerFlag!$D:$D,$C17)</f>
        <v>0.3661273080317069</v>
      </c>
      <c r="O17" s="4">
        <f>_xlfn.MAXIFS(TaxLevel_PerFlag!$H:$H,TaxLevel_PerFlag!$A:$A,O$3,TaxLevel_PerFlag!$B:$B,$B$16,TaxLevel_PerFlag!$D:$D,$C17)</f>
        <v>0.34209611358665298</v>
      </c>
      <c r="P17" s="3">
        <f>_xlfn.MAXIFS(TaxLevel_PerFlag!$T:$T,TaxLevel_PerFlag!$A:$A,P$3,TaxLevel_PerFlag!$B:$B,$B$16,TaxLevel_PerFlag!$D:$D,$C17)</f>
        <v>0.51875783131231035</v>
      </c>
      <c r="Q17" s="4">
        <f>_xlfn.MAXIFS(TaxLevel_PerFlag!$T:$T,TaxLevel_PerFlag!$A:$A,Q$3,TaxLevel_PerFlag!$B:$B,$B$16,TaxLevel_PerFlag!$D:$D,$C17)</f>
        <v>0.45678135564201039</v>
      </c>
      <c r="R17" s="4">
        <f>_xlfn.MAXIFS(TaxLevel_PerFlag!$T:$T,TaxLevel_PerFlag!$A:$A,R$3,TaxLevel_PerFlag!$B:$B,$B$16,TaxLevel_PerFlag!$D:$D,$C17)</f>
        <v>0.4835605069277385</v>
      </c>
      <c r="S17" s="4">
        <f>_xlfn.MAXIFS(TaxLevel_PerFlag!$T:$T,TaxLevel_PerFlag!$A:$A,S$3,TaxLevel_PerFlag!$B:$B,$B$16,TaxLevel_PerFlag!$D:$D,$C17)</f>
        <v>0.46451304656686032</v>
      </c>
      <c r="T17" s="5">
        <f>_xlfn.MAXIFS(TaxLevel_PerFlag!$T:$T,TaxLevel_PerFlag!$A:$A,T$3,TaxLevel_PerFlag!$B:$B,$B$16,TaxLevel_PerFlag!$D:$D,$C17)</f>
        <v>0.49112345987345979</v>
      </c>
      <c r="Z17" s="31"/>
      <c r="AA17" s="2" t="s">
        <v>68</v>
      </c>
      <c r="AB17" s="2">
        <v>4</v>
      </c>
      <c r="AC17" s="11">
        <v>2.8985507246376802E-2</v>
      </c>
      <c r="AD17" s="3">
        <f>SUMIFS(TaxLevel_PerFlag!$Q:$Q,TaxLevel_PerFlag!$A:$A,AD$3,TaxLevel_PerFlag!$B:$B,$Z$16,TaxLevel_PerFlag!$C:$C,"XGBoost",TaxLevel_PerFlag!$D:$D,$AA17)</f>
        <v>0.26236632337177213</v>
      </c>
      <c r="AE17" s="4">
        <f>SUMIFS(TaxLevel_PerFlag!$Q:$Q,TaxLevel_PerFlag!$A:$A,AE$3,TaxLevel_PerFlag!$B:$B,$Z$16,TaxLevel_PerFlag!$C:$C,"XGBoost",TaxLevel_PerFlag!$D:$D,$AA17)</f>
        <v>0.25499828429792482</v>
      </c>
      <c r="AF17" s="4">
        <f>SUMIFS(TaxLevel_PerFlag!$Q:$Q,TaxLevel_PerFlag!$A:$A,AF$3,TaxLevel_PerFlag!$B:$B,$Z$16,TaxLevel_PerFlag!$C:$C,"XGBoost",TaxLevel_PerFlag!$D:$D,$AA17)</f>
        <v>0.26534498448963351</v>
      </c>
      <c r="AG17" s="4">
        <f>SUMIFS(TaxLevel_PerFlag!$Q:$Q,TaxLevel_PerFlag!$A:$A,AG$3,TaxLevel_PerFlag!$B:$B,$Z$16,TaxLevel_PerFlag!$C:$C,"XGBoost",TaxLevel_PerFlag!$D:$D,$AA17)</f>
        <v>0.23255196842690451</v>
      </c>
      <c r="AH17" s="4">
        <f>SUMIFS(TaxLevel_PerFlag!$Q:$Q,TaxLevel_PerFlag!$A:$A,AH$3,TaxLevel_PerFlag!$B:$B,$Z$16,TaxLevel_PerFlag!$C:$C,"XGBoost",TaxLevel_PerFlag!$D:$D,$AA17)</f>
        <v>0.21673426233548529</v>
      </c>
      <c r="AI17" s="3">
        <f>SUMIFS(TaxLevel_PerFlag!$H:$H,TaxLevel_PerFlag!$A:$A,AI$3,TaxLevel_PerFlag!$B:$B,$Z$16,TaxLevel_PerFlag!$C:$C,"XGBoost",TaxLevel_PerFlag!$D:$D,$AA17)</f>
        <v>0.44558000126951458</v>
      </c>
      <c r="AJ17" s="4">
        <f>SUMIFS(TaxLevel_PerFlag!$H:$H,TaxLevel_PerFlag!$A:$A,AJ$3,TaxLevel_PerFlag!$B:$B,$Z$16,TaxLevel_PerFlag!$C:$C,"XGBoost",TaxLevel_PerFlag!$D:$D,$AA17)</f>
        <v>0.33047091048446359</v>
      </c>
      <c r="AK17" s="4">
        <f>SUMIFS(TaxLevel_PerFlag!$H:$H,TaxLevel_PerFlag!$A:$A,AK$3,TaxLevel_PerFlag!$B:$B,$Z$16,TaxLevel_PerFlag!$C:$C,"XGBoost",TaxLevel_PerFlag!$D:$D,$AA17)</f>
        <v>0.28956775940810248</v>
      </c>
      <c r="AL17" s="4">
        <f>SUMIFS(TaxLevel_PerFlag!$H:$H,TaxLevel_PerFlag!$A:$A,AL$3,TaxLevel_PerFlag!$B:$B,$Z$16,TaxLevel_PerFlag!$C:$C,"XGBoost",TaxLevel_PerFlag!$D:$D,$AA17)</f>
        <v>0.3033233394479099</v>
      </c>
      <c r="AM17" s="4">
        <f>SUMIFS(TaxLevel_PerFlag!$H:$H,TaxLevel_PerFlag!$A:$A,AM$3,TaxLevel_PerFlag!$B:$B,$Z$16,TaxLevel_PerFlag!$C:$C,"XGBoost",TaxLevel_PerFlag!$D:$D,$AA17)</f>
        <v>0.30044199548394618</v>
      </c>
      <c r="AN17" s="3">
        <f>SUMIFS(TaxLevel_PerFlag!$T:$T,TaxLevel_PerFlag!$A:$A,AN$3,TaxLevel_PerFlag!$B:$B,$Z$16,TaxLevel_PerFlag!$C:$C,"XGBoost",TaxLevel_PerFlag!$D:$D,$AA17)</f>
        <v>0.33035776996386018</v>
      </c>
      <c r="AO17" s="4">
        <f>SUMIFS(TaxLevel_PerFlag!$T:$T,TaxLevel_PerFlag!$A:$A,AO$3,TaxLevel_PerFlag!$B:$B,$Z$16,TaxLevel_PerFlag!$C:$C,"XGBoost",TaxLevel_PerFlag!$D:$D,$AA17)</f>
        <v>0.41333698707799421</v>
      </c>
      <c r="AP17" s="4">
        <f>SUMIFS(TaxLevel_PerFlag!$T:$T,TaxLevel_PerFlag!$A:$A,AP$3,TaxLevel_PerFlag!$B:$B,$Z$16,TaxLevel_PerFlag!$C:$C,"XGBoost",TaxLevel_PerFlag!$D:$D,$AA17)</f>
        <v>0.42605596975478549</v>
      </c>
      <c r="AQ17" s="4">
        <f>SUMIFS(TaxLevel_PerFlag!$T:$T,TaxLevel_PerFlag!$A:$A,AQ$3,TaxLevel_PerFlag!$B:$B,$Z$16,TaxLevel_PerFlag!$C:$C,"XGBoost",TaxLevel_PerFlag!$D:$D,$AA17)</f>
        <v>0.35821167632825912</v>
      </c>
      <c r="AR17" s="5">
        <f>SUMIFS(TaxLevel_PerFlag!$T:$T,TaxLevel_PerFlag!$A:$A,AR$3,TaxLevel_PerFlag!$B:$B,$Z$16,TaxLevel_PerFlag!$C:$C,"XGBoost",TaxLevel_PerFlag!$D:$D,$AA17)</f>
        <v>0.35644173566634352</v>
      </c>
    </row>
    <row r="18" spans="2:44">
      <c r="B18" s="31"/>
      <c r="C18" s="2" t="s">
        <v>67</v>
      </c>
      <c r="D18" s="2">
        <v>20</v>
      </c>
      <c r="E18" s="11">
        <v>0.14492753623188401</v>
      </c>
      <c r="F18" s="3">
        <f>_xlfn.MAXIFS(TaxLevel_PerFlag!$Q:$Q,TaxLevel_PerFlag!$A:$A,F$3,TaxLevel_PerFlag!$B:$B,$B$16,TaxLevel_PerFlag!$D:$D,$C18)</f>
        <v>0.2567043933539308</v>
      </c>
      <c r="G18" s="4">
        <f>_xlfn.MAXIFS(TaxLevel_PerFlag!$Q:$Q,TaxLevel_PerFlag!$A:$A,G$3,TaxLevel_PerFlag!$B:$B,$B$16,TaxLevel_PerFlag!$D:$D,$C18)</f>
        <v>0.1441311687290513</v>
      </c>
      <c r="H18" s="4">
        <f>_xlfn.MAXIFS(TaxLevel_PerFlag!$Q:$Q,TaxLevel_PerFlag!$A:$A,H$3,TaxLevel_PerFlag!$B:$B,$B$16,TaxLevel_PerFlag!$D:$D,$C18)</f>
        <v>0.59983910377182004</v>
      </c>
      <c r="I18" s="4">
        <f>_xlfn.MAXIFS(TaxLevel_PerFlag!$Q:$Q,TaxLevel_PerFlag!$A:$A,I$3,TaxLevel_PerFlag!$B:$B,$B$16,TaxLevel_PerFlag!$D:$D,$C18)</f>
        <v>0.23352612172222539</v>
      </c>
      <c r="J18" s="4">
        <f>_xlfn.MAXIFS(TaxLevel_PerFlag!$Q:$Q,TaxLevel_PerFlag!$A:$A,J$3,TaxLevel_PerFlag!$B:$B,$B$16,TaxLevel_PerFlag!$D:$D,$C18)</f>
        <v>0.15956732284347261</v>
      </c>
      <c r="K18" s="3">
        <f>_xlfn.MAXIFS(TaxLevel_PerFlag!$H:$H,TaxLevel_PerFlag!$A:$A,K$3,TaxLevel_PerFlag!$B:$B,$B$16,TaxLevel_PerFlag!$D:$D,$C18)</f>
        <v>0.1455278149873509</v>
      </c>
      <c r="L18" s="4">
        <f>_xlfn.MAXIFS(TaxLevel_PerFlag!$H:$H,TaxLevel_PerFlag!$A:$A,L$3,TaxLevel_PerFlag!$B:$B,$B$16,TaxLevel_PerFlag!$D:$D,$C18)</f>
        <v>0.1237333796974129</v>
      </c>
      <c r="M18" s="4">
        <f>_xlfn.MAXIFS(TaxLevel_PerFlag!$H:$H,TaxLevel_PerFlag!$A:$A,M$3,TaxLevel_PerFlag!$B:$B,$B$16,TaxLevel_PerFlag!$D:$D,$C18)</f>
        <v>0.53659149370519876</v>
      </c>
      <c r="N18" s="4">
        <f>_xlfn.MAXIFS(TaxLevel_PerFlag!$H:$H,TaxLevel_PerFlag!$A:$A,N$3,TaxLevel_PerFlag!$B:$B,$B$16,TaxLevel_PerFlag!$D:$D,$C18)</f>
        <v>0.32220542968429322</v>
      </c>
      <c r="O18" s="4">
        <f>_xlfn.MAXIFS(TaxLevel_PerFlag!$H:$H,TaxLevel_PerFlag!$A:$A,O$3,TaxLevel_PerFlag!$B:$B,$B$16,TaxLevel_PerFlag!$D:$D,$C18)</f>
        <v>0.25000162650352181</v>
      </c>
      <c r="P18" s="3">
        <f>_xlfn.MAXIFS(TaxLevel_PerFlag!$T:$T,TaxLevel_PerFlag!$A:$A,P$3,TaxLevel_PerFlag!$B:$B,$B$16,TaxLevel_PerFlag!$D:$D,$C18)</f>
        <v>0.34596089610269981</v>
      </c>
      <c r="Q18" s="4">
        <f>_xlfn.MAXIFS(TaxLevel_PerFlag!$T:$T,TaxLevel_PerFlag!$A:$A,Q$3,TaxLevel_PerFlag!$B:$B,$B$16,TaxLevel_PerFlag!$D:$D,$C18)</f>
        <v>0.22995809988291191</v>
      </c>
      <c r="R18" s="4">
        <f>_xlfn.MAXIFS(TaxLevel_PerFlag!$T:$T,TaxLevel_PerFlag!$A:$A,R$3,TaxLevel_PerFlag!$B:$B,$B$16,TaxLevel_PerFlag!$D:$D,$C18)</f>
        <v>0.6292013818329607</v>
      </c>
      <c r="S18" s="4">
        <f>_xlfn.MAXIFS(TaxLevel_PerFlag!$T:$T,TaxLevel_PerFlag!$A:$A,S$3,TaxLevel_PerFlag!$B:$B,$B$16,TaxLevel_PerFlag!$D:$D,$C18)</f>
        <v>0.23388541198367141</v>
      </c>
      <c r="T18" s="5">
        <f>_xlfn.MAXIFS(TaxLevel_PerFlag!$T:$T,TaxLevel_PerFlag!$A:$A,T$3,TaxLevel_PerFlag!$B:$B,$B$16,TaxLevel_PerFlag!$D:$D,$C18)</f>
        <v>0.2229615657973866</v>
      </c>
      <c r="Z18" s="31"/>
      <c r="AA18" s="2" t="s">
        <v>67</v>
      </c>
      <c r="AB18" s="2">
        <v>20</v>
      </c>
      <c r="AC18" s="11">
        <v>0.14492753623188401</v>
      </c>
      <c r="AD18" s="3">
        <f>SUMIFS(TaxLevel_PerFlag!$Q:$Q,TaxLevel_PerFlag!$A:$A,AD$3,TaxLevel_PerFlag!$B:$B,$Z$16,TaxLevel_PerFlag!$C:$C,"XGBoost",TaxLevel_PerFlag!$D:$D,$AA18)</f>
        <v>9.7456706502549104E-2</v>
      </c>
      <c r="AE18" s="4">
        <f>SUMIFS(TaxLevel_PerFlag!$Q:$Q,TaxLevel_PerFlag!$A:$A,AE$3,TaxLevel_PerFlag!$B:$B,$Z$16,TaxLevel_PerFlag!$C:$C,"XGBoost",TaxLevel_PerFlag!$D:$D,$AA18)</f>
        <v>0.1002839418749927</v>
      </c>
      <c r="AF18" s="4">
        <f>SUMIFS(TaxLevel_PerFlag!$Q:$Q,TaxLevel_PerFlag!$A:$A,AF$3,TaxLevel_PerFlag!$B:$B,$Z$16,TaxLevel_PerFlag!$C:$C,"XGBoost",TaxLevel_PerFlag!$D:$D,$AA18)</f>
        <v>0.59983910377182004</v>
      </c>
      <c r="AG18" s="4">
        <f>SUMIFS(TaxLevel_PerFlag!$Q:$Q,TaxLevel_PerFlag!$A:$A,AG$3,TaxLevel_PerFlag!$B:$B,$Z$16,TaxLevel_PerFlag!$C:$C,"XGBoost",TaxLevel_PerFlag!$D:$D,$AA18)</f>
        <v>9.0375771180471604E-2</v>
      </c>
      <c r="AH18" s="4">
        <f>SUMIFS(TaxLevel_PerFlag!$Q:$Q,TaxLevel_PerFlag!$A:$A,AH$3,TaxLevel_PerFlag!$B:$B,$Z$16,TaxLevel_PerFlag!$C:$C,"XGBoost",TaxLevel_PerFlag!$D:$D,$AA18)</f>
        <v>5.0840325131448802E-2</v>
      </c>
      <c r="AI18" s="3">
        <f>SUMIFS(TaxLevel_PerFlag!$H:$H,TaxLevel_PerFlag!$A:$A,AI$3,TaxLevel_PerFlag!$B:$B,$Z$16,TaxLevel_PerFlag!$C:$C,"XGBoost",TaxLevel_PerFlag!$D:$D,$AA18)</f>
        <v>6.7312420859907504E-2</v>
      </c>
      <c r="AJ18" s="4">
        <f>SUMIFS(TaxLevel_PerFlag!$H:$H,TaxLevel_PerFlag!$A:$A,AJ$3,TaxLevel_PerFlag!$B:$B,$Z$16,TaxLevel_PerFlag!$C:$C,"XGBoost",TaxLevel_PerFlag!$D:$D,$AA18)</f>
        <v>0.1176701275613196</v>
      </c>
      <c r="AK18" s="4">
        <f>SUMIFS(TaxLevel_PerFlag!$H:$H,TaxLevel_PerFlag!$A:$A,AK$3,TaxLevel_PerFlag!$B:$B,$Z$16,TaxLevel_PerFlag!$C:$C,"XGBoost",TaxLevel_PerFlag!$D:$D,$AA18)</f>
        <v>0.53659149370519876</v>
      </c>
      <c r="AL18" s="4">
        <f>SUMIFS(TaxLevel_PerFlag!$H:$H,TaxLevel_PerFlag!$A:$A,AL$3,TaxLevel_PerFlag!$B:$B,$Z$16,TaxLevel_PerFlag!$C:$C,"XGBoost",TaxLevel_PerFlag!$D:$D,$AA18)</f>
        <v>0.104854197122653</v>
      </c>
      <c r="AM18" s="4">
        <f>SUMIFS(TaxLevel_PerFlag!$H:$H,TaxLevel_PerFlag!$A:$A,AM$3,TaxLevel_PerFlag!$B:$B,$Z$16,TaxLevel_PerFlag!$C:$C,"XGBoost",TaxLevel_PerFlag!$D:$D,$AA18)</f>
        <v>7.0030085871454401E-2</v>
      </c>
      <c r="AN18" s="3">
        <f>SUMIFS(TaxLevel_PerFlag!$T:$T,TaxLevel_PerFlag!$A:$A,AN$3,TaxLevel_PerFlag!$B:$B,$Z$16,TaxLevel_PerFlag!$C:$C,"XGBoost",TaxLevel_PerFlag!$D:$D,$AA18)</f>
        <v>0.1764147147930189</v>
      </c>
      <c r="AO18" s="4">
        <f>SUMIFS(TaxLevel_PerFlag!$T:$T,TaxLevel_PerFlag!$A:$A,AO$3,TaxLevel_PerFlag!$B:$B,$Z$16,TaxLevel_PerFlag!$C:$C,"XGBoost",TaxLevel_PerFlag!$D:$D,$AA18)</f>
        <v>0.18389577305456389</v>
      </c>
      <c r="AP18" s="4">
        <f>SUMIFS(TaxLevel_PerFlag!$T:$T,TaxLevel_PerFlag!$A:$A,AP$3,TaxLevel_PerFlag!$B:$B,$Z$16,TaxLevel_PerFlag!$C:$C,"XGBoost",TaxLevel_PerFlag!$D:$D,$AA18)</f>
        <v>0.6292013818329607</v>
      </c>
      <c r="AQ18" s="4">
        <f>SUMIFS(TaxLevel_PerFlag!$T:$T,TaxLevel_PerFlag!$A:$A,AQ$3,TaxLevel_PerFlag!$B:$B,$Z$16,TaxLevel_PerFlag!$C:$C,"XGBoost",TaxLevel_PerFlag!$D:$D,$AA18)</f>
        <v>0.16868432995354279</v>
      </c>
      <c r="AR18" s="5">
        <f>SUMIFS(TaxLevel_PerFlag!$T:$T,TaxLevel_PerFlag!$A:$A,AR$3,TaxLevel_PerFlag!$B:$B,$Z$16,TaxLevel_PerFlag!$C:$C,"XGBoost",TaxLevel_PerFlag!$D:$D,$AA18)</f>
        <v>0.14769505004799119</v>
      </c>
    </row>
    <row r="19" spans="2:44">
      <c r="B19" s="31"/>
      <c r="C19" s="2" t="s">
        <v>69</v>
      </c>
      <c r="D19" s="2">
        <v>26</v>
      </c>
      <c r="E19" s="11">
        <v>0.1884057971014492</v>
      </c>
      <c r="F19" s="3">
        <f>_xlfn.MAXIFS(TaxLevel_PerFlag!$Q:$Q,TaxLevel_PerFlag!$A:$A,F$3,TaxLevel_PerFlag!$B:$B,$B$16,TaxLevel_PerFlag!$D:$D,$C19)</f>
        <v>0.65994752501984588</v>
      </c>
      <c r="G19" s="4">
        <f>_xlfn.MAXIFS(TaxLevel_PerFlag!$Q:$Q,TaxLevel_PerFlag!$A:$A,G$3,TaxLevel_PerFlag!$B:$B,$B$16,TaxLevel_PerFlag!$D:$D,$C19)</f>
        <v>0.69137235314708101</v>
      </c>
      <c r="H19" s="4">
        <f>_xlfn.MAXIFS(TaxLevel_PerFlag!$Q:$Q,TaxLevel_PerFlag!$A:$A,H$3,TaxLevel_PerFlag!$B:$B,$B$16,TaxLevel_PerFlag!$D:$D,$C19)</f>
        <v>0.65661629974602009</v>
      </c>
      <c r="I19" s="4">
        <f>_xlfn.MAXIFS(TaxLevel_PerFlag!$Q:$Q,TaxLevel_PerFlag!$A:$A,I$3,TaxLevel_PerFlag!$B:$B,$B$16,TaxLevel_PerFlag!$D:$D,$C19)</f>
        <v>0.67412457824280136</v>
      </c>
      <c r="J19" s="4">
        <f>_xlfn.MAXIFS(TaxLevel_PerFlag!$Q:$Q,TaxLevel_PerFlag!$A:$A,J$3,TaxLevel_PerFlag!$B:$B,$B$16,TaxLevel_PerFlag!$D:$D,$C19)</f>
        <v>0.66108280338418524</v>
      </c>
      <c r="K19" s="3">
        <f>_xlfn.MAXIFS(TaxLevel_PerFlag!$H:$H,TaxLevel_PerFlag!$A:$A,K$3,TaxLevel_PerFlag!$B:$B,$B$16,TaxLevel_PerFlag!$D:$D,$C19)</f>
        <v>0.59320485638121112</v>
      </c>
      <c r="L19" s="4">
        <f>_xlfn.MAXIFS(TaxLevel_PerFlag!$H:$H,TaxLevel_PerFlag!$A:$A,L$3,TaxLevel_PerFlag!$B:$B,$B$16,TaxLevel_PerFlag!$D:$D,$C19)</f>
        <v>0.71171151379063791</v>
      </c>
      <c r="M19" s="4">
        <f>_xlfn.MAXIFS(TaxLevel_PerFlag!$H:$H,TaxLevel_PerFlag!$A:$A,M$3,TaxLevel_PerFlag!$B:$B,$B$16,TaxLevel_PerFlag!$D:$D,$C19)</f>
        <v>0.66537656724938388</v>
      </c>
      <c r="N19" s="4">
        <f>_xlfn.MAXIFS(TaxLevel_PerFlag!$H:$H,TaxLevel_PerFlag!$A:$A,N$3,TaxLevel_PerFlag!$B:$B,$B$16,TaxLevel_PerFlag!$D:$D,$C19)</f>
        <v>0.62316349793271075</v>
      </c>
      <c r="O19" s="4">
        <f>_xlfn.MAXIFS(TaxLevel_PerFlag!$H:$H,TaxLevel_PerFlag!$A:$A,O$3,TaxLevel_PerFlag!$B:$B,$B$16,TaxLevel_PerFlag!$D:$D,$C19)</f>
        <v>0.58220398756772984</v>
      </c>
      <c r="P19" s="3">
        <f>_xlfn.MAXIFS(TaxLevel_PerFlag!$T:$T,TaxLevel_PerFlag!$A:$A,P$3,TaxLevel_PerFlag!$B:$B,$B$16,TaxLevel_PerFlag!$D:$D,$C19)</f>
        <v>0.82981745842702936</v>
      </c>
      <c r="Q19" s="4">
        <f>_xlfn.MAXIFS(TaxLevel_PerFlag!$T:$T,TaxLevel_PerFlag!$A:$A,Q$3,TaxLevel_PerFlag!$B:$B,$B$16,TaxLevel_PerFlag!$D:$D,$C19)</f>
        <v>0.85690040780355758</v>
      </c>
      <c r="R19" s="4">
        <f>_xlfn.MAXIFS(TaxLevel_PerFlag!$T:$T,TaxLevel_PerFlag!$A:$A,R$3,TaxLevel_PerFlag!$B:$B,$B$16,TaxLevel_PerFlag!$D:$D,$C19)</f>
        <v>0.83427394097384155</v>
      </c>
      <c r="S19" s="4">
        <f>_xlfn.MAXIFS(TaxLevel_PerFlag!$T:$T,TaxLevel_PerFlag!$A:$A,S$3,TaxLevel_PerFlag!$B:$B,$B$16,TaxLevel_PerFlag!$D:$D,$C19)</f>
        <v>0.83488523488523492</v>
      </c>
      <c r="T19" s="5">
        <f>_xlfn.MAXIFS(TaxLevel_PerFlag!$T:$T,TaxLevel_PerFlag!$A:$A,T$3,TaxLevel_PerFlag!$B:$B,$B$16,TaxLevel_PerFlag!$D:$D,$C19)</f>
        <v>0.81853762775156391</v>
      </c>
      <c r="Z19" s="31"/>
      <c r="AA19" s="2" t="s">
        <v>69</v>
      </c>
      <c r="AB19" s="2">
        <v>26</v>
      </c>
      <c r="AC19" s="11">
        <v>0.1884057971014492</v>
      </c>
      <c r="AD19" s="3">
        <f>SUMIFS(TaxLevel_PerFlag!$Q:$Q,TaxLevel_PerFlag!$A:$A,AD$3,TaxLevel_PerFlag!$B:$B,$Z$16,TaxLevel_PerFlag!$C:$C,"XGBoost",TaxLevel_PerFlag!$D:$D,$AA19)</f>
        <v>0.60024541342221682</v>
      </c>
      <c r="AE19" s="4">
        <f>SUMIFS(TaxLevel_PerFlag!$Q:$Q,TaxLevel_PerFlag!$A:$A,AE$3,TaxLevel_PerFlag!$B:$B,$Z$16,TaxLevel_PerFlag!$C:$C,"XGBoost",TaxLevel_PerFlag!$D:$D,$AA19)</f>
        <v>0.56752175328716459</v>
      </c>
      <c r="AF19" s="4">
        <f>SUMIFS(TaxLevel_PerFlag!$Q:$Q,TaxLevel_PerFlag!$A:$A,AF$3,TaxLevel_PerFlag!$B:$B,$Z$16,TaxLevel_PerFlag!$C:$C,"XGBoost",TaxLevel_PerFlag!$D:$D,$AA19)</f>
        <v>0.57332092640077525</v>
      </c>
      <c r="AG19" s="4">
        <f>SUMIFS(TaxLevel_PerFlag!$Q:$Q,TaxLevel_PerFlag!$A:$A,AG$3,TaxLevel_PerFlag!$B:$B,$Z$16,TaxLevel_PerFlag!$C:$C,"XGBoost",TaxLevel_PerFlag!$D:$D,$AA19)</f>
        <v>0.57378669967751184</v>
      </c>
      <c r="AH19" s="4">
        <f>SUMIFS(TaxLevel_PerFlag!$Q:$Q,TaxLevel_PerFlag!$A:$A,AH$3,TaxLevel_PerFlag!$B:$B,$Z$16,TaxLevel_PerFlag!$C:$C,"XGBoost",TaxLevel_PerFlag!$D:$D,$AA19)</f>
        <v>0.56608632570380246</v>
      </c>
      <c r="AI19" s="3">
        <f>SUMIFS(TaxLevel_PerFlag!$H:$H,TaxLevel_PerFlag!$A:$A,AI$3,TaxLevel_PerFlag!$B:$B,$Z$16,TaxLevel_PerFlag!$C:$C,"XGBoost",TaxLevel_PerFlag!$D:$D,$AA19)</f>
        <v>0.58306252240058742</v>
      </c>
      <c r="AJ19" s="4">
        <f>SUMIFS(TaxLevel_PerFlag!$H:$H,TaxLevel_PerFlag!$A:$A,AJ$3,TaxLevel_PerFlag!$B:$B,$Z$16,TaxLevel_PerFlag!$C:$C,"XGBoost",TaxLevel_PerFlag!$D:$D,$AA19)</f>
        <v>0.71171151379063791</v>
      </c>
      <c r="AK19" s="4">
        <f>SUMIFS(TaxLevel_PerFlag!$H:$H,TaxLevel_PerFlag!$A:$A,AK$3,TaxLevel_PerFlag!$B:$B,$Z$16,TaxLevel_PerFlag!$C:$C,"XGBoost",TaxLevel_PerFlag!$D:$D,$AA19)</f>
        <v>0.63834223610673113</v>
      </c>
      <c r="AL19" s="4">
        <f>SUMIFS(TaxLevel_PerFlag!$H:$H,TaxLevel_PerFlag!$A:$A,AL$3,TaxLevel_PerFlag!$B:$B,$Z$16,TaxLevel_PerFlag!$C:$C,"XGBoost",TaxLevel_PerFlag!$D:$D,$AA19)</f>
        <v>0.62316349793271075</v>
      </c>
      <c r="AM19" s="4">
        <f>SUMIFS(TaxLevel_PerFlag!$H:$H,TaxLevel_PerFlag!$A:$A,AM$3,TaxLevel_PerFlag!$B:$B,$Z$16,TaxLevel_PerFlag!$C:$C,"XGBoost",TaxLevel_PerFlag!$D:$D,$AA19)</f>
        <v>0.58220398756772984</v>
      </c>
      <c r="AN19" s="3">
        <f>SUMIFS(TaxLevel_PerFlag!$T:$T,TaxLevel_PerFlag!$A:$A,AN$3,TaxLevel_PerFlag!$B:$B,$Z$16,TaxLevel_PerFlag!$C:$C,"XGBoost",TaxLevel_PerFlag!$D:$D,$AA19)</f>
        <v>0.79158813470373723</v>
      </c>
      <c r="AO19" s="4">
        <f>SUMIFS(TaxLevel_PerFlag!$T:$T,TaxLevel_PerFlag!$A:$A,AO$3,TaxLevel_PerFlag!$B:$B,$Z$16,TaxLevel_PerFlag!$C:$C,"XGBoost",TaxLevel_PerFlag!$D:$D,$AA19)</f>
        <v>0.7225678177371978</v>
      </c>
      <c r="AP19" s="4">
        <f>SUMIFS(TaxLevel_PerFlag!$T:$T,TaxLevel_PerFlag!$A:$A,AP$3,TaxLevel_PerFlag!$B:$B,$Z$16,TaxLevel_PerFlag!$C:$C,"XGBoost",TaxLevel_PerFlag!$D:$D,$AA19)</f>
        <v>0.7635614679783036</v>
      </c>
      <c r="AQ19" s="4">
        <f>SUMIFS(TaxLevel_PerFlag!$T:$T,TaxLevel_PerFlag!$A:$A,AQ$3,TaxLevel_PerFlag!$B:$B,$Z$16,TaxLevel_PerFlag!$C:$C,"XGBoost",TaxLevel_PerFlag!$D:$D,$AA19)</f>
        <v>0.77870191949052858</v>
      </c>
      <c r="AR19" s="5">
        <f>SUMIFS(TaxLevel_PerFlag!$T:$T,TaxLevel_PerFlag!$A:$A,AR$3,TaxLevel_PerFlag!$B:$B,$Z$16,TaxLevel_PerFlag!$C:$C,"XGBoost",TaxLevel_PerFlag!$D:$D,$AA19)</f>
        <v>0.76360642674884527</v>
      </c>
    </row>
    <row r="20" spans="2:44">
      <c r="B20" s="31"/>
      <c r="C20" s="2" t="s">
        <v>70</v>
      </c>
      <c r="D20" s="2">
        <v>7</v>
      </c>
      <c r="E20" s="11">
        <v>5.0724637681159403E-2</v>
      </c>
      <c r="F20" s="6">
        <f>_xlfn.MAXIFS(TaxLevel_PerFlag!$Q:$Q,TaxLevel_PerFlag!$A:$A,F$3,TaxLevel_PerFlag!$B:$B,$B$16,TaxLevel_PerFlag!$D:$D,$C20)</f>
        <v>2.1899548620463199E-2</v>
      </c>
      <c r="G20" s="4">
        <f>_xlfn.MAXIFS(TaxLevel_PerFlag!$Q:$Q,TaxLevel_PerFlag!$A:$A,G$3,TaxLevel_PerFlag!$B:$B,$B$16,TaxLevel_PerFlag!$D:$D,$C20)</f>
        <v>0.1424025927312777</v>
      </c>
      <c r="H20" s="4">
        <f>_xlfn.MAXIFS(TaxLevel_PerFlag!$Q:$Q,TaxLevel_PerFlag!$A:$A,H$3,TaxLevel_PerFlag!$B:$B,$B$16,TaxLevel_PerFlag!$D:$D,$C20)</f>
        <v>0.22546033742593949</v>
      </c>
      <c r="I20" s="4">
        <f>_xlfn.MAXIFS(TaxLevel_PerFlag!$Q:$Q,TaxLevel_PerFlag!$A:$A,I$3,TaxLevel_PerFlag!$B:$B,$B$16,TaxLevel_PerFlag!$D:$D,$C20)</f>
        <v>0.33997902648443928</v>
      </c>
      <c r="J20" s="4">
        <f>_xlfn.MAXIFS(TaxLevel_PerFlag!$Q:$Q,TaxLevel_PerFlag!$A:$A,J$3,TaxLevel_PerFlag!$B:$B,$B$16,TaxLevel_PerFlag!$D:$D,$C20)</f>
        <v>0.431706481248748</v>
      </c>
      <c r="K20" s="3">
        <f>_xlfn.MAXIFS(TaxLevel_PerFlag!$H:$H,TaxLevel_PerFlag!$A:$A,K$3,TaxLevel_PerFlag!$B:$B,$B$16,TaxLevel_PerFlag!$D:$D,$C20)</f>
        <v>5.9432851256180801E-2</v>
      </c>
      <c r="L20" s="4">
        <f>_xlfn.MAXIFS(TaxLevel_PerFlag!$H:$H,TaxLevel_PerFlag!$A:$A,L$3,TaxLevel_PerFlag!$B:$B,$B$16,TaxLevel_PerFlag!$D:$D,$C20)</f>
        <v>0.27492794720799518</v>
      </c>
      <c r="M20" s="4">
        <f>_xlfn.MAXIFS(TaxLevel_PerFlag!$H:$H,TaxLevel_PerFlag!$A:$A,M$3,TaxLevel_PerFlag!$B:$B,$B$16,TaxLevel_PerFlag!$D:$D,$C20)</f>
        <v>0.3109653180799582</v>
      </c>
      <c r="N20" s="4">
        <f>_xlfn.MAXIFS(TaxLevel_PerFlag!$H:$H,TaxLevel_PerFlag!$A:$A,N$3,TaxLevel_PerFlag!$B:$B,$B$16,TaxLevel_PerFlag!$D:$D,$C20)</f>
        <v>0.39878437563383168</v>
      </c>
      <c r="O20" s="4">
        <f>_xlfn.MAXIFS(TaxLevel_PerFlag!$H:$H,TaxLevel_PerFlag!$A:$A,O$3,TaxLevel_PerFlag!$B:$B,$B$16,TaxLevel_PerFlag!$D:$D,$C20)</f>
        <v>0.41246008383159438</v>
      </c>
      <c r="P20" s="3">
        <f>_xlfn.MAXIFS(TaxLevel_PerFlag!$T:$T,TaxLevel_PerFlag!$A:$A,P$3,TaxLevel_PerFlag!$B:$B,$B$16,TaxLevel_PerFlag!$D:$D,$C20)</f>
        <v>0.2009503856346421</v>
      </c>
      <c r="Q20" s="4">
        <f>_xlfn.MAXIFS(TaxLevel_PerFlag!$T:$T,TaxLevel_PerFlag!$A:$A,Q$3,TaxLevel_PerFlag!$B:$B,$B$16,TaxLevel_PerFlag!$D:$D,$C20)</f>
        <v>0.2845092449922958</v>
      </c>
      <c r="R20" s="4">
        <f>_xlfn.MAXIFS(TaxLevel_PerFlag!$T:$T,TaxLevel_PerFlag!$A:$A,R$3,TaxLevel_PerFlag!$B:$B,$B$16,TaxLevel_PerFlag!$D:$D,$C20)</f>
        <v>0.31472950626033541</v>
      </c>
      <c r="S20" s="4">
        <f>_xlfn.MAXIFS(TaxLevel_PerFlag!$T:$T,TaxLevel_PerFlag!$A:$A,S$3,TaxLevel_PerFlag!$B:$B,$B$16,TaxLevel_PerFlag!$D:$D,$C20)</f>
        <v>0.39050922303934349</v>
      </c>
      <c r="T20" s="5">
        <f>_xlfn.MAXIFS(TaxLevel_PerFlag!$T:$T,TaxLevel_PerFlag!$A:$A,T$3,TaxLevel_PerFlag!$B:$B,$B$16,TaxLevel_PerFlag!$D:$D,$C20)</f>
        <v>0.50760001513013564</v>
      </c>
      <c r="Z20" s="31"/>
      <c r="AA20" s="2" t="s">
        <v>70</v>
      </c>
      <c r="AB20" s="2">
        <v>7</v>
      </c>
      <c r="AC20" s="11">
        <v>5.0724637681159403E-2</v>
      </c>
      <c r="AD20" s="6">
        <f>SUMIFS(TaxLevel_PerFlag!$Q:$Q,TaxLevel_PerFlag!$A:$A,AD$3,TaxLevel_PerFlag!$B:$B,$Z$16,TaxLevel_PerFlag!$C:$C,"XGBoost",TaxLevel_PerFlag!$D:$D,$AA20)</f>
        <v>-1.6849984677313301E-2</v>
      </c>
      <c r="AE20" s="4">
        <f>SUMIFS(TaxLevel_PerFlag!$Q:$Q,TaxLevel_PerFlag!$A:$A,AE$3,TaxLevel_PerFlag!$B:$B,$Z$16,TaxLevel_PerFlag!$C:$C,"XGBoost",TaxLevel_PerFlag!$D:$D,$AA20)</f>
        <v>0.1424025927312777</v>
      </c>
      <c r="AF20" s="4">
        <f>SUMIFS(TaxLevel_PerFlag!$Q:$Q,TaxLevel_PerFlag!$A:$A,AF$3,TaxLevel_PerFlag!$B:$B,$Z$16,TaxLevel_PerFlag!$C:$C,"XGBoost",TaxLevel_PerFlag!$D:$D,$AA20)</f>
        <v>1.7039340308251001E-2</v>
      </c>
      <c r="AG20" s="4">
        <f>SUMIFS(TaxLevel_PerFlag!$Q:$Q,TaxLevel_PerFlag!$A:$A,AG$3,TaxLevel_PerFlag!$B:$B,$Z$16,TaxLevel_PerFlag!$C:$C,"XGBoost",TaxLevel_PerFlag!$D:$D,$AA20)</f>
        <v>5.7265340767074499E-2</v>
      </c>
      <c r="AH20" s="4">
        <f>SUMIFS(TaxLevel_PerFlag!$Q:$Q,TaxLevel_PerFlag!$A:$A,AH$3,TaxLevel_PerFlag!$B:$B,$Z$16,TaxLevel_PerFlag!$C:$C,"XGBoost",TaxLevel_PerFlag!$D:$D,$AA20)</f>
        <v>2.4012630542278299E-2</v>
      </c>
      <c r="AI20" s="3">
        <f>SUMIFS(TaxLevel_PerFlag!$H:$H,TaxLevel_PerFlag!$A:$A,AI$3,TaxLevel_PerFlag!$B:$B,$Z$16,TaxLevel_PerFlag!$C:$C,"XGBoost",TaxLevel_PerFlag!$D:$D,$AA20)</f>
        <v>5.64162829068885E-2</v>
      </c>
      <c r="AJ20" s="4">
        <f>SUMIFS(TaxLevel_PerFlag!$H:$H,TaxLevel_PerFlag!$A:$A,AJ$3,TaxLevel_PerFlag!$B:$B,$Z$16,TaxLevel_PerFlag!$C:$C,"XGBoost",TaxLevel_PerFlag!$D:$D,$AA20)</f>
        <v>0.1007110699960103</v>
      </c>
      <c r="AK20" s="4">
        <f>SUMIFS(TaxLevel_PerFlag!$H:$H,TaxLevel_PerFlag!$A:$A,AK$3,TaxLevel_PerFlag!$B:$B,$Z$16,TaxLevel_PerFlag!$C:$C,"XGBoost",TaxLevel_PerFlag!$D:$D,$AA20)</f>
        <v>9.5524986816998003E-2</v>
      </c>
      <c r="AL20" s="4">
        <f>SUMIFS(TaxLevel_PerFlag!$H:$H,TaxLevel_PerFlag!$A:$A,AL$3,TaxLevel_PerFlag!$B:$B,$Z$16,TaxLevel_PerFlag!$C:$C,"XGBoost",TaxLevel_PerFlag!$D:$D,$AA20)</f>
        <v>0.15227412118870701</v>
      </c>
      <c r="AM20" s="4">
        <f>SUMIFS(TaxLevel_PerFlag!$H:$H,TaxLevel_PerFlag!$A:$A,AM$3,TaxLevel_PerFlag!$B:$B,$Z$16,TaxLevel_PerFlag!$C:$C,"XGBoost",TaxLevel_PerFlag!$D:$D,$AA20)</f>
        <v>9.4239708972096797E-2</v>
      </c>
      <c r="AN20" s="3">
        <f>SUMIFS(TaxLevel_PerFlag!$T:$T,TaxLevel_PerFlag!$A:$A,AN$3,TaxLevel_PerFlag!$B:$B,$Z$16,TaxLevel_PerFlag!$C:$C,"XGBoost",TaxLevel_PerFlag!$D:$D,$AA20)</f>
        <v>0.2009503856346421</v>
      </c>
      <c r="AO20" s="4">
        <f>SUMIFS(TaxLevel_PerFlag!$T:$T,TaxLevel_PerFlag!$A:$A,AO$3,TaxLevel_PerFlag!$B:$B,$Z$16,TaxLevel_PerFlag!$C:$C,"XGBoost",TaxLevel_PerFlag!$D:$D,$AA20)</f>
        <v>0.2845092449922958</v>
      </c>
      <c r="AP20" s="4">
        <f>SUMIFS(TaxLevel_PerFlag!$T:$T,TaxLevel_PerFlag!$A:$A,AP$3,TaxLevel_PerFlag!$B:$B,$Z$16,TaxLevel_PerFlag!$C:$C,"XGBoost",TaxLevel_PerFlag!$D:$D,$AA20)</f>
        <v>0.18273850672353251</v>
      </c>
      <c r="AQ20" s="4">
        <f>SUMIFS(TaxLevel_PerFlag!$T:$T,TaxLevel_PerFlag!$A:$A,AQ$3,TaxLevel_PerFlag!$B:$B,$Z$16,TaxLevel_PerFlag!$C:$C,"XGBoost",TaxLevel_PerFlag!$D:$D,$AA20)</f>
        <v>0.16730158730158731</v>
      </c>
      <c r="AR20" s="5">
        <f>SUMIFS(TaxLevel_PerFlag!$T:$T,TaxLevel_PerFlag!$A:$A,AR$3,TaxLevel_PerFlag!$B:$B,$Z$16,TaxLevel_PerFlag!$C:$C,"XGBoost",TaxLevel_PerFlag!$D:$D,$AA20)</f>
        <v>0.1728070175438596</v>
      </c>
    </row>
    <row r="21" spans="2:44" ht="17.25" thickBot="1">
      <c r="B21" s="32"/>
      <c r="C21" s="21" t="s">
        <v>100</v>
      </c>
      <c r="D21" s="21"/>
      <c r="E21" s="22"/>
      <c r="F21" s="24">
        <f>AVERAGE(F16:F20)</f>
        <v>0.26712826274316481</v>
      </c>
      <c r="G21" s="8">
        <f t="shared" ref="G21" si="17">AVERAGE(G16:G20)</f>
        <v>0.28484980851714742</v>
      </c>
      <c r="H21" s="12">
        <f t="shared" ref="H21" si="18">AVERAGE(H16:H20)</f>
        <v>0.39108550497618083</v>
      </c>
      <c r="I21" s="8">
        <f t="shared" ref="I21" si="19">AVERAGE(I16:I20)</f>
        <v>0.33613285230969331</v>
      </c>
      <c r="J21" s="8">
        <f t="shared" ref="J21" si="20">AVERAGE(J16:J20)</f>
        <v>0.33980055078637905</v>
      </c>
      <c r="K21" s="24">
        <f t="shared" ref="K21" si="21">AVERAGE(K16:K20)</f>
        <v>0.26678286890777547</v>
      </c>
      <c r="L21" s="25">
        <f t="shared" ref="L21" si="22">AVERAGE(L16:L20)</f>
        <v>0.33814489258508945</v>
      </c>
      <c r="M21" s="26">
        <f t="shared" ref="M21" si="23">AVERAGE(M16:M20)</f>
        <v>0.43055618131681406</v>
      </c>
      <c r="N21" s="25">
        <f t="shared" ref="N21" si="24">AVERAGE(N16:N20)</f>
        <v>0.40011888009458829</v>
      </c>
      <c r="O21" s="25">
        <f t="shared" ref="O21" si="25">AVERAGE(O16:O20)</f>
        <v>0.34509129218175721</v>
      </c>
      <c r="P21" s="7">
        <f t="shared" ref="P21" si="26">AVERAGE(P16:P20)</f>
        <v>0.42879861300181393</v>
      </c>
      <c r="Q21" s="8">
        <f t="shared" ref="Q21" si="27">AVERAGE(Q16:Q20)</f>
        <v>0.41788786172707326</v>
      </c>
      <c r="R21" s="12">
        <f t="shared" ref="R21" si="28">AVERAGE(R16:R20)</f>
        <v>0.5128469770214773</v>
      </c>
      <c r="S21" s="8">
        <f t="shared" ref="S21" si="29">AVERAGE(S16:S20)</f>
        <v>0.44257962771125986</v>
      </c>
      <c r="T21" s="9">
        <f t="shared" ref="T21" si="30">AVERAGE(T16:T20)</f>
        <v>0.46728108532838258</v>
      </c>
      <c r="Z21" s="32"/>
      <c r="AA21" s="21" t="s">
        <v>100</v>
      </c>
      <c r="AB21" s="21"/>
      <c r="AC21" s="22"/>
      <c r="AD21" s="24">
        <f>AVERAGE(AD16:AD20)</f>
        <v>0.19007001747859445</v>
      </c>
      <c r="AE21" s="8">
        <f t="shared" ref="AE21:AR21" si="31">AVERAGE(AE16:AE20)</f>
        <v>0.23524990891896799</v>
      </c>
      <c r="AF21" s="12">
        <f t="shared" si="31"/>
        <v>0.33274223088359417</v>
      </c>
      <c r="AG21" s="8">
        <f t="shared" si="31"/>
        <v>0.2246727266171375</v>
      </c>
      <c r="AH21" s="8">
        <f t="shared" si="31"/>
        <v>0.18223170762660329</v>
      </c>
      <c r="AI21" s="24">
        <f t="shared" si="31"/>
        <v>0.24829173143328367</v>
      </c>
      <c r="AJ21" s="25">
        <f t="shared" si="31"/>
        <v>0.29689000856455078</v>
      </c>
      <c r="AK21" s="26">
        <f t="shared" si="31"/>
        <v>0.36877868852829909</v>
      </c>
      <c r="AL21" s="25">
        <f t="shared" si="31"/>
        <v>0.28779085758273859</v>
      </c>
      <c r="AM21" s="25">
        <f t="shared" si="31"/>
        <v>0.22790438011178488</v>
      </c>
      <c r="AN21" s="7">
        <f t="shared" si="31"/>
        <v>0.33324071579915265</v>
      </c>
      <c r="AO21" s="8">
        <f t="shared" si="31"/>
        <v>0.37225723596768168</v>
      </c>
      <c r="AP21" s="12">
        <f t="shared" si="31"/>
        <v>0.45355018991228269</v>
      </c>
      <c r="AQ21" s="8">
        <f t="shared" si="31"/>
        <v>0.3390648910356987</v>
      </c>
      <c r="AR21" s="9">
        <f t="shared" si="31"/>
        <v>0.32522954737626131</v>
      </c>
    </row>
    <row r="22" spans="2:44" ht="17.25" thickBot="1">
      <c r="B22" t="s">
        <v>110</v>
      </c>
      <c r="E22" s="10"/>
    </row>
    <row r="23" spans="2:44">
      <c r="B23" s="33" t="s">
        <v>96</v>
      </c>
      <c r="C23" s="35" t="s">
        <v>97</v>
      </c>
      <c r="D23" s="35" t="s">
        <v>111</v>
      </c>
      <c r="E23" s="37" t="s">
        <v>112</v>
      </c>
      <c r="F23" s="27" t="s">
        <v>98</v>
      </c>
      <c r="G23" s="28"/>
      <c r="H23" s="28"/>
      <c r="I23" s="28"/>
      <c r="J23" s="28"/>
      <c r="K23" s="27" t="s">
        <v>99</v>
      </c>
      <c r="L23" s="28"/>
      <c r="M23" s="28"/>
      <c r="N23" s="28"/>
      <c r="O23" s="28"/>
      <c r="P23" s="27" t="s">
        <v>107</v>
      </c>
      <c r="Q23" s="28"/>
      <c r="R23" s="28"/>
      <c r="S23" s="28"/>
      <c r="T23" s="29"/>
    </row>
    <row r="24" spans="2:44" ht="17.25" thickBot="1">
      <c r="B24" s="34"/>
      <c r="C24" s="36"/>
      <c r="D24" s="36"/>
      <c r="E24" s="38"/>
      <c r="F24" s="13" t="s">
        <v>72</v>
      </c>
      <c r="G24" s="14" t="s">
        <v>73</v>
      </c>
      <c r="H24" s="14" t="s">
        <v>76</v>
      </c>
      <c r="I24" s="14" t="s">
        <v>101</v>
      </c>
      <c r="J24" s="14" t="s">
        <v>74</v>
      </c>
      <c r="K24" s="13" t="s">
        <v>72</v>
      </c>
      <c r="L24" s="14" t="s">
        <v>73</v>
      </c>
      <c r="M24" s="14" t="s">
        <v>76</v>
      </c>
      <c r="N24" s="14" t="s">
        <v>101</v>
      </c>
      <c r="O24" s="14" t="s">
        <v>74</v>
      </c>
      <c r="P24" s="13" t="s">
        <v>102</v>
      </c>
      <c r="Q24" s="14" t="s">
        <v>103</v>
      </c>
      <c r="R24" s="14" t="s">
        <v>104</v>
      </c>
      <c r="S24" s="14" t="s">
        <v>105</v>
      </c>
      <c r="T24" s="15" t="s">
        <v>106</v>
      </c>
    </row>
    <row r="25" spans="2:44">
      <c r="B25" s="30" t="s">
        <v>65</v>
      </c>
      <c r="C25" s="16" t="s">
        <v>71</v>
      </c>
      <c r="D25" s="16">
        <v>9</v>
      </c>
      <c r="E25" s="17">
        <v>6.5217391304347797E-2</v>
      </c>
      <c r="F25" s="18">
        <f>SUMIFS(Genus_PerFlag!$P:$P,Genus_PerFlag!$A:$A,$B$25,Genus_PerFlag!$B:$B,F$24,Genus_PerFlag!$C:$C,$C25)</f>
        <v>-8.3852987795748193E-2</v>
      </c>
      <c r="G25" s="19">
        <f>SUMIFS(Genus_PerFlag!$P:$P,Genus_PerFlag!$A:$A,$B$25,Genus_PerFlag!$B:$B,G$24,Genus_PerFlag!$C:$C,$C25)</f>
        <v>-3.9655772459538802E-2</v>
      </c>
      <c r="H25" s="19">
        <f>SUMIFS(Genus_PerFlag!$P:$P,Genus_PerFlag!$A:$A,$B$25,Genus_PerFlag!$B:$B,H$24,Genus_PerFlag!$C:$C,$C25)</f>
        <v>-0.12379170199035849</v>
      </c>
      <c r="I25" s="19">
        <f>SUMIFS(Genus_PerFlag!$P:$P,Genus_PerFlag!$A:$A,$B$25,Genus_PerFlag!$B:$B,I$24,Genus_PerFlag!$C:$C,$C25)</f>
        <v>-9.5844918359834302E-2</v>
      </c>
      <c r="J25" s="19">
        <f>SUMIFS(Genus_PerFlag!$P:$P,Genus_PerFlag!$A:$A,$B$25,Genus_PerFlag!$B:$B,J$24,Genus_PerFlag!$C:$C,$C25)</f>
        <v>-5.4911708282958598E-2</v>
      </c>
      <c r="K25" s="18">
        <f>SUMIFS(Genus_PerFlag!$G:$G,Genus_PerFlag!$A:$A,$B$25,Genus_PerFlag!$B:$B,K$24,Genus_PerFlag!$C:$C,$C25)</f>
        <v>5.5015568467247603E-2</v>
      </c>
      <c r="L25" s="19">
        <f>SUMIFS(Genus_PerFlag!$G:$G,Genus_PerFlag!$A:$A,$B$25,Genus_PerFlag!$B:$B,L$24,Genus_PerFlag!$C:$C,$C25)</f>
        <v>6.9544204250746103E-2</v>
      </c>
      <c r="M25" s="19">
        <f>SUMIFS(Genus_PerFlag!$G:$G,Genus_PerFlag!$A:$A,$B$25,Genus_PerFlag!$B:$B,M$24,Genus_PerFlag!$C:$C,$C25)</f>
        <v>6.22072168719583E-2</v>
      </c>
      <c r="N25" s="19">
        <f>SUMIFS(Genus_PerFlag!$G:$G,Genus_PerFlag!$A:$A,$B$25,Genus_PerFlag!$B:$B,N$24,Genus_PerFlag!$C:$C,$C25)</f>
        <v>6.3563971111282203E-2</v>
      </c>
      <c r="O25" s="19">
        <f>SUMIFS(Genus_PerFlag!$G:$G,Genus_PerFlag!$A:$A,$B$25,Genus_PerFlag!$B:$B,O$24,Genus_PerFlag!$C:$C,$C25)</f>
        <v>6.4614388549277701E-2</v>
      </c>
      <c r="P25" s="18">
        <f>SUMIFS(Genus_PerFlag!$S:$S,Genus_PerFlag!$A:$A,$B$25,Genus_PerFlag!$B:$B,P$24,Genus_PerFlag!$C:$C,$C25)</f>
        <v>0.1081021394064872</v>
      </c>
      <c r="Q25" s="19">
        <f>SUMIFS(Genus_PerFlag!$S:$S,Genus_PerFlag!$A:$A,$B$25,Genus_PerFlag!$B:$B,Q$24,Genus_PerFlag!$C:$C,$C25)</f>
        <v>0.16631873642993719</v>
      </c>
      <c r="R25" s="19">
        <f>SUMIFS(Genus_PerFlag!$S:$S,Genus_PerFlag!$A:$A,$B$25,Genus_PerFlag!$B:$B,R$24,Genus_PerFlag!$C:$C,$C25)</f>
        <v>0.17442675725443291</v>
      </c>
      <c r="S25" s="19">
        <f>SUMIFS(Genus_PerFlag!$S:$S,Genus_PerFlag!$A:$A,$B$25,Genus_PerFlag!$B:$B,S$24,Genus_PerFlag!$C:$C,$C25)</f>
        <v>0.20641437288842671</v>
      </c>
      <c r="T25" s="20">
        <f>SUMIFS(Genus_PerFlag!$S:$S,Genus_PerFlag!$A:$A,$B$25,Genus_PerFlag!$B:$B,T$24,Genus_PerFlag!$C:$C,$C25)</f>
        <v>0.18521888961534269</v>
      </c>
    </row>
    <row r="26" spans="2:44">
      <c r="B26" s="31"/>
      <c r="C26" s="2" t="s">
        <v>68</v>
      </c>
      <c r="D26" s="2">
        <v>4</v>
      </c>
      <c r="E26" s="11">
        <v>2.8985507246376802E-2</v>
      </c>
      <c r="F26" s="3">
        <f>SUMIFS(Genus_PerFlag!$P:$P,Genus_PerFlag!$A:$A,$B$25,Genus_PerFlag!$B:$B,F$24,Genus_PerFlag!$C:$C,$C26)</f>
        <v>0.11111674098375431</v>
      </c>
      <c r="G26" s="4">
        <f>SUMIFS(Genus_PerFlag!$P:$P,Genus_PerFlag!$A:$A,$B$25,Genus_PerFlag!$B:$B,G$24,Genus_PerFlag!$C:$C,$C26)</f>
        <v>0.2801109093597402</v>
      </c>
      <c r="H26" s="4">
        <f>SUMIFS(Genus_PerFlag!$P:$P,Genus_PerFlag!$A:$A,$B$25,Genus_PerFlag!$B:$B,H$24,Genus_PerFlag!$C:$C,$C26)</f>
        <v>0.1211747551495588</v>
      </c>
      <c r="I26" s="4">
        <f>SUMIFS(Genus_PerFlag!$P:$P,Genus_PerFlag!$A:$A,$B$25,Genus_PerFlag!$B:$B,I$24,Genus_PerFlag!$C:$C,$C26)</f>
        <v>0.23753224728440289</v>
      </c>
      <c r="J26" s="4">
        <f>SUMIFS(Genus_PerFlag!$P:$P,Genus_PerFlag!$A:$A,$B$25,Genus_PerFlag!$B:$B,J$24,Genus_PerFlag!$C:$C,$C26)</f>
        <v>0.18136987315352859</v>
      </c>
      <c r="K26" s="3">
        <f>SUMIFS(Genus_PerFlag!$G:$G,Genus_PerFlag!$A:$A,$B$25,Genus_PerFlag!$B:$B,K$24,Genus_PerFlag!$C:$C,$C26)</f>
        <v>0.19914532238299121</v>
      </c>
      <c r="L26" s="4">
        <f>SUMIFS(Genus_PerFlag!$G:$G,Genus_PerFlag!$A:$A,$B$25,Genus_PerFlag!$B:$B,L$24,Genus_PerFlag!$C:$C,$C26)</f>
        <v>0.2631070154982908</v>
      </c>
      <c r="M26" s="4">
        <f>SUMIFS(Genus_PerFlag!$G:$G,Genus_PerFlag!$A:$A,$B$25,Genus_PerFlag!$B:$B,M$24,Genus_PerFlag!$C:$C,$C26)</f>
        <v>0.28623425548942938</v>
      </c>
      <c r="N26" s="4">
        <f>SUMIFS(Genus_PerFlag!$G:$G,Genus_PerFlag!$A:$A,$B$25,Genus_PerFlag!$B:$B,N$24,Genus_PerFlag!$C:$C,$C26)</f>
        <v>0.25044447851773322</v>
      </c>
      <c r="O26" s="4">
        <f>SUMIFS(Genus_PerFlag!$G:$G,Genus_PerFlag!$A:$A,$B$25,Genus_PerFlag!$B:$B,O$24,Genus_PerFlag!$C:$C,$C26)</f>
        <v>0.27296873429944829</v>
      </c>
      <c r="P26" s="3">
        <f>SUMIFS(Genus_PerFlag!$S:$S,Genus_PerFlag!$A:$A,$B$25,Genus_PerFlag!$B:$B,P$24,Genus_PerFlag!$C:$C,$C26)</f>
        <v>0.33115726865726869</v>
      </c>
      <c r="Q26" s="4">
        <f>SUMIFS(Genus_PerFlag!$S:$S,Genus_PerFlag!$A:$A,$B$25,Genus_PerFlag!$B:$B,Q$24,Genus_PerFlag!$C:$C,$C26)</f>
        <v>0.52966107078039926</v>
      </c>
      <c r="R26" s="4">
        <f>SUMIFS(Genus_PerFlag!$S:$S,Genus_PerFlag!$A:$A,$B$25,Genus_PerFlag!$B:$B,R$24,Genus_PerFlag!$C:$C,$C26)</f>
        <v>0.30074418753482041</v>
      </c>
      <c r="S26" s="4">
        <f>SUMIFS(Genus_PerFlag!$S:$S,Genus_PerFlag!$A:$A,$B$25,Genus_PerFlag!$B:$B,S$24,Genus_PerFlag!$C:$C,$C26)</f>
        <v>0.50343034730632974</v>
      </c>
      <c r="T26" s="5">
        <f>SUMIFS(Genus_PerFlag!$S:$S,Genus_PerFlag!$A:$A,$B$25,Genus_PerFlag!$B:$B,T$24,Genus_PerFlag!$C:$C,$C26)</f>
        <v>0.38774508173087591</v>
      </c>
    </row>
    <row r="27" spans="2:44">
      <c r="B27" s="31"/>
      <c r="C27" s="2" t="s">
        <v>67</v>
      </c>
      <c r="D27" s="2">
        <v>20</v>
      </c>
      <c r="E27" s="11">
        <v>0.14492753623188401</v>
      </c>
      <c r="F27" s="3">
        <f>SUMIFS(Genus_PerFlag!$P:$P,Genus_PerFlag!$A:$A,$B$25,Genus_PerFlag!$B:$B,F$24,Genus_PerFlag!$C:$C,$C27)</f>
        <v>-1.8766488842823999E-2</v>
      </c>
      <c r="G27" s="4">
        <f>SUMIFS(Genus_PerFlag!$P:$P,Genus_PerFlag!$A:$A,$B$25,Genus_PerFlag!$B:$B,G$24,Genus_PerFlag!$C:$C,$C27)</f>
        <v>0.16238319856239999</v>
      </c>
      <c r="H27" s="4">
        <f>SUMIFS(Genus_PerFlag!$P:$P,Genus_PerFlag!$A:$A,$B$25,Genus_PerFlag!$B:$B,H$24,Genus_PerFlag!$C:$C,$C27)</f>
        <v>0.17571796789595651</v>
      </c>
      <c r="I27" s="4">
        <f>SUMIFS(Genus_PerFlag!$P:$P,Genus_PerFlag!$A:$A,$B$25,Genus_PerFlag!$B:$B,I$24,Genus_PerFlag!$C:$C,$C27)</f>
        <v>4.4334687831896702E-2</v>
      </c>
      <c r="J27" s="4">
        <f>SUMIFS(Genus_PerFlag!$P:$P,Genus_PerFlag!$A:$A,$B$25,Genus_PerFlag!$B:$B,J$24,Genus_PerFlag!$C:$C,$C27)</f>
        <v>1.3256814195517001E-2</v>
      </c>
      <c r="K27" s="3">
        <f>SUMIFS(Genus_PerFlag!$G:$G,Genus_PerFlag!$A:$A,$B$25,Genus_PerFlag!$B:$B,K$24,Genus_PerFlag!$C:$C,$C27)</f>
        <v>2.90696997151139E-2</v>
      </c>
      <c r="L27" s="4">
        <f>SUMIFS(Genus_PerFlag!$G:$G,Genus_PerFlag!$A:$A,$B$25,Genus_PerFlag!$B:$B,L$24,Genus_PerFlag!$C:$C,$C27)</f>
        <v>9.0836131849794902E-2</v>
      </c>
      <c r="M27" s="4">
        <f>SUMIFS(Genus_PerFlag!$G:$G,Genus_PerFlag!$A:$A,$B$25,Genus_PerFlag!$B:$B,M$24,Genus_PerFlag!$C:$C,$C27)</f>
        <v>0.12044458584699309</v>
      </c>
      <c r="N27" s="4">
        <f>SUMIFS(Genus_PerFlag!$G:$G,Genus_PerFlag!$A:$A,$B$25,Genus_PerFlag!$B:$B,N$24,Genus_PerFlag!$C:$C,$C27)</f>
        <v>4.0822184452775301E-2</v>
      </c>
      <c r="O27" s="4">
        <f>SUMIFS(Genus_PerFlag!$G:$G,Genus_PerFlag!$A:$A,$B$25,Genus_PerFlag!$B:$B,O$24,Genus_PerFlag!$C:$C,$C27)</f>
        <v>4.5762480922892403E-2</v>
      </c>
      <c r="P27" s="3">
        <f>SUMIFS(Genus_PerFlag!$S:$S,Genus_PerFlag!$A:$A,$B$25,Genus_PerFlag!$B:$B,P$24,Genus_PerFlag!$C:$C,$C27)</f>
        <v>8.8391462938564397E-2</v>
      </c>
      <c r="Q27" s="4">
        <f>SUMIFS(Genus_PerFlag!$S:$S,Genus_PerFlag!$A:$A,$B$25,Genus_PerFlag!$B:$B,Q$24,Genus_PerFlag!$C:$C,$C27)</f>
        <v>0.23627993565007621</v>
      </c>
      <c r="R27" s="4">
        <f>SUMIFS(Genus_PerFlag!$S:$S,Genus_PerFlag!$A:$A,$B$25,Genus_PerFlag!$B:$B,R$24,Genus_PerFlag!$C:$C,$C27)</f>
        <v>0.27719890532756519</v>
      </c>
      <c r="S27" s="4">
        <f>SUMIFS(Genus_PerFlag!$S:$S,Genus_PerFlag!$A:$A,$B$25,Genus_PerFlag!$B:$B,S$24,Genus_PerFlag!$C:$C,$C27)</f>
        <v>0.14102440145381859</v>
      </c>
      <c r="T27" s="5">
        <f>SUMIFS(Genus_PerFlag!$S:$S,Genus_PerFlag!$A:$A,$B$25,Genus_PerFlag!$B:$B,T$24,Genus_PerFlag!$C:$C,$C27)</f>
        <v>0.1337117159735966</v>
      </c>
    </row>
    <row r="28" spans="2:44">
      <c r="B28" s="31"/>
      <c r="C28" s="2" t="s">
        <v>69</v>
      </c>
      <c r="D28" s="2">
        <v>26</v>
      </c>
      <c r="E28" s="11">
        <v>0.1884057971014492</v>
      </c>
      <c r="F28" s="3">
        <f>SUMIFS(Genus_PerFlag!$P:$P,Genus_PerFlag!$A:$A,$B$25,Genus_PerFlag!$B:$B,F$24,Genus_PerFlag!$C:$C,$C28)</f>
        <v>7.4796835489211802E-2</v>
      </c>
      <c r="G28" s="4">
        <f>SUMIFS(Genus_PerFlag!$P:$P,Genus_PerFlag!$A:$A,$B$25,Genus_PerFlag!$B:$B,G$24,Genus_PerFlag!$C:$C,$C28)</f>
        <v>0.4659537573381845</v>
      </c>
      <c r="H28" s="4">
        <f>SUMIFS(Genus_PerFlag!$P:$P,Genus_PerFlag!$A:$A,$B$25,Genus_PerFlag!$B:$B,H$24,Genus_PerFlag!$C:$C,$C28)</f>
        <v>0.52179345594165283</v>
      </c>
      <c r="I28" s="4">
        <f>SUMIFS(Genus_PerFlag!$P:$P,Genus_PerFlag!$A:$A,$B$25,Genus_PerFlag!$B:$B,I$24,Genus_PerFlag!$C:$C,$C28)</f>
        <v>0.43208599057753527</v>
      </c>
      <c r="J28" s="4">
        <f>SUMIFS(Genus_PerFlag!$P:$P,Genus_PerFlag!$A:$A,$B$25,Genus_PerFlag!$B:$B,J$24,Genus_PerFlag!$C:$C,$C28)</f>
        <v>0.52448655358757201</v>
      </c>
      <c r="K28" s="3">
        <f>SUMIFS(Genus_PerFlag!$G:$G,Genus_PerFlag!$A:$A,$B$25,Genus_PerFlag!$B:$B,K$24,Genus_PerFlag!$C:$C,$C28)</f>
        <v>0.24415474984635721</v>
      </c>
      <c r="L28" s="4">
        <f>SUMIFS(Genus_PerFlag!$G:$G,Genus_PerFlag!$A:$A,$B$25,Genus_PerFlag!$B:$B,L$24,Genus_PerFlag!$C:$C,$C28)</f>
        <v>0.55629374204460691</v>
      </c>
      <c r="M28" s="4">
        <f>SUMIFS(Genus_PerFlag!$G:$G,Genus_PerFlag!$A:$A,$B$25,Genus_PerFlag!$B:$B,M$24,Genus_PerFlag!$C:$C,$C28)</f>
        <v>0.52780354168787635</v>
      </c>
      <c r="N28" s="4">
        <f>SUMIFS(Genus_PerFlag!$G:$G,Genus_PerFlag!$A:$A,$B$25,Genus_PerFlag!$B:$B,N$24,Genus_PerFlag!$C:$C,$C28)</f>
        <v>0.49049483207843181</v>
      </c>
      <c r="O28" s="4">
        <f>SUMIFS(Genus_PerFlag!$G:$G,Genus_PerFlag!$A:$A,$B$25,Genus_PerFlag!$B:$B,O$24,Genus_PerFlag!$C:$C,$C28)</f>
        <v>0.47012211411131649</v>
      </c>
      <c r="P28" s="3">
        <f>SUMIFS(Genus_PerFlag!$S:$S,Genus_PerFlag!$A:$A,$B$25,Genus_PerFlag!$B:$B,P$24,Genus_PerFlag!$C:$C,$C28)</f>
        <v>0.32400065434579461</v>
      </c>
      <c r="Q28" s="4">
        <f>SUMIFS(Genus_PerFlag!$S:$S,Genus_PerFlag!$A:$A,$B$25,Genus_PerFlag!$B:$B,Q$24,Genus_PerFlag!$C:$C,$C28)</f>
        <v>0.69562617659575532</v>
      </c>
      <c r="R28" s="4">
        <f>SUMIFS(Genus_PerFlag!$S:$S,Genus_PerFlag!$A:$A,$B$25,Genus_PerFlag!$B:$B,R$24,Genus_PerFlag!$C:$C,$C28)</f>
        <v>0.68585333483939048</v>
      </c>
      <c r="S28" s="4">
        <f>SUMIFS(Genus_PerFlag!$S:$S,Genus_PerFlag!$A:$A,$B$25,Genus_PerFlag!$B:$B,S$24,Genus_PerFlag!$C:$C,$C28)</f>
        <v>0.62412155818945581</v>
      </c>
      <c r="T28" s="5">
        <f>SUMIFS(Genus_PerFlag!$S:$S,Genus_PerFlag!$A:$A,$B$25,Genus_PerFlag!$B:$B,T$24,Genus_PerFlag!$C:$C,$C28)</f>
        <v>0.69549218901562082</v>
      </c>
    </row>
    <row r="29" spans="2:44">
      <c r="B29" s="31"/>
      <c r="C29" s="2" t="s">
        <v>70</v>
      </c>
      <c r="D29" s="2">
        <v>7</v>
      </c>
      <c r="E29" s="11">
        <v>5.0724637681159403E-2</v>
      </c>
      <c r="F29" s="3">
        <f>SUMIFS(Genus_PerFlag!$P:$P,Genus_PerFlag!$A:$A,$B$25,Genus_PerFlag!$B:$B,F$24,Genus_PerFlag!$C:$C,$C29)</f>
        <v>-6.8404396589550004E-4</v>
      </c>
      <c r="G29" s="4">
        <f>SUMIFS(Genus_PerFlag!$P:$P,Genus_PerFlag!$A:$A,$B$25,Genus_PerFlag!$B:$B,G$24,Genus_PerFlag!$C:$C,$C29)</f>
        <v>0.1041319938677811</v>
      </c>
      <c r="H29" s="4">
        <f>SUMIFS(Genus_PerFlag!$P:$P,Genus_PerFlag!$A:$A,$B$25,Genus_PerFlag!$B:$B,H$24,Genus_PerFlag!$C:$C,$C29)</f>
        <v>-5.6884991025723801E-2</v>
      </c>
      <c r="I29" s="4">
        <f>SUMIFS(Genus_PerFlag!$P:$P,Genus_PerFlag!$A:$A,$B$25,Genus_PerFlag!$B:$B,I$24,Genus_PerFlag!$C:$C,$C29)</f>
        <v>2.5078508757434701E-2</v>
      </c>
      <c r="J29" s="4">
        <f>SUMIFS(Genus_PerFlag!$P:$P,Genus_PerFlag!$A:$A,$B$25,Genus_PerFlag!$B:$B,J$24,Genus_PerFlag!$C:$C,$C29)</f>
        <v>8.5561525041949693E-2</v>
      </c>
      <c r="K29" s="3">
        <f>SUMIFS(Genus_PerFlag!$G:$G,Genus_PerFlag!$A:$A,$B$25,Genus_PerFlag!$B:$B,K$24,Genus_PerFlag!$C:$C,$C29)</f>
        <v>4.9622287884700501E-2</v>
      </c>
      <c r="L29" s="4">
        <f>SUMIFS(Genus_PerFlag!$G:$G,Genus_PerFlag!$A:$A,$B$25,Genus_PerFlag!$B:$B,L$24,Genus_PerFlag!$C:$C,$C29)</f>
        <v>0.1067799924887014</v>
      </c>
      <c r="M29" s="4">
        <f>SUMIFS(Genus_PerFlag!$G:$G,Genus_PerFlag!$A:$A,$B$25,Genus_PerFlag!$B:$B,M$24,Genus_PerFlag!$C:$C,$C29)</f>
        <v>4.9935633783090599E-2</v>
      </c>
      <c r="N29" s="4">
        <f>SUMIFS(Genus_PerFlag!$G:$G,Genus_PerFlag!$A:$A,$B$25,Genus_PerFlag!$B:$B,N$24,Genus_PerFlag!$C:$C,$C29)</f>
        <v>6.1434211334869301E-2</v>
      </c>
      <c r="O29" s="4">
        <f>SUMIFS(Genus_PerFlag!$G:$G,Genus_PerFlag!$A:$A,$B$25,Genus_PerFlag!$B:$B,O$24,Genus_PerFlag!$C:$C,$C29)</f>
        <v>7.4627139558084005E-2</v>
      </c>
      <c r="P29" s="3">
        <f>SUMIFS(Genus_PerFlag!$S:$S,Genus_PerFlag!$A:$A,$B$25,Genus_PerFlag!$B:$B,P$24,Genus_PerFlag!$C:$C,$C29)</f>
        <v>0.19685479753770241</v>
      </c>
      <c r="Q29" s="4">
        <f>SUMIFS(Genus_PerFlag!$S:$S,Genus_PerFlag!$A:$A,$B$25,Genus_PerFlag!$B:$B,Q$24,Genus_PerFlag!$C:$C,$C29)</f>
        <v>0.2574079611469548</v>
      </c>
      <c r="R29" s="4">
        <f>SUMIFS(Genus_PerFlag!$S:$S,Genus_PerFlag!$A:$A,$B$25,Genus_PerFlag!$B:$B,R$24,Genus_PerFlag!$C:$C,$C29)</f>
        <v>0.16096673290661589</v>
      </c>
      <c r="S29" s="4">
        <f>SUMIFS(Genus_PerFlag!$S:$S,Genus_PerFlag!$A:$A,$B$25,Genus_PerFlag!$B:$B,S$24,Genus_PerFlag!$C:$C,$C29)</f>
        <v>0.2093384956873981</v>
      </c>
      <c r="T29" s="5">
        <f>SUMIFS(Genus_PerFlag!$S:$S,Genus_PerFlag!$A:$A,$B$25,Genus_PerFlag!$B:$B,T$24,Genus_PerFlag!$C:$C,$C29)</f>
        <v>0.22748991591530149</v>
      </c>
    </row>
    <row r="30" spans="2:44" ht="17.25" thickBot="1">
      <c r="B30" s="32"/>
      <c r="C30" s="21" t="s">
        <v>100</v>
      </c>
      <c r="D30" s="21"/>
      <c r="E30" s="22"/>
      <c r="F30" s="7">
        <f>AVERAGE(F25:F29)</f>
        <v>1.6522011173699683E-2</v>
      </c>
      <c r="G30" s="12">
        <f t="shared" ref="G30:T30" si="32">AVERAGE(G25:G29)</f>
        <v>0.19458481733371341</v>
      </c>
      <c r="H30" s="8">
        <f t="shared" si="32"/>
        <v>0.12760189719421716</v>
      </c>
      <c r="I30" s="8">
        <f t="shared" si="32"/>
        <v>0.12863730321828706</v>
      </c>
      <c r="J30" s="8">
        <f t="shared" si="32"/>
        <v>0.14995261153912173</v>
      </c>
      <c r="K30" s="7">
        <f t="shared" si="32"/>
        <v>0.11540152565928208</v>
      </c>
      <c r="L30" s="12">
        <f t="shared" si="32"/>
        <v>0.21731221722642804</v>
      </c>
      <c r="M30" s="8">
        <f t="shared" si="32"/>
        <v>0.20932504673586952</v>
      </c>
      <c r="N30" s="8">
        <f t="shared" si="32"/>
        <v>0.18135193549901835</v>
      </c>
      <c r="O30" s="8">
        <f t="shared" si="32"/>
        <v>0.18561897148820378</v>
      </c>
      <c r="P30" s="7">
        <f t="shared" si="32"/>
        <v>0.20970126457716348</v>
      </c>
      <c r="Q30" s="12">
        <f t="shared" si="32"/>
        <v>0.37705877612062461</v>
      </c>
      <c r="R30" s="8">
        <f t="shared" si="32"/>
        <v>0.31983798357256499</v>
      </c>
      <c r="S30" s="8">
        <f t="shared" si="32"/>
        <v>0.33686583510508578</v>
      </c>
      <c r="T30" s="9">
        <f t="shared" si="32"/>
        <v>0.32593155845014754</v>
      </c>
    </row>
    <row r="31" spans="2:44">
      <c r="B31" s="30" t="s">
        <v>77</v>
      </c>
      <c r="C31" s="16" t="s">
        <v>71</v>
      </c>
      <c r="D31" s="16">
        <v>9</v>
      </c>
      <c r="E31" s="17">
        <v>6.5217391304347797E-2</v>
      </c>
      <c r="F31" s="18">
        <f>SUMIFS(Genus_PerFlag!$P:$P,Genus_PerFlag!$A:$A,$B$31,Genus_PerFlag!$B:$B,F$24,Genus_PerFlag!$C:$C,$C31)</f>
        <v>-3.8786086173473303E-2</v>
      </c>
      <c r="G31" s="19">
        <f>SUMIFS(Genus_PerFlag!$P:$P,Genus_PerFlag!$A:$A,$B$31,Genus_PerFlag!$B:$B,G$24,Genus_PerFlag!$C:$C,$C31)</f>
        <v>2.00371169107952E-2</v>
      </c>
      <c r="H31" s="19">
        <f>SUMIFS(Genus_PerFlag!$P:$P,Genus_PerFlag!$A:$A,$B$31,Genus_PerFlag!$B:$B,H$24,Genus_PerFlag!$C:$C,$C31)</f>
        <v>-6.3952306484319196E-2</v>
      </c>
      <c r="I31" s="19">
        <f>SUMIFS(Genus_PerFlag!$P:$P,Genus_PerFlag!$A:$A,$B$31,Genus_PerFlag!$B:$B,I$24,Genus_PerFlag!$C:$C,$C31)</f>
        <v>5.9160097433322102E-2</v>
      </c>
      <c r="J31" s="19">
        <f>SUMIFS(Genus_PerFlag!$P:$P,Genus_PerFlag!$A:$A,$B$31,Genus_PerFlag!$B:$B,J$24,Genus_PerFlag!$C:$C,$C31)</f>
        <v>5.4929963703076103E-2</v>
      </c>
      <c r="K31" s="18">
        <f>SUMIFS(Genus_PerFlag!$G:$G,Genus_PerFlag!$A:$A,$B$31,Genus_PerFlag!$B:$B,K$24,Genus_PerFlag!$C:$C,$C31)</f>
        <v>6.7531353395584498E-2</v>
      </c>
      <c r="L31" s="19">
        <f>SUMIFS(Genus_PerFlag!$G:$G,Genus_PerFlag!$A:$A,$B$31,Genus_PerFlag!$B:$B,L$24,Genus_PerFlag!$C:$C,$C31)</f>
        <v>7.9371599382373897E-2</v>
      </c>
      <c r="M31" s="19">
        <f>SUMIFS(Genus_PerFlag!$G:$G,Genus_PerFlag!$A:$A,$B$31,Genus_PerFlag!$B:$B,M$24,Genus_PerFlag!$C:$C,$C31)</f>
        <v>9.6688917069026104E-2</v>
      </c>
      <c r="N31" s="19">
        <f>SUMIFS(Genus_PerFlag!$G:$G,Genus_PerFlag!$A:$A,$B$31,Genus_PerFlag!$B:$B,N$24,Genus_PerFlag!$C:$C,$C31)</f>
        <v>8.4388010054681301E-2</v>
      </c>
      <c r="O31" s="19">
        <f>SUMIFS(Genus_PerFlag!$G:$G,Genus_PerFlag!$A:$A,$B$31,Genus_PerFlag!$B:$B,O$24,Genus_PerFlag!$C:$C,$C31)</f>
        <v>0.1186329740095237</v>
      </c>
      <c r="P31" s="18">
        <f>SUMIFS(Genus_PerFlag!$S:$S,Genus_PerFlag!$A:$A,$B$31,Genus_PerFlag!$B:$B,P$24,Genus_PerFlag!$C:$C,$C31)</f>
        <v>0.10393114080164439</v>
      </c>
      <c r="Q31" s="19">
        <f>SUMIFS(Genus_PerFlag!$S:$S,Genus_PerFlag!$A:$A,$B$31,Genus_PerFlag!$B:$B,Q$24,Genus_PerFlag!$C:$C,$C31)</f>
        <v>0.22108976817494649</v>
      </c>
      <c r="R31" s="19">
        <f>SUMIFS(Genus_PerFlag!$S:$S,Genus_PerFlag!$A:$A,$B$31,Genus_PerFlag!$B:$B,R$24,Genus_PerFlag!$C:$C,$C31)</f>
        <v>0.1458866927347906</v>
      </c>
      <c r="S31" s="19">
        <f>SUMIFS(Genus_PerFlag!$S:$S,Genus_PerFlag!$A:$A,$B$31,Genus_PerFlag!$B:$B,S$24,Genus_PerFlag!$C:$C,$C31)</f>
        <v>0.2353847755909611</v>
      </c>
      <c r="T31" s="20">
        <f>SUMIFS(Genus_PerFlag!$S:$S,Genus_PerFlag!$A:$A,$B$31,Genus_PerFlag!$B:$B,T$24,Genus_PerFlag!$C:$C,$C31)</f>
        <v>0.1791182501708817</v>
      </c>
    </row>
    <row r="32" spans="2:44">
      <c r="B32" s="31"/>
      <c r="C32" s="2" t="s">
        <v>68</v>
      </c>
      <c r="D32" s="2">
        <v>4</v>
      </c>
      <c r="E32" s="11">
        <v>2.8985507246376802E-2</v>
      </c>
      <c r="F32" s="3">
        <f>SUMIFS(Genus_PerFlag!$P:$P,Genus_PerFlag!$A:$A,$B$31,Genus_PerFlag!$B:$B,F$24,Genus_PerFlag!$C:$C,$C32)</f>
        <v>0.2204501566386084</v>
      </c>
      <c r="G32" s="4">
        <f>SUMIFS(Genus_PerFlag!$P:$P,Genus_PerFlag!$A:$A,$B$31,Genus_PerFlag!$B:$B,G$24,Genus_PerFlag!$C:$C,$C32)</f>
        <v>0.28248574107230762</v>
      </c>
      <c r="H32" s="4">
        <f>SUMIFS(Genus_PerFlag!$P:$P,Genus_PerFlag!$A:$A,$B$31,Genus_PerFlag!$B:$B,H$24,Genus_PerFlag!$C:$C,$C32)</f>
        <v>0.13188275331400809</v>
      </c>
      <c r="I32" s="4">
        <f>SUMIFS(Genus_PerFlag!$P:$P,Genus_PerFlag!$A:$A,$B$31,Genus_PerFlag!$B:$B,I$24,Genus_PerFlag!$C:$C,$C32)</f>
        <v>0.3190742897085771</v>
      </c>
      <c r="J32" s="4">
        <f>SUMIFS(Genus_PerFlag!$P:$P,Genus_PerFlag!$A:$A,$B$31,Genus_PerFlag!$B:$B,J$24,Genus_PerFlag!$C:$C,$C32)</f>
        <v>0.38840434597082718</v>
      </c>
      <c r="K32" s="3">
        <f>SUMIFS(Genus_PerFlag!$G:$G,Genus_PerFlag!$A:$A,$B$31,Genus_PerFlag!$B:$B,K$24,Genus_PerFlag!$C:$C,$C32)</f>
        <v>0.31113044960942993</v>
      </c>
      <c r="L32" s="4">
        <f>SUMIFS(Genus_PerFlag!$G:$G,Genus_PerFlag!$A:$A,$B$31,Genus_PerFlag!$B:$B,L$24,Genus_PerFlag!$C:$C,$C32)</f>
        <v>0.35132293610952681</v>
      </c>
      <c r="M32" s="4">
        <f>SUMIFS(Genus_PerFlag!$G:$G,Genus_PerFlag!$A:$A,$B$31,Genus_PerFlag!$B:$B,M$24,Genus_PerFlag!$C:$C,$C32)</f>
        <v>0.313559385849002</v>
      </c>
      <c r="N32" s="4">
        <f>SUMIFS(Genus_PerFlag!$G:$G,Genus_PerFlag!$A:$A,$B$31,Genus_PerFlag!$B:$B,N$24,Genus_PerFlag!$C:$C,$C32)</f>
        <v>0.45350099421758938</v>
      </c>
      <c r="O32" s="4">
        <f>SUMIFS(Genus_PerFlag!$G:$G,Genus_PerFlag!$A:$A,$B$31,Genus_PerFlag!$B:$B,O$24,Genus_PerFlag!$C:$C,$C32)</f>
        <v>0.47584101060724759</v>
      </c>
      <c r="P32" s="3">
        <f>SUMIFS(Genus_PerFlag!$S:$S,Genus_PerFlag!$A:$A,$B$31,Genus_PerFlag!$B:$B,P$24,Genus_PerFlag!$C:$C,$C32)</f>
        <v>0.42475530915254511</v>
      </c>
      <c r="Q32" s="4">
        <f>SUMIFS(Genus_PerFlag!$S:$S,Genus_PerFlag!$A:$A,$B$31,Genus_PerFlag!$B:$B,Q$24,Genus_PerFlag!$C:$C,$C32)</f>
        <v>0.50416698271908533</v>
      </c>
      <c r="R32" s="4">
        <f>SUMIFS(Genus_PerFlag!$S:$S,Genus_PerFlag!$A:$A,$B$31,Genus_PerFlag!$B:$B,R$24,Genus_PerFlag!$C:$C,$C32)</f>
        <v>0.39991881456709721</v>
      </c>
      <c r="S32" s="4">
        <f>SUMIFS(Genus_PerFlag!$S:$S,Genus_PerFlag!$A:$A,$B$31,Genus_PerFlag!$B:$B,S$24,Genus_PerFlag!$C:$C,$C32)</f>
        <v>0.37919545680014199</v>
      </c>
      <c r="T32" s="5">
        <f>SUMIFS(Genus_PerFlag!$S:$S,Genus_PerFlag!$A:$A,$B$31,Genus_PerFlag!$B:$B,T$24,Genus_PerFlag!$C:$C,$C32)</f>
        <v>0.63331895857130172</v>
      </c>
    </row>
    <row r="33" spans="2:20">
      <c r="B33" s="31"/>
      <c r="C33" s="2" t="s">
        <v>67</v>
      </c>
      <c r="D33" s="2">
        <v>20</v>
      </c>
      <c r="E33" s="11">
        <v>0.14492753623188401</v>
      </c>
      <c r="F33" s="3">
        <f>SUMIFS(Genus_PerFlag!$P:$P,Genus_PerFlag!$A:$A,$B$31,Genus_PerFlag!$B:$B,F$24,Genus_PerFlag!$C:$C,$C33)</f>
        <v>9.5461362570380903E-2</v>
      </c>
      <c r="G33" s="4">
        <f>SUMIFS(Genus_PerFlag!$P:$P,Genus_PerFlag!$A:$A,$B$31,Genus_PerFlag!$B:$B,G$24,Genus_PerFlag!$C:$C,$C33)</f>
        <v>5.1701860594590997E-2</v>
      </c>
      <c r="H33" s="4">
        <f>SUMIFS(Genus_PerFlag!$P:$P,Genus_PerFlag!$A:$A,$B$31,Genus_PerFlag!$B:$B,H$24,Genus_PerFlag!$C:$C,$C33)</f>
        <v>9.1127349966206805E-2</v>
      </c>
      <c r="I33" s="4">
        <f>SUMIFS(Genus_PerFlag!$P:$P,Genus_PerFlag!$A:$A,$B$31,Genus_PerFlag!$B:$B,I$24,Genus_PerFlag!$C:$C,$C33)</f>
        <v>1.35488322756165E-2</v>
      </c>
      <c r="J33" s="4">
        <f>SUMIFS(Genus_PerFlag!$P:$P,Genus_PerFlag!$A:$A,$B$31,Genus_PerFlag!$B:$B,J$24,Genus_PerFlag!$C:$C,$C33)</f>
        <v>4.2862147667648502E-2</v>
      </c>
      <c r="K33" s="3">
        <f>SUMIFS(Genus_PerFlag!$G:$G,Genus_PerFlag!$A:$A,$B$31,Genus_PerFlag!$B:$B,K$24,Genus_PerFlag!$C:$C,$C33)</f>
        <v>4.8920377179727997E-2</v>
      </c>
      <c r="L33" s="4">
        <f>SUMIFS(Genus_PerFlag!$G:$G,Genus_PerFlag!$A:$A,$B$31,Genus_PerFlag!$B:$B,L$24,Genus_PerFlag!$C:$C,$C33)</f>
        <v>6.8876450565475006E-2</v>
      </c>
      <c r="M33" s="4">
        <f>SUMIFS(Genus_PerFlag!$G:$G,Genus_PerFlag!$A:$A,$B$31,Genus_PerFlag!$B:$B,M$24,Genus_PerFlag!$C:$C,$C33)</f>
        <v>6.3151384741685204E-2</v>
      </c>
      <c r="N33" s="4">
        <f>SUMIFS(Genus_PerFlag!$G:$G,Genus_PerFlag!$A:$A,$B$31,Genus_PerFlag!$B:$B,N$24,Genus_PerFlag!$C:$C,$C33)</f>
        <v>5.6156657779508998E-2</v>
      </c>
      <c r="O33" s="4">
        <f>SUMIFS(Genus_PerFlag!$G:$G,Genus_PerFlag!$A:$A,$B$31,Genus_PerFlag!$B:$B,O$24,Genus_PerFlag!$C:$C,$C33)</f>
        <v>6.9875653866846799E-2</v>
      </c>
      <c r="P33" s="3">
        <f>SUMIFS(Genus_PerFlag!$S:$S,Genus_PerFlag!$A:$A,$B$31,Genus_PerFlag!$B:$B,P$24,Genus_PerFlag!$C:$C,$C33)</f>
        <v>0.1727373476608956</v>
      </c>
      <c r="Q33" s="4">
        <f>SUMIFS(Genus_PerFlag!$S:$S,Genus_PerFlag!$A:$A,$B$31,Genus_PerFlag!$B:$B,Q$24,Genus_PerFlag!$C:$C,$C33)</f>
        <v>0.13503094547097999</v>
      </c>
      <c r="R33" s="4">
        <f>SUMIFS(Genus_PerFlag!$S:$S,Genus_PerFlag!$A:$A,$B$31,Genus_PerFlag!$B:$B,R$24,Genus_PerFlag!$C:$C,$C33)</f>
        <v>0.1677974582677359</v>
      </c>
      <c r="S33" s="4">
        <f>SUMIFS(Genus_PerFlag!$S:$S,Genus_PerFlag!$A:$A,$B$31,Genus_PerFlag!$B:$B,S$24,Genus_PerFlag!$C:$C,$C33)</f>
        <v>0.1070655361808777</v>
      </c>
      <c r="T33" s="5">
        <f>SUMIFS(Genus_PerFlag!$S:$S,Genus_PerFlag!$A:$A,$B$31,Genus_PerFlag!$B:$B,T$24,Genus_PerFlag!$C:$C,$C33)</f>
        <v>0.1032663684532843</v>
      </c>
    </row>
    <row r="34" spans="2:20">
      <c r="B34" s="31"/>
      <c r="C34" s="2" t="s">
        <v>69</v>
      </c>
      <c r="D34" s="2">
        <v>26</v>
      </c>
      <c r="E34" s="11">
        <v>0.1884057971014492</v>
      </c>
      <c r="F34" s="3">
        <f>SUMIFS(Genus_PerFlag!$P:$P,Genus_PerFlag!$A:$A,$B$31,Genus_PerFlag!$B:$B,F$24,Genus_PerFlag!$C:$C,$C34)</f>
        <v>0.4570866815111872</v>
      </c>
      <c r="G34" s="4">
        <f>SUMIFS(Genus_PerFlag!$P:$P,Genus_PerFlag!$A:$A,$B$31,Genus_PerFlag!$B:$B,G$24,Genus_PerFlag!$C:$C,$C34)</f>
        <v>0.64317580576372624</v>
      </c>
      <c r="H34" s="4">
        <f>SUMIFS(Genus_PerFlag!$P:$P,Genus_PerFlag!$A:$A,$B$31,Genus_PerFlag!$B:$B,H$24,Genus_PerFlag!$C:$C,$C34)</f>
        <v>0.67971387359897295</v>
      </c>
      <c r="I34" s="4">
        <f>SUMIFS(Genus_PerFlag!$P:$P,Genus_PerFlag!$A:$A,$B$31,Genus_PerFlag!$B:$B,I$24,Genus_PerFlag!$C:$C,$C34)</f>
        <v>0.4951699558212404</v>
      </c>
      <c r="J34" s="4">
        <f>SUMIFS(Genus_PerFlag!$P:$P,Genus_PerFlag!$A:$A,$B$31,Genus_PerFlag!$B:$B,J$24,Genus_PerFlag!$C:$C,$C34)</f>
        <v>0.62902554472116723</v>
      </c>
      <c r="K34" s="3">
        <f>SUMIFS(Genus_PerFlag!$G:$G,Genus_PerFlag!$A:$A,$B$31,Genus_PerFlag!$B:$B,K$24,Genus_PerFlag!$C:$C,$C34)</f>
        <v>0.40498547034513149</v>
      </c>
      <c r="L34" s="4">
        <f>SUMIFS(Genus_PerFlag!$G:$G,Genus_PerFlag!$A:$A,$B$31,Genus_PerFlag!$B:$B,L$24,Genus_PerFlag!$C:$C,$C34)</f>
        <v>0.60006945199005235</v>
      </c>
      <c r="M34" s="4">
        <f>SUMIFS(Genus_PerFlag!$G:$G,Genus_PerFlag!$A:$A,$B$31,Genus_PerFlag!$B:$B,M$24,Genus_PerFlag!$C:$C,$C34)</f>
        <v>0.56183966316969802</v>
      </c>
      <c r="N34" s="4">
        <f>SUMIFS(Genus_PerFlag!$G:$G,Genus_PerFlag!$A:$A,$B$31,Genus_PerFlag!$B:$B,N$24,Genus_PerFlag!$C:$C,$C34)</f>
        <v>0.48643249681963568</v>
      </c>
      <c r="O34" s="4">
        <f>SUMIFS(Genus_PerFlag!$G:$G,Genus_PerFlag!$A:$A,$B$31,Genus_PerFlag!$B:$B,O$24,Genus_PerFlag!$C:$C,$C34)</f>
        <v>0.61876914690630636</v>
      </c>
      <c r="P34" s="3">
        <f>SUMIFS(Genus_PerFlag!$S:$S,Genus_PerFlag!$A:$A,$B$31,Genus_PerFlag!$B:$B,P$24,Genus_PerFlag!$C:$C,$C34)</f>
        <v>0.72180246934790326</v>
      </c>
      <c r="Q34" s="4">
        <f>SUMIFS(Genus_PerFlag!$S:$S,Genus_PerFlag!$A:$A,$B$31,Genus_PerFlag!$B:$B,Q$24,Genus_PerFlag!$C:$C,$C34)</f>
        <v>0.80882127846895169</v>
      </c>
      <c r="R34" s="4">
        <f>SUMIFS(Genus_PerFlag!$S:$S,Genus_PerFlag!$A:$A,$B$31,Genus_PerFlag!$B:$B,R$24,Genus_PerFlag!$C:$C,$C34)</f>
        <v>0.84503603669375971</v>
      </c>
      <c r="S34" s="4">
        <f>SUMIFS(Genus_PerFlag!$S:$S,Genus_PerFlag!$A:$A,$B$31,Genus_PerFlag!$B:$B,S$24,Genus_PerFlag!$C:$C,$C34)</f>
        <v>0.70959056916967578</v>
      </c>
      <c r="T34" s="5">
        <f>SUMIFS(Genus_PerFlag!$S:$S,Genus_PerFlag!$A:$A,$B$31,Genus_PerFlag!$B:$B,T$24,Genus_PerFlag!$C:$C,$C34)</f>
        <v>0.80607233729154903</v>
      </c>
    </row>
    <row r="35" spans="2:20">
      <c r="B35" s="31"/>
      <c r="C35" s="2" t="s">
        <v>70</v>
      </c>
      <c r="D35" s="2">
        <v>7</v>
      </c>
      <c r="E35" s="11">
        <v>5.0724637681159403E-2</v>
      </c>
      <c r="F35" s="3">
        <f>SUMIFS(Genus_PerFlag!$P:$P,Genus_PerFlag!$A:$A,$B$31,Genus_PerFlag!$B:$B,F$24,Genus_PerFlag!$C:$C,$C35)</f>
        <v>9.6090909119169003E-3</v>
      </c>
      <c r="G35" s="4">
        <f>SUMIFS(Genus_PerFlag!$P:$P,Genus_PerFlag!$A:$A,$B$31,Genus_PerFlag!$B:$B,G$24,Genus_PerFlag!$C:$C,$C35)</f>
        <v>6.6668166107890003E-2</v>
      </c>
      <c r="H35" s="4">
        <f>SUMIFS(Genus_PerFlag!$P:$P,Genus_PerFlag!$A:$A,$B$31,Genus_PerFlag!$B:$B,H$24,Genus_PerFlag!$C:$C,$C35)</f>
        <v>7.4495369673478001E-2</v>
      </c>
      <c r="I35" s="4">
        <f>SUMIFS(Genus_PerFlag!$P:$P,Genus_PerFlag!$A:$A,$B$31,Genus_PerFlag!$B:$B,I$24,Genus_PerFlag!$C:$C,$C35)</f>
        <v>-1.6466880673519601E-2</v>
      </c>
      <c r="J35" s="4">
        <f>SUMIFS(Genus_PerFlag!$P:$P,Genus_PerFlag!$A:$A,$B$31,Genus_PerFlag!$B:$B,J$24,Genus_PerFlag!$C:$C,$C35)</f>
        <v>7.1717164219125704E-2</v>
      </c>
      <c r="K35" s="3">
        <f>SUMIFS(Genus_PerFlag!$G:$G,Genus_PerFlag!$A:$A,$B$31,Genus_PerFlag!$B:$B,K$24,Genus_PerFlag!$C:$C,$C35)</f>
        <v>6.9311933881791493E-2</v>
      </c>
      <c r="L35" s="4">
        <f>SUMIFS(Genus_PerFlag!$G:$G,Genus_PerFlag!$A:$A,$B$31,Genus_PerFlag!$B:$B,L$24,Genus_PerFlag!$C:$C,$C35)</f>
        <v>7.9542315874862504E-2</v>
      </c>
      <c r="M35" s="4">
        <f>SUMIFS(Genus_PerFlag!$G:$G,Genus_PerFlag!$A:$A,$B$31,Genus_PerFlag!$B:$B,M$24,Genus_PerFlag!$C:$C,$C35)</f>
        <v>8.7119875157886398E-2</v>
      </c>
      <c r="N35" s="4">
        <f>SUMIFS(Genus_PerFlag!$G:$G,Genus_PerFlag!$A:$A,$B$31,Genus_PerFlag!$B:$B,N$24,Genus_PerFlag!$C:$C,$C35)</f>
        <v>7.3498535637566406E-2</v>
      </c>
      <c r="O35" s="4">
        <f>SUMIFS(Genus_PerFlag!$G:$G,Genus_PerFlag!$A:$A,$B$31,Genus_PerFlag!$B:$B,O$24,Genus_PerFlag!$C:$C,$C35)</f>
        <v>8.8594287694729407E-2</v>
      </c>
      <c r="P35" s="3">
        <f>SUMIFS(Genus_PerFlag!$S:$S,Genus_PerFlag!$A:$A,$B$31,Genus_PerFlag!$B:$B,P$24,Genus_PerFlag!$C:$C,$C35)</f>
        <v>0.13281915435557809</v>
      </c>
      <c r="Q35" s="4">
        <f>SUMIFS(Genus_PerFlag!$S:$S,Genus_PerFlag!$A:$A,$B$31,Genus_PerFlag!$B:$B,Q$24,Genus_PerFlag!$C:$C,$C35)</f>
        <v>0.21831176745636799</v>
      </c>
      <c r="R35" s="4">
        <f>SUMIFS(Genus_PerFlag!$S:$S,Genus_PerFlag!$A:$A,$B$31,Genus_PerFlag!$B:$B,R$24,Genus_PerFlag!$C:$C,$C35)</f>
        <v>0.23959387775398069</v>
      </c>
      <c r="S35" s="4">
        <f>SUMIFS(Genus_PerFlag!$S:$S,Genus_PerFlag!$A:$A,$B$31,Genus_PerFlag!$B:$B,S$24,Genus_PerFlag!$C:$C,$C35)</f>
        <v>0.16164551239401539</v>
      </c>
      <c r="T35" s="5">
        <f>SUMIFS(Genus_PerFlag!$S:$S,Genus_PerFlag!$A:$A,$B$31,Genus_PerFlag!$B:$B,T$24,Genus_PerFlag!$C:$C,$C35)</f>
        <v>0.2231909469840504</v>
      </c>
    </row>
    <row r="36" spans="2:20" ht="17.25" thickBot="1">
      <c r="B36" s="32"/>
      <c r="C36" s="21" t="s">
        <v>100</v>
      </c>
      <c r="D36" s="21"/>
      <c r="E36" s="22"/>
      <c r="F36" s="7">
        <f>AVERAGE(F31:F35)</f>
        <v>0.14876424109172401</v>
      </c>
      <c r="G36" s="8">
        <f t="shared" ref="G36:T36" si="33">AVERAGE(G31:G35)</f>
        <v>0.21281373808986198</v>
      </c>
      <c r="H36" s="8">
        <f t="shared" si="33"/>
        <v>0.18265340801366933</v>
      </c>
      <c r="I36" s="8">
        <f t="shared" si="33"/>
        <v>0.17409725891304728</v>
      </c>
      <c r="J36" s="12">
        <f t="shared" si="33"/>
        <v>0.23738783325636895</v>
      </c>
      <c r="K36" s="7">
        <f t="shared" si="33"/>
        <v>0.18037591688233306</v>
      </c>
      <c r="L36" s="8">
        <f t="shared" si="33"/>
        <v>0.23583655078445812</v>
      </c>
      <c r="M36" s="8">
        <f t="shared" si="33"/>
        <v>0.22447184519745952</v>
      </c>
      <c r="N36" s="8">
        <f t="shared" si="33"/>
        <v>0.23079533890179635</v>
      </c>
      <c r="O36" s="12">
        <f t="shared" si="33"/>
        <v>0.27434261461693077</v>
      </c>
      <c r="P36" s="7">
        <f t="shared" si="33"/>
        <v>0.3112090842637133</v>
      </c>
      <c r="Q36" s="8">
        <f t="shared" si="33"/>
        <v>0.37748414845806633</v>
      </c>
      <c r="R36" s="8">
        <f t="shared" si="33"/>
        <v>0.35964657600347283</v>
      </c>
      <c r="S36" s="8">
        <f t="shared" si="33"/>
        <v>0.3185763700271344</v>
      </c>
      <c r="T36" s="23">
        <f t="shared" si="33"/>
        <v>0.38899337229421349</v>
      </c>
    </row>
    <row r="37" spans="2:20">
      <c r="B37" s="30" t="s">
        <v>78</v>
      </c>
      <c r="C37" s="16" t="s">
        <v>71</v>
      </c>
      <c r="D37" s="16">
        <v>9</v>
      </c>
      <c r="E37" s="17">
        <v>6.5217391304347797E-2</v>
      </c>
      <c r="F37" s="18">
        <f>SUMIFS(Genus_PerFlag!$P:$P,Genus_PerFlag!$A:$A,$B$37,Genus_PerFlag!$B:$B,F$24,Genus_PerFlag!$C:$C,$C37)</f>
        <v>-1.37293528683901E-2</v>
      </c>
      <c r="G37" s="19">
        <f>SUMIFS(Genus_PerFlag!$P:$P,Genus_PerFlag!$A:$A,$B$37,Genus_PerFlag!$B:$B,G$24,Genus_PerFlag!$C:$C,$C37)</f>
        <v>-0.10540960290521301</v>
      </c>
      <c r="H37" s="19">
        <f>SUMIFS(Genus_PerFlag!$P:$P,Genus_PerFlag!$A:$A,$B$37,Genus_PerFlag!$B:$B,H$24,Genus_PerFlag!$C:$C,$C37)</f>
        <v>-6.2270006193574402E-2</v>
      </c>
      <c r="I37" s="19">
        <f>SUMIFS(Genus_PerFlag!$P:$P,Genus_PerFlag!$A:$A,$B$37,Genus_PerFlag!$B:$B,I$24,Genus_PerFlag!$C:$C,$C37)</f>
        <v>-7.6167816664092405E-2</v>
      </c>
      <c r="J37" s="19">
        <f>SUMIFS(Genus_PerFlag!$P:$P,Genus_PerFlag!$A:$A,$B$37,Genus_PerFlag!$B:$B,J$24,Genus_PerFlag!$C:$C,$C37)</f>
        <v>4.3814197611345897E-2</v>
      </c>
      <c r="K37" s="18">
        <f>SUMIFS(Genus_PerFlag!$G:$G,Genus_PerFlag!$A:$A,$B$37,Genus_PerFlag!$B:$B,K$24,Genus_PerFlag!$C:$C,$C37)</f>
        <v>0.106206508276523</v>
      </c>
      <c r="L37" s="19">
        <f>SUMIFS(Genus_PerFlag!$G:$G,Genus_PerFlag!$A:$A,$B$37,Genus_PerFlag!$B:$B,L$24,Genus_PerFlag!$C:$C,$C37)</f>
        <v>5.3302310692446203E-2</v>
      </c>
      <c r="M37" s="19">
        <f>SUMIFS(Genus_PerFlag!$G:$G,Genus_PerFlag!$A:$A,$B$37,Genus_PerFlag!$B:$B,M$24,Genus_PerFlag!$C:$C,$C37)</f>
        <v>6.60476299237297E-2</v>
      </c>
      <c r="N37" s="19">
        <f>SUMIFS(Genus_PerFlag!$G:$G,Genus_PerFlag!$A:$A,$B$37,Genus_PerFlag!$B:$B,N$24,Genus_PerFlag!$C:$C,$C37)</f>
        <v>6.01253221878746E-2</v>
      </c>
      <c r="O37" s="19">
        <f>SUMIFS(Genus_PerFlag!$G:$G,Genus_PerFlag!$A:$A,$B$37,Genus_PerFlag!$B:$B,O$24,Genus_PerFlag!$C:$C,$C37)</f>
        <v>8.8111977440462105E-2</v>
      </c>
      <c r="P37" s="18">
        <f>SUMIFS(Genus_PerFlag!$S:$S,Genus_PerFlag!$A:$A,$B$37,Genus_PerFlag!$B:$B,P$24,Genus_PerFlag!$C:$C,$C37)</f>
        <v>0.14440376793317969</v>
      </c>
      <c r="Q37" s="19">
        <f>SUMIFS(Genus_PerFlag!$S:$S,Genus_PerFlag!$A:$A,$B$37,Genus_PerFlag!$B:$B,Q$24,Genus_PerFlag!$C:$C,$C37)</f>
        <v>0.19935844788384069</v>
      </c>
      <c r="R37" s="19">
        <f>SUMIFS(Genus_PerFlag!$S:$S,Genus_PerFlag!$A:$A,$B$37,Genus_PerFlag!$B:$B,R$24,Genus_PerFlag!$C:$C,$C37)</f>
        <v>0.207047729121004</v>
      </c>
      <c r="S37" s="19">
        <f>SUMIFS(Genus_PerFlag!$S:$S,Genus_PerFlag!$A:$A,$B$37,Genus_PerFlag!$B:$B,S$24,Genus_PerFlag!$C:$C,$C37)</f>
        <v>5.0120772946859897E-2</v>
      </c>
      <c r="T37" s="20">
        <f>SUMIFS(Genus_PerFlag!$S:$S,Genus_PerFlag!$A:$A,$B$37,Genus_PerFlag!$B:$B,T$24,Genus_PerFlag!$C:$C,$C37)</f>
        <v>0.22231585460925779</v>
      </c>
    </row>
    <row r="38" spans="2:20">
      <c r="B38" s="31"/>
      <c r="C38" s="2" t="s">
        <v>68</v>
      </c>
      <c r="D38" s="2">
        <v>4</v>
      </c>
      <c r="E38" s="11">
        <v>2.8985507246376802E-2</v>
      </c>
      <c r="F38" s="3">
        <f>SUMIFS(Genus_PerFlag!$P:$P,Genus_PerFlag!$A:$A,$B$37,Genus_PerFlag!$B:$B,F$24,Genus_PerFlag!$C:$C,$C38)</f>
        <v>0.2449390044497595</v>
      </c>
      <c r="G38" s="4">
        <f>SUMIFS(Genus_PerFlag!$P:$P,Genus_PerFlag!$A:$A,$B$37,Genus_PerFlag!$B:$B,G$24,Genus_PerFlag!$C:$C,$C38)</f>
        <v>0.31782197948522511</v>
      </c>
      <c r="H38" s="4">
        <f>SUMIFS(Genus_PerFlag!$P:$P,Genus_PerFlag!$A:$A,$B$37,Genus_PerFlag!$B:$B,H$24,Genus_PerFlag!$C:$C,$C38)</f>
        <v>0.1082002719126422</v>
      </c>
      <c r="I38" s="4">
        <f>SUMIFS(Genus_PerFlag!$P:$P,Genus_PerFlag!$A:$A,$B$37,Genus_PerFlag!$B:$B,I$24,Genus_PerFlag!$C:$C,$C38)</f>
        <v>0.37469588221812611</v>
      </c>
      <c r="J38" s="4">
        <f>SUMIFS(Genus_PerFlag!$P:$P,Genus_PerFlag!$A:$A,$B$37,Genus_PerFlag!$B:$B,J$24,Genus_PerFlag!$C:$C,$C38)</f>
        <v>0.38010350927102837</v>
      </c>
      <c r="K38" s="3">
        <f>SUMIFS(Genus_PerFlag!$G:$G,Genus_PerFlag!$A:$A,$B$37,Genus_PerFlag!$B:$B,K$24,Genus_PerFlag!$C:$C,$C38)</f>
        <v>0.27588990364014421</v>
      </c>
      <c r="L38" s="4">
        <f>SUMIFS(Genus_PerFlag!$G:$G,Genus_PerFlag!$A:$A,$B$37,Genus_PerFlag!$B:$B,L$24,Genus_PerFlag!$C:$C,$C38)</f>
        <v>0.32762517404119601</v>
      </c>
      <c r="M38" s="4">
        <f>SUMIFS(Genus_PerFlag!$G:$G,Genus_PerFlag!$A:$A,$B$37,Genus_PerFlag!$B:$B,M$24,Genus_PerFlag!$C:$C,$C38)</f>
        <v>0.29381230859312552</v>
      </c>
      <c r="N38" s="4">
        <f>SUMIFS(Genus_PerFlag!$G:$G,Genus_PerFlag!$A:$A,$B$37,Genus_PerFlag!$B:$B,N$24,Genus_PerFlag!$C:$C,$C38)</f>
        <v>0.39097380471190601</v>
      </c>
      <c r="O38" s="4">
        <f>SUMIFS(Genus_PerFlag!$G:$G,Genus_PerFlag!$A:$A,$B$37,Genus_PerFlag!$B:$B,O$24,Genus_PerFlag!$C:$C,$C38)</f>
        <v>0.36051157011691348</v>
      </c>
      <c r="P38" s="3">
        <f>SUMIFS(Genus_PerFlag!$S:$S,Genus_PerFlag!$A:$A,$B$37,Genus_PerFlag!$B:$B,P$24,Genus_PerFlag!$C:$C,$C38)</f>
        <v>0.5081655420242116</v>
      </c>
      <c r="Q38" s="4">
        <f>SUMIFS(Genus_PerFlag!$S:$S,Genus_PerFlag!$A:$A,$B$37,Genus_PerFlag!$B:$B,Q$24,Genus_PerFlag!$C:$C,$C38)</f>
        <v>0.57748118796846803</v>
      </c>
      <c r="R38" s="4">
        <f>SUMIFS(Genus_PerFlag!$S:$S,Genus_PerFlag!$A:$A,$B$37,Genus_PerFlag!$B:$B,R$24,Genus_PerFlag!$C:$C,$C38)</f>
        <v>0.34600618087047919</v>
      </c>
      <c r="S38" s="4">
        <f>SUMIFS(Genus_PerFlag!$S:$S,Genus_PerFlag!$A:$A,$B$37,Genus_PerFlag!$B:$B,S$24,Genus_PerFlag!$C:$C,$C38)</f>
        <v>0.56284400260715972</v>
      </c>
      <c r="T38" s="5">
        <f>SUMIFS(Genus_PerFlag!$S:$S,Genus_PerFlag!$A:$A,$B$37,Genus_PerFlag!$B:$B,T$24,Genus_PerFlag!$C:$C,$C38)</f>
        <v>0.60832340439586807</v>
      </c>
    </row>
    <row r="39" spans="2:20">
      <c r="B39" s="31"/>
      <c r="C39" s="2" t="s">
        <v>67</v>
      </c>
      <c r="D39" s="2">
        <v>20</v>
      </c>
      <c r="E39" s="11">
        <v>0.14492753623188401</v>
      </c>
      <c r="F39" s="3">
        <f>SUMIFS(Genus_PerFlag!$P:$P,Genus_PerFlag!$A:$A,$B$37,Genus_PerFlag!$B:$B,F$24,Genus_PerFlag!$C:$C,$C39)</f>
        <v>9.4263370089226806E-2</v>
      </c>
      <c r="G39" s="4">
        <f>SUMIFS(Genus_PerFlag!$P:$P,Genus_PerFlag!$A:$A,$B$37,Genus_PerFlag!$B:$B,G$24,Genus_PerFlag!$C:$C,$C39)</f>
        <v>0.15957805213997139</v>
      </c>
      <c r="H39" s="4">
        <f>SUMIFS(Genus_PerFlag!$P:$P,Genus_PerFlag!$A:$A,$B$37,Genus_PerFlag!$B:$B,H$24,Genus_PerFlag!$C:$C,$C39)</f>
        <v>0.10440913993225839</v>
      </c>
      <c r="I39" s="4">
        <f>SUMIFS(Genus_PerFlag!$P:$P,Genus_PerFlag!$A:$A,$B$37,Genus_PerFlag!$B:$B,I$24,Genus_PerFlag!$C:$C,$C39)</f>
        <v>-1.0550946190508E-2</v>
      </c>
      <c r="J39" s="4">
        <f>SUMIFS(Genus_PerFlag!$P:$P,Genus_PerFlag!$A:$A,$B$37,Genus_PerFlag!$B:$B,J$24,Genus_PerFlag!$C:$C,$C39)</f>
        <v>6.4579444589532103E-2</v>
      </c>
      <c r="K39" s="3">
        <f>SUMIFS(Genus_PerFlag!$G:$G,Genus_PerFlag!$A:$A,$B$37,Genus_PerFlag!$B:$B,K$24,Genus_PerFlag!$C:$C,$C39)</f>
        <v>0.1332734549267339</v>
      </c>
      <c r="L39" s="4">
        <f>SUMIFS(Genus_PerFlag!$G:$G,Genus_PerFlag!$A:$A,$B$37,Genus_PerFlag!$B:$B,L$24,Genus_PerFlag!$C:$C,$C39)</f>
        <v>6.00433424523956E-2</v>
      </c>
      <c r="M39" s="4">
        <f>SUMIFS(Genus_PerFlag!$G:$G,Genus_PerFlag!$A:$A,$B$37,Genus_PerFlag!$B:$B,M$24,Genus_PerFlag!$C:$C,$C39)</f>
        <v>9.3744870867332797E-2</v>
      </c>
      <c r="N39" s="4">
        <f>SUMIFS(Genus_PerFlag!$G:$G,Genus_PerFlag!$A:$A,$B$37,Genus_PerFlag!$B:$B,N$24,Genus_PerFlag!$C:$C,$C39)</f>
        <v>5.4898440464819398E-2</v>
      </c>
      <c r="O39" s="4">
        <f>SUMIFS(Genus_PerFlag!$G:$G,Genus_PerFlag!$A:$A,$B$37,Genus_PerFlag!$B:$B,O$24,Genus_PerFlag!$C:$C,$C39)</f>
        <v>5.3488880143233601E-2</v>
      </c>
      <c r="P39" s="3">
        <f>SUMIFS(Genus_PerFlag!$S:$S,Genus_PerFlag!$A:$A,$B$37,Genus_PerFlag!$B:$B,P$24,Genus_PerFlag!$C:$C,$C39)</f>
        <v>0.16534391534391529</v>
      </c>
      <c r="Q39" s="4">
        <f>SUMIFS(Genus_PerFlag!$S:$S,Genus_PerFlag!$A:$A,$B$37,Genus_PerFlag!$B:$B,Q$24,Genus_PerFlag!$C:$C,$C39)</f>
        <v>0.22257601835915089</v>
      </c>
      <c r="R39" s="4">
        <f>SUMIFS(Genus_PerFlag!$S:$S,Genus_PerFlag!$A:$A,$B$37,Genus_PerFlag!$B:$B,R$24,Genus_PerFlag!$C:$C,$C39)</f>
        <v>0.1949926900584795</v>
      </c>
      <c r="S39" s="4">
        <f>SUMIFS(Genus_PerFlag!$S:$S,Genus_PerFlag!$A:$A,$B$37,Genus_PerFlag!$B:$B,S$24,Genus_PerFlag!$C:$C,$C39)</f>
        <v>7.6128484760941695E-2</v>
      </c>
      <c r="T39" s="5">
        <f>SUMIFS(Genus_PerFlag!$S:$S,Genus_PerFlag!$A:$A,$B$37,Genus_PerFlag!$B:$B,T$24,Genus_PerFlag!$C:$C,$C39)</f>
        <v>0.15548472413485029</v>
      </c>
    </row>
    <row r="40" spans="2:20">
      <c r="B40" s="31"/>
      <c r="C40" s="2" t="s">
        <v>69</v>
      </c>
      <c r="D40" s="2">
        <v>26</v>
      </c>
      <c r="E40" s="11">
        <v>0.1884057971014492</v>
      </c>
      <c r="F40" s="3">
        <f>SUMIFS(Genus_PerFlag!$P:$P,Genus_PerFlag!$A:$A,$B$37,Genus_PerFlag!$B:$B,F$24,Genus_PerFlag!$C:$C,$C40)</f>
        <v>0.36399765051157551</v>
      </c>
      <c r="G40" s="4">
        <f>SUMIFS(Genus_PerFlag!$P:$P,Genus_PerFlag!$A:$A,$B$37,Genus_PerFlag!$B:$B,G$24,Genus_PerFlag!$C:$C,$C40)</f>
        <v>0.62256923945283416</v>
      </c>
      <c r="H40" s="4">
        <f>SUMIFS(Genus_PerFlag!$P:$P,Genus_PerFlag!$A:$A,$B$37,Genus_PerFlag!$B:$B,H$24,Genus_PerFlag!$C:$C,$C40)</f>
        <v>0.66150812660501002</v>
      </c>
      <c r="I40" s="4">
        <f>SUMIFS(Genus_PerFlag!$P:$P,Genus_PerFlag!$A:$A,$B$37,Genus_PerFlag!$B:$B,I$24,Genus_PerFlag!$C:$C,$C40)</f>
        <v>0.57126248800364121</v>
      </c>
      <c r="J40" s="4">
        <f>SUMIFS(Genus_PerFlag!$P:$P,Genus_PerFlag!$A:$A,$B$37,Genus_PerFlag!$B:$B,J$24,Genus_PerFlag!$C:$C,$C40)</f>
        <v>0.53654385012449213</v>
      </c>
      <c r="K40" s="3">
        <f>SUMIFS(Genus_PerFlag!$G:$G,Genus_PerFlag!$A:$A,$B$37,Genus_PerFlag!$B:$B,K$24,Genus_PerFlag!$C:$C,$C40)</f>
        <v>0.43211204083057497</v>
      </c>
      <c r="L40" s="4">
        <f>SUMIFS(Genus_PerFlag!$G:$G,Genus_PerFlag!$A:$A,$B$37,Genus_PerFlag!$B:$B,L$24,Genus_PerFlag!$C:$C,$C40)</f>
        <v>0.56640214195500771</v>
      </c>
      <c r="M40" s="4">
        <f>SUMIFS(Genus_PerFlag!$G:$G,Genus_PerFlag!$A:$A,$B$37,Genus_PerFlag!$B:$B,M$24,Genus_PerFlag!$C:$C,$C40)</f>
        <v>0.5841015252347882</v>
      </c>
      <c r="N40" s="4">
        <f>SUMIFS(Genus_PerFlag!$G:$G,Genus_PerFlag!$A:$A,$B$37,Genus_PerFlag!$B:$B,N$24,Genus_PerFlag!$C:$C,$C40)</f>
        <v>0.58566836533529909</v>
      </c>
      <c r="O40" s="4">
        <f>SUMIFS(Genus_PerFlag!$G:$G,Genus_PerFlag!$A:$A,$B$37,Genus_PerFlag!$B:$B,O$24,Genus_PerFlag!$C:$C,$C40)</f>
        <v>0.5649804413614824</v>
      </c>
      <c r="P40" s="3">
        <f>SUMIFS(Genus_PerFlag!$S:$S,Genus_PerFlag!$A:$A,$B$37,Genus_PerFlag!$B:$B,P$24,Genus_PerFlag!$C:$C,$C40)</f>
        <v>0.58761899478372315</v>
      </c>
      <c r="Q40" s="4">
        <f>SUMIFS(Genus_PerFlag!$S:$S,Genus_PerFlag!$A:$A,$B$37,Genus_PerFlag!$B:$B,Q$24,Genus_PerFlag!$C:$C,$C40)</f>
        <v>0.81184607968002642</v>
      </c>
      <c r="R40" s="4">
        <f>SUMIFS(Genus_PerFlag!$S:$S,Genus_PerFlag!$A:$A,$B$37,Genus_PerFlag!$B:$B,R$24,Genus_PerFlag!$C:$C,$C40)</f>
        <v>0.81350759144237406</v>
      </c>
      <c r="S40" s="4">
        <f>SUMIFS(Genus_PerFlag!$S:$S,Genus_PerFlag!$A:$A,$B$37,Genus_PerFlag!$B:$B,S$24,Genus_PerFlag!$C:$C,$C40)</f>
        <v>0.77016890262157633</v>
      </c>
      <c r="T40" s="5">
        <f>SUMIFS(Genus_PerFlag!$S:$S,Genus_PerFlag!$A:$A,$B$37,Genus_PerFlag!$B:$B,T$24,Genus_PerFlag!$C:$C,$C40)</f>
        <v>0.73829246091240097</v>
      </c>
    </row>
    <row r="41" spans="2:20">
      <c r="B41" s="31"/>
      <c r="C41" s="2" t="s">
        <v>70</v>
      </c>
      <c r="D41" s="2">
        <v>7</v>
      </c>
      <c r="E41" s="11">
        <v>5.0724637681159403E-2</v>
      </c>
      <c r="F41" s="3">
        <f>SUMIFS(Genus_PerFlag!$P:$P,Genus_PerFlag!$A:$A,$B$37,Genus_PerFlag!$B:$B,F$24,Genus_PerFlag!$C:$C,$C41)</f>
        <v>9.0873256876832897E-2</v>
      </c>
      <c r="G41" s="4">
        <f>SUMIFS(Genus_PerFlag!$P:$P,Genus_PerFlag!$A:$A,$B$37,Genus_PerFlag!$B:$B,G$24,Genus_PerFlag!$C:$C,$C41)</f>
        <v>-7.2669713659328002E-3</v>
      </c>
      <c r="H41" s="4">
        <f>SUMIFS(Genus_PerFlag!$P:$P,Genus_PerFlag!$A:$A,$B$37,Genus_PerFlag!$B:$B,H$24,Genus_PerFlag!$C:$C,$C41)</f>
        <v>-8.1206965197359992E-3</v>
      </c>
      <c r="I41" s="4">
        <f>SUMIFS(Genus_PerFlag!$P:$P,Genus_PerFlag!$A:$A,$B$37,Genus_PerFlag!$B:$B,I$24,Genus_PerFlag!$C:$C,$C41)</f>
        <v>0.1074382213188757</v>
      </c>
      <c r="J41" s="4">
        <f>SUMIFS(Genus_PerFlag!$P:$P,Genus_PerFlag!$A:$A,$B$37,Genus_PerFlag!$B:$B,J$24,Genus_PerFlag!$C:$C,$C41)</f>
        <v>0.1133115677139481</v>
      </c>
      <c r="K41" s="3">
        <f>SUMIFS(Genus_PerFlag!$G:$G,Genus_PerFlag!$A:$A,$B$37,Genus_PerFlag!$B:$B,K$24,Genus_PerFlag!$C:$C,$C41)</f>
        <v>0.14391609274123679</v>
      </c>
      <c r="L41" s="4">
        <f>SUMIFS(Genus_PerFlag!$G:$G,Genus_PerFlag!$A:$A,$B$37,Genus_PerFlag!$B:$B,L$24,Genus_PerFlag!$C:$C,$C41)</f>
        <v>5.66250373030069E-2</v>
      </c>
      <c r="M41" s="4">
        <f>SUMIFS(Genus_PerFlag!$G:$G,Genus_PerFlag!$A:$A,$B$37,Genus_PerFlag!$B:$B,M$24,Genus_PerFlag!$C:$C,$C41)</f>
        <v>7.4391770574346594E-2</v>
      </c>
      <c r="N41" s="4">
        <f>SUMIFS(Genus_PerFlag!$G:$G,Genus_PerFlag!$A:$A,$B$37,Genus_PerFlag!$B:$B,N$24,Genus_PerFlag!$C:$C,$C41)</f>
        <v>9.0533781729550303E-2</v>
      </c>
      <c r="O41" s="4">
        <f>SUMIFS(Genus_PerFlag!$G:$G,Genus_PerFlag!$A:$A,$B$37,Genus_PerFlag!$B:$B,O$24,Genus_PerFlag!$C:$C,$C41)</f>
        <v>0.1508813651521474</v>
      </c>
      <c r="P41" s="3">
        <f>SUMIFS(Genus_PerFlag!$S:$S,Genus_PerFlag!$A:$A,$B$37,Genus_PerFlag!$B:$B,P$24,Genus_PerFlag!$C:$C,$C41)</f>
        <v>0.2145976949103475</v>
      </c>
      <c r="Q41" s="4">
        <f>SUMIFS(Genus_PerFlag!$S:$S,Genus_PerFlag!$A:$A,$B$37,Genus_PerFlag!$B:$B,Q$24,Genus_PerFlag!$C:$C,$C41)</f>
        <v>0.18591184806389291</v>
      </c>
      <c r="R41" s="4">
        <f>SUMIFS(Genus_PerFlag!$S:$S,Genus_PerFlag!$A:$A,$B$37,Genus_PerFlag!$B:$B,R$24,Genus_PerFlag!$C:$C,$C41)</f>
        <v>0.19348804000080269</v>
      </c>
      <c r="S41" s="4">
        <f>SUMIFS(Genus_PerFlag!$S:$S,Genus_PerFlag!$A:$A,$B$37,Genus_PerFlag!$B:$B,S$24,Genus_PerFlag!$C:$C,$C41)</f>
        <v>0.261208020136734</v>
      </c>
      <c r="T41" s="5">
        <f>SUMIFS(Genus_PerFlag!$S:$S,Genus_PerFlag!$A:$A,$B$37,Genus_PerFlag!$B:$B,T$24,Genus_PerFlag!$C:$C,$C41)</f>
        <v>0.2437281908051368</v>
      </c>
    </row>
    <row r="42" spans="2:20" ht="17.25" thickBot="1">
      <c r="B42" s="32"/>
      <c r="C42" s="21" t="s">
        <v>100</v>
      </c>
      <c r="D42" s="21"/>
      <c r="E42" s="22"/>
      <c r="F42" s="7">
        <f>AVERAGE(F37:F41)</f>
        <v>0.15606878581180092</v>
      </c>
      <c r="G42" s="8">
        <f t="shared" ref="G42:T42" si="34">AVERAGE(G37:G41)</f>
        <v>0.19745853936137697</v>
      </c>
      <c r="H42" s="8">
        <f t="shared" si="34"/>
        <v>0.16074536714732005</v>
      </c>
      <c r="I42" s="8">
        <f t="shared" si="34"/>
        <v>0.1933355657372085</v>
      </c>
      <c r="J42" s="12">
        <f t="shared" si="34"/>
        <v>0.2276705138620693</v>
      </c>
      <c r="K42" s="7">
        <f t="shared" si="34"/>
        <v>0.21827960008304256</v>
      </c>
      <c r="L42" s="8">
        <f t="shared" si="34"/>
        <v>0.21279960128881048</v>
      </c>
      <c r="M42" s="8">
        <f t="shared" si="34"/>
        <v>0.22241962103866456</v>
      </c>
      <c r="N42" s="8">
        <f t="shared" si="34"/>
        <v>0.23643994288588988</v>
      </c>
      <c r="O42" s="12">
        <f t="shared" si="34"/>
        <v>0.2435948468428478</v>
      </c>
      <c r="P42" s="7">
        <f t="shared" si="34"/>
        <v>0.32402598299907542</v>
      </c>
      <c r="Q42" s="12">
        <f t="shared" si="34"/>
        <v>0.39943471639107575</v>
      </c>
      <c r="R42" s="8">
        <f t="shared" si="34"/>
        <v>0.35100844629862793</v>
      </c>
      <c r="S42" s="8">
        <f t="shared" si="34"/>
        <v>0.34409403661465432</v>
      </c>
      <c r="T42" s="9">
        <f t="shared" si="34"/>
        <v>0.39362892697150281</v>
      </c>
    </row>
    <row r="46" spans="2:20" ht="17.25" thickBot="1">
      <c r="B46" t="s">
        <v>108</v>
      </c>
    </row>
    <row r="47" spans="2:20">
      <c r="B47" s="33" t="s">
        <v>96</v>
      </c>
      <c r="C47" s="35" t="s">
        <v>97</v>
      </c>
      <c r="D47" s="35" t="s">
        <v>111</v>
      </c>
      <c r="E47" s="35" t="s">
        <v>112</v>
      </c>
      <c r="F47" s="27" t="s">
        <v>98</v>
      </c>
      <c r="G47" s="28"/>
      <c r="H47" s="28"/>
      <c r="I47" s="28"/>
      <c r="J47" s="28"/>
      <c r="K47" s="27" t="s">
        <v>99</v>
      </c>
      <c r="L47" s="28"/>
      <c r="M47" s="28"/>
      <c r="N47" s="28"/>
      <c r="O47" s="28"/>
      <c r="P47" s="27" t="s">
        <v>107</v>
      </c>
      <c r="Q47" s="28"/>
      <c r="R47" s="28"/>
      <c r="S47" s="28"/>
      <c r="T47" s="29"/>
    </row>
    <row r="48" spans="2:20" ht="17.25" thickBot="1">
      <c r="B48" s="34"/>
      <c r="C48" s="36"/>
      <c r="D48" s="36"/>
      <c r="E48" s="36"/>
      <c r="F48" s="13" t="s">
        <v>79</v>
      </c>
      <c r="G48" s="14" t="s">
        <v>85</v>
      </c>
      <c r="H48" s="14" t="s">
        <v>86</v>
      </c>
      <c r="I48" s="14" t="s">
        <v>87</v>
      </c>
      <c r="J48" s="14" t="s">
        <v>88</v>
      </c>
      <c r="K48" s="13" t="s">
        <v>79</v>
      </c>
      <c r="L48" s="14" t="s">
        <v>85</v>
      </c>
      <c r="M48" s="14" t="s">
        <v>86</v>
      </c>
      <c r="N48" s="14" t="s">
        <v>87</v>
      </c>
      <c r="O48" s="14" t="s">
        <v>88</v>
      </c>
      <c r="P48" s="13" t="s">
        <v>79</v>
      </c>
      <c r="Q48" s="14" t="s">
        <v>85</v>
      </c>
      <c r="R48" s="14" t="s">
        <v>86</v>
      </c>
      <c r="S48" s="14" t="s">
        <v>87</v>
      </c>
      <c r="T48" s="15" t="s">
        <v>88</v>
      </c>
    </row>
    <row r="49" spans="2:20">
      <c r="B49" s="30" t="s">
        <v>65</v>
      </c>
      <c r="C49" s="16" t="s">
        <v>71</v>
      </c>
      <c r="D49" s="16">
        <v>9</v>
      </c>
      <c r="E49" s="17">
        <v>6.5217391304347797E-2</v>
      </c>
      <c r="F49" s="18">
        <v>5.7615480944813002E-2</v>
      </c>
      <c r="G49" s="19">
        <v>3.7926652335111201E-2</v>
      </c>
      <c r="H49" s="19">
        <v>4.1511953658977203E-2</v>
      </c>
      <c r="I49" s="19">
        <v>4.11589164817735E-2</v>
      </c>
      <c r="J49" s="19">
        <v>0.1092327908116477</v>
      </c>
      <c r="K49" s="18">
        <v>0.10632799799936719</v>
      </c>
      <c r="L49" s="19">
        <v>9.7759422962148304E-2</v>
      </c>
      <c r="M49" s="19">
        <v>0.1024699614711452</v>
      </c>
      <c r="N49" s="19">
        <v>0.1227899070584815</v>
      </c>
      <c r="O49" s="19">
        <v>0.11746651848616051</v>
      </c>
      <c r="P49" s="18">
        <v>0.25862068965517238</v>
      </c>
      <c r="Q49" s="19">
        <v>0.25862068965517238</v>
      </c>
      <c r="R49" s="19">
        <v>0.26851765213178352</v>
      </c>
      <c r="S49" s="19">
        <v>0.2222115947392192</v>
      </c>
      <c r="T49" s="20">
        <v>0.27722369179192641</v>
      </c>
    </row>
    <row r="50" spans="2:20">
      <c r="B50" s="31"/>
      <c r="C50" s="2" t="s">
        <v>68</v>
      </c>
      <c r="D50" s="2">
        <v>4</v>
      </c>
      <c r="E50" s="11">
        <v>2.8985507246376802E-2</v>
      </c>
      <c r="F50" s="3">
        <v>0.16502327355510929</v>
      </c>
      <c r="G50" s="4">
        <v>0.16507892942472979</v>
      </c>
      <c r="H50" s="4">
        <v>0.21032260745905129</v>
      </c>
      <c r="I50" s="4">
        <v>0.2048594308812649</v>
      </c>
      <c r="J50" s="4">
        <v>0.11842649963244629</v>
      </c>
      <c r="K50" s="3">
        <v>0.30912546109402489</v>
      </c>
      <c r="L50" s="4">
        <v>0.285276459048599</v>
      </c>
      <c r="M50" s="4">
        <v>0.2975106946930835</v>
      </c>
      <c r="N50" s="4">
        <v>0.29546039774942928</v>
      </c>
      <c r="O50" s="4">
        <v>0.27531159895460811</v>
      </c>
      <c r="P50" s="3">
        <v>0.42589095593289777</v>
      </c>
      <c r="Q50" s="4">
        <v>0.38926656397265652</v>
      </c>
      <c r="R50" s="4">
        <v>0.42355395696154291</v>
      </c>
      <c r="S50" s="4">
        <v>0.40671578667545039</v>
      </c>
      <c r="T50" s="5">
        <v>0.37723278120566922</v>
      </c>
    </row>
    <row r="51" spans="2:20">
      <c r="B51" s="31"/>
      <c r="C51" s="2" t="s">
        <v>67</v>
      </c>
      <c r="D51" s="2">
        <v>20</v>
      </c>
      <c r="E51" s="11">
        <v>0.14492753623188401</v>
      </c>
      <c r="F51" s="3">
        <v>0.1062071383947838</v>
      </c>
      <c r="G51" s="4">
        <v>6.3281052734742299E-2</v>
      </c>
      <c r="H51" s="4">
        <v>8.8389388492140702E-2</v>
      </c>
      <c r="I51" s="4">
        <v>0.18907876269353319</v>
      </c>
      <c r="J51" s="4">
        <v>0.15110531633939761</v>
      </c>
      <c r="K51" s="3">
        <v>6.2770049152978999E-2</v>
      </c>
      <c r="L51" s="4">
        <v>7.9129263742724998E-2</v>
      </c>
      <c r="M51" s="4">
        <v>7.8905245403098595E-2</v>
      </c>
      <c r="N51" s="4">
        <v>0.2413827732742064</v>
      </c>
      <c r="O51" s="4">
        <v>0.20443604758049611</v>
      </c>
      <c r="P51" s="3">
        <v>0.18270628430811489</v>
      </c>
      <c r="Q51" s="4">
        <v>0.17698967698967691</v>
      </c>
      <c r="R51" s="4">
        <v>0.17698967698967691</v>
      </c>
      <c r="S51" s="4">
        <v>0.29262188865847399</v>
      </c>
      <c r="T51" s="5">
        <v>0.23551784400294329</v>
      </c>
    </row>
    <row r="52" spans="2:20">
      <c r="B52" s="31"/>
      <c r="C52" s="2" t="s">
        <v>69</v>
      </c>
      <c r="D52" s="2">
        <v>26</v>
      </c>
      <c r="E52" s="11">
        <v>0.1884057971014492</v>
      </c>
      <c r="F52" s="3">
        <v>0.5194110224282491</v>
      </c>
      <c r="G52" s="4">
        <v>0.47368653850350462</v>
      </c>
      <c r="H52" s="4">
        <v>0.4786172162222444</v>
      </c>
      <c r="I52" s="4">
        <v>0.56848376308070914</v>
      </c>
      <c r="J52" s="4">
        <v>0.54889822136346123</v>
      </c>
      <c r="K52" s="3">
        <v>0.59791791174077291</v>
      </c>
      <c r="L52" s="4">
        <v>0.57107802321145273</v>
      </c>
      <c r="M52" s="4">
        <v>0.56936985241935323</v>
      </c>
      <c r="N52" s="4">
        <v>0.54890358888974022</v>
      </c>
      <c r="O52" s="4">
        <v>0.59006765605614675</v>
      </c>
      <c r="P52" s="3">
        <v>0.68507460882686977</v>
      </c>
      <c r="Q52" s="4">
        <v>0.68070439144080197</v>
      </c>
      <c r="R52" s="4">
        <v>0.68951272685786302</v>
      </c>
      <c r="S52" s="4">
        <v>0.75760504092322045</v>
      </c>
      <c r="T52" s="5">
        <v>0.69868783957529756</v>
      </c>
    </row>
    <row r="53" spans="2:20">
      <c r="B53" s="31"/>
      <c r="C53" s="2" t="s">
        <v>70</v>
      </c>
      <c r="D53" s="2">
        <v>7</v>
      </c>
      <c r="E53" s="11">
        <v>5.0724637681159403E-2</v>
      </c>
      <c r="F53" s="6">
        <v>4.9277698139988099E-2</v>
      </c>
      <c r="G53" s="4">
        <v>0</v>
      </c>
      <c r="H53" s="4">
        <v>1.33202873722286E-2</v>
      </c>
      <c r="I53" s="4">
        <v>0.208366845627805</v>
      </c>
      <c r="J53" s="4">
        <v>0.1226249870245965</v>
      </c>
      <c r="K53" s="3">
        <v>5.7821582910681499E-2</v>
      </c>
      <c r="L53" s="4">
        <v>5.27814878197908E-2</v>
      </c>
      <c r="M53" s="4">
        <v>5.7096423785853098E-2</v>
      </c>
      <c r="N53" s="4">
        <v>0.14743244136283509</v>
      </c>
      <c r="O53" s="4">
        <v>0.11805456635718239</v>
      </c>
      <c r="P53" s="3">
        <v>0.21691573897546851</v>
      </c>
      <c r="Q53" s="4">
        <v>0.21084337349397589</v>
      </c>
      <c r="R53" s="4">
        <v>0.21084337349397589</v>
      </c>
      <c r="S53" s="4">
        <v>0.35505463761257677</v>
      </c>
      <c r="T53" s="5">
        <v>0.27793144336080261</v>
      </c>
    </row>
    <row r="54" spans="2:20" ht="17.25" thickBot="1">
      <c r="B54" s="32"/>
      <c r="C54" s="21" t="s">
        <v>100</v>
      </c>
      <c r="D54" s="21"/>
      <c r="E54" s="22"/>
      <c r="F54" s="24">
        <v>0.17950692269258867</v>
      </c>
      <c r="G54" s="8">
        <v>0.14799463459961756</v>
      </c>
      <c r="H54" s="8">
        <v>0.16643229064092843</v>
      </c>
      <c r="I54" s="12">
        <v>0.24238954375301711</v>
      </c>
      <c r="J54" s="8">
        <v>0.21005756303430986</v>
      </c>
      <c r="K54" s="24">
        <v>0.22679260057956507</v>
      </c>
      <c r="L54" s="25">
        <v>0.21720493135694316</v>
      </c>
      <c r="M54" s="25">
        <v>0.22107043555450673</v>
      </c>
      <c r="N54" s="26">
        <v>0.27119382166693851</v>
      </c>
      <c r="O54" s="25">
        <v>0.26106727748691877</v>
      </c>
      <c r="P54" s="7">
        <v>0.3538416555397047</v>
      </c>
      <c r="Q54" s="8">
        <v>0.34328493911045677</v>
      </c>
      <c r="R54" s="8">
        <v>0.35388347728696845</v>
      </c>
      <c r="S54" s="12">
        <v>0.40684178972178814</v>
      </c>
      <c r="T54" s="9">
        <v>0.37331871998732785</v>
      </c>
    </row>
    <row r="55" spans="2:20">
      <c r="B55" s="30" t="s">
        <v>77</v>
      </c>
      <c r="C55" s="16" t="s">
        <v>71</v>
      </c>
      <c r="D55" s="16">
        <v>9</v>
      </c>
      <c r="E55" s="17">
        <v>6.5217391304347797E-2</v>
      </c>
      <c r="F55" s="18">
        <v>7.5404555751059393E-2</v>
      </c>
      <c r="G55" s="19">
        <v>0.14698681456411949</v>
      </c>
      <c r="H55" s="19">
        <v>0.24853563166298351</v>
      </c>
      <c r="I55" s="19">
        <v>0.20785484111053229</v>
      </c>
      <c r="J55" s="19">
        <v>0.13959211618048811</v>
      </c>
      <c r="K55" s="18">
        <v>0.1031835143394912</v>
      </c>
      <c r="L55" s="19">
        <v>0.26336867651855422</v>
      </c>
      <c r="M55" s="19">
        <v>0.29836433274089158</v>
      </c>
      <c r="N55" s="19">
        <v>0.28419268572513201</v>
      </c>
      <c r="O55" s="19">
        <v>0.14883597883597879</v>
      </c>
      <c r="P55" s="18">
        <v>0.22979216783128531</v>
      </c>
      <c r="Q55" s="19">
        <v>0.30430153252523578</v>
      </c>
      <c r="R55" s="19">
        <v>0.28338649654439119</v>
      </c>
      <c r="S55" s="19">
        <v>0.27012751249728501</v>
      </c>
      <c r="T55" s="20">
        <v>0.2643247901029116</v>
      </c>
    </row>
    <row r="56" spans="2:20">
      <c r="B56" s="31"/>
      <c r="C56" s="2" t="s">
        <v>68</v>
      </c>
      <c r="D56" s="2">
        <v>4</v>
      </c>
      <c r="E56" s="11">
        <v>2.8985507246376802E-2</v>
      </c>
      <c r="F56" s="3">
        <v>0.39098098625842109</v>
      </c>
      <c r="G56" s="4">
        <v>0.29711259749980712</v>
      </c>
      <c r="H56" s="4">
        <v>0.31271476821187161</v>
      </c>
      <c r="I56" s="4">
        <v>0.28811510672251578</v>
      </c>
      <c r="J56" s="4">
        <v>0.29764347694117049</v>
      </c>
      <c r="K56" s="3">
        <v>0.52102531599926294</v>
      </c>
      <c r="L56" s="4">
        <v>0.36604016742167078</v>
      </c>
      <c r="M56" s="4">
        <v>0.37704281905991949</v>
      </c>
      <c r="N56" s="4">
        <v>0.41313066952130478</v>
      </c>
      <c r="O56" s="4">
        <v>0.35625692072961668</v>
      </c>
      <c r="P56" s="3">
        <v>0.45972537842356148</v>
      </c>
      <c r="Q56" s="4">
        <v>0.52888999567880945</v>
      </c>
      <c r="R56" s="4">
        <v>0.50575727715231467</v>
      </c>
      <c r="S56" s="4">
        <v>0.52202302334026751</v>
      </c>
      <c r="T56" s="5">
        <v>0.54487281801474841</v>
      </c>
    </row>
    <row r="57" spans="2:20">
      <c r="B57" s="31"/>
      <c r="C57" s="2" t="s">
        <v>67</v>
      </c>
      <c r="D57" s="2">
        <v>20</v>
      </c>
      <c r="E57" s="11">
        <v>0.14492753623188401</v>
      </c>
      <c r="F57" s="3">
        <v>0.1924204332390321</v>
      </c>
      <c r="G57" s="4">
        <v>0.16146928839823069</v>
      </c>
      <c r="H57" s="4">
        <v>0.56878149039763726</v>
      </c>
      <c r="I57" s="4">
        <v>0.18864022936970259</v>
      </c>
      <c r="J57" s="4">
        <v>0.23061452978378821</v>
      </c>
      <c r="K57" s="3">
        <v>0.26896825396825391</v>
      </c>
      <c r="L57" s="4">
        <v>0.22260585819409351</v>
      </c>
      <c r="M57" s="4">
        <v>0.47601162454103618</v>
      </c>
      <c r="N57" s="4">
        <v>0.32505339962229068</v>
      </c>
      <c r="O57" s="4">
        <v>0.31477276309942581</v>
      </c>
      <c r="P57" s="3">
        <v>0.28596218596218598</v>
      </c>
      <c r="Q57" s="4">
        <v>0.25680583724813788</v>
      </c>
      <c r="R57" s="4">
        <v>0.58909774436090223</v>
      </c>
      <c r="S57" s="4">
        <v>0.21379118815430331</v>
      </c>
      <c r="T57" s="5">
        <v>0.241669849758085</v>
      </c>
    </row>
    <row r="58" spans="2:20">
      <c r="B58" s="31"/>
      <c r="C58" s="2" t="s">
        <v>69</v>
      </c>
      <c r="D58" s="2">
        <v>26</v>
      </c>
      <c r="E58" s="11">
        <v>0.1884057971014492</v>
      </c>
      <c r="F58" s="3">
        <v>0.64964940099912138</v>
      </c>
      <c r="G58" s="4">
        <v>0.69051723059164127</v>
      </c>
      <c r="H58" s="4">
        <v>0.6765276007086618</v>
      </c>
      <c r="I58" s="4">
        <v>0.68344735823235647</v>
      </c>
      <c r="J58" s="4">
        <v>0.63886487561579985</v>
      </c>
      <c r="K58" s="3">
        <v>0.62860734970024701</v>
      </c>
      <c r="L58" s="4">
        <v>0.71673360065913339</v>
      </c>
      <c r="M58" s="4">
        <v>0.68593956182737859</v>
      </c>
      <c r="N58" s="4">
        <v>0.64021579737465661</v>
      </c>
      <c r="O58" s="4">
        <v>0.60239951820242155</v>
      </c>
      <c r="P58" s="3">
        <v>0.82776917663617167</v>
      </c>
      <c r="Q58" s="4">
        <v>0.84706073659191272</v>
      </c>
      <c r="R58" s="4">
        <v>0.84546762589928071</v>
      </c>
      <c r="S58" s="4">
        <v>0.85269482980892375</v>
      </c>
      <c r="T58" s="5">
        <v>0.79363918658341381</v>
      </c>
    </row>
    <row r="59" spans="2:20">
      <c r="B59" s="31"/>
      <c r="C59" s="2" t="s">
        <v>70</v>
      </c>
      <c r="D59" s="2">
        <v>7</v>
      </c>
      <c r="E59" s="11">
        <v>5.0724637681159403E-2</v>
      </c>
      <c r="F59" s="6">
        <v>6.4920690790945201E-2</v>
      </c>
      <c r="G59" s="4">
        <v>0.19159217175122101</v>
      </c>
      <c r="H59" s="4">
        <v>0.25214974449585031</v>
      </c>
      <c r="I59" s="4">
        <v>0.31749024378478219</v>
      </c>
      <c r="J59" s="4">
        <v>0.39139016330857429</v>
      </c>
      <c r="K59" s="3">
        <v>0.10649359405905259</v>
      </c>
      <c r="L59" s="4">
        <v>0.27851698690820897</v>
      </c>
      <c r="M59" s="4">
        <v>0.30891156462585029</v>
      </c>
      <c r="N59" s="4">
        <v>0.32108843537414961</v>
      </c>
      <c r="O59" s="4">
        <v>0.3548295623780035</v>
      </c>
      <c r="P59" s="3">
        <v>0.20833333333333329</v>
      </c>
      <c r="Q59" s="4">
        <v>0.30514534833924312</v>
      </c>
      <c r="R59" s="4">
        <v>0.3408850026497085</v>
      </c>
      <c r="S59" s="4">
        <v>0.3819494628318158</v>
      </c>
      <c r="T59" s="5">
        <v>0.47449802770915811</v>
      </c>
    </row>
    <row r="60" spans="2:20" ht="17.25" thickBot="1">
      <c r="B60" s="32"/>
      <c r="C60" s="21" t="s">
        <v>100</v>
      </c>
      <c r="D60" s="21"/>
      <c r="E60" s="22"/>
      <c r="F60" s="24">
        <v>0.27467521340771583</v>
      </c>
      <c r="G60" s="8">
        <v>0.29753562056100391</v>
      </c>
      <c r="H60" s="12">
        <v>0.4117418470954009</v>
      </c>
      <c r="I60" s="8">
        <v>0.33710955584397789</v>
      </c>
      <c r="J60" s="8">
        <v>0.33962103236596419</v>
      </c>
      <c r="K60" s="24">
        <v>0.32565560561326157</v>
      </c>
      <c r="L60" s="25">
        <v>0.36945305794033217</v>
      </c>
      <c r="M60" s="26">
        <v>0.42925398055901526</v>
      </c>
      <c r="N60" s="25">
        <v>0.39673619752350675</v>
      </c>
      <c r="O60" s="25">
        <v>0.35541894864908924</v>
      </c>
      <c r="P60" s="7">
        <v>0.40231644843730752</v>
      </c>
      <c r="Q60" s="8">
        <v>0.44844069007666781</v>
      </c>
      <c r="R60" s="12">
        <v>0.51291882932131938</v>
      </c>
      <c r="S60" s="8">
        <v>0.44811720332651905</v>
      </c>
      <c r="T60" s="9">
        <v>0.46380093443366333</v>
      </c>
    </row>
    <row r="61" spans="2:20">
      <c r="B61" s="30" t="s">
        <v>78</v>
      </c>
      <c r="C61" s="16" t="s">
        <v>71</v>
      </c>
      <c r="D61" s="16">
        <v>9</v>
      </c>
      <c r="E61" s="17">
        <v>6.5217391304347797E-2</v>
      </c>
      <c r="F61" s="18">
        <v>2.2191029987467699E-2</v>
      </c>
      <c r="G61" s="19">
        <v>0.16747736878780561</v>
      </c>
      <c r="H61" s="19">
        <v>0.20816679944749111</v>
      </c>
      <c r="I61" s="19">
        <v>0.16938385303372519</v>
      </c>
      <c r="J61" s="19">
        <v>0.16055595410595641</v>
      </c>
      <c r="K61" s="18">
        <v>9.0168820644619896E-2</v>
      </c>
      <c r="L61" s="19">
        <v>0.22388642099032249</v>
      </c>
      <c r="M61" s="19">
        <v>0.28386696660446481</v>
      </c>
      <c r="N61" s="19">
        <v>0.2903137891903988</v>
      </c>
      <c r="O61" s="19">
        <v>0.138694649419287</v>
      </c>
      <c r="P61" s="18">
        <v>0.2485064935323878</v>
      </c>
      <c r="Q61" s="19">
        <v>0.2612902003145906</v>
      </c>
      <c r="R61" s="19">
        <v>0.30246954911251051</v>
      </c>
      <c r="S61" s="19">
        <v>0.289105222081189</v>
      </c>
      <c r="T61" s="20">
        <v>0.29618275808936728</v>
      </c>
    </row>
    <row r="62" spans="2:20">
      <c r="B62" s="31"/>
      <c r="C62" s="2" t="s">
        <v>68</v>
      </c>
      <c r="D62" s="2">
        <v>4</v>
      </c>
      <c r="E62" s="11">
        <v>2.8985507246376802E-2</v>
      </c>
      <c r="F62" s="3">
        <v>0.37489881673411651</v>
      </c>
      <c r="G62" s="4">
        <v>0.27886555919052147</v>
      </c>
      <c r="H62" s="4">
        <v>0.26534498448963351</v>
      </c>
      <c r="I62" s="4">
        <v>0.26365068206527531</v>
      </c>
      <c r="J62" s="4">
        <v>0.28609019234953281</v>
      </c>
      <c r="K62" s="3">
        <v>0.44558000126951458</v>
      </c>
      <c r="L62" s="4">
        <v>0.35646520123907888</v>
      </c>
      <c r="M62" s="4">
        <v>0.35598056094506458</v>
      </c>
      <c r="N62" s="4">
        <v>0.3661273080317069</v>
      </c>
      <c r="O62" s="4">
        <v>0.34209611358665298</v>
      </c>
      <c r="P62" s="3">
        <v>0.51875783131231035</v>
      </c>
      <c r="Q62" s="4">
        <v>0.45678135564201039</v>
      </c>
      <c r="R62" s="4">
        <v>0.4835605069277385</v>
      </c>
      <c r="S62" s="4">
        <v>0.46451304656686032</v>
      </c>
      <c r="T62" s="5">
        <v>0.49112345987345979</v>
      </c>
    </row>
    <row r="63" spans="2:20">
      <c r="B63" s="31"/>
      <c r="C63" s="2" t="s">
        <v>67</v>
      </c>
      <c r="D63" s="2">
        <v>20</v>
      </c>
      <c r="E63" s="11">
        <v>0.14492753623188401</v>
      </c>
      <c r="F63" s="3">
        <v>0.2567043933539308</v>
      </c>
      <c r="G63" s="4">
        <v>0.1441311687290513</v>
      </c>
      <c r="H63" s="4">
        <v>0.59983910377182004</v>
      </c>
      <c r="I63" s="4">
        <v>0.23352612172222539</v>
      </c>
      <c r="J63" s="4">
        <v>0.15956732284347261</v>
      </c>
      <c r="K63" s="3">
        <v>0.1455278149873509</v>
      </c>
      <c r="L63" s="4">
        <v>0.1237333796974129</v>
      </c>
      <c r="M63" s="4">
        <v>0.53659149370519876</v>
      </c>
      <c r="N63" s="4">
        <v>0.32220542968429322</v>
      </c>
      <c r="O63" s="4">
        <v>0.25000162650352181</v>
      </c>
      <c r="P63" s="3">
        <v>0.34596089610269981</v>
      </c>
      <c r="Q63" s="4">
        <v>0.22995809988291191</v>
      </c>
      <c r="R63" s="4">
        <v>0.6292013818329607</v>
      </c>
      <c r="S63" s="4">
        <v>0.23388541198367141</v>
      </c>
      <c r="T63" s="5">
        <v>0.2229615657973866</v>
      </c>
    </row>
    <row r="64" spans="2:20">
      <c r="B64" s="31"/>
      <c r="C64" s="2" t="s">
        <v>69</v>
      </c>
      <c r="D64" s="2">
        <v>26</v>
      </c>
      <c r="E64" s="11">
        <v>0.1884057971014492</v>
      </c>
      <c r="F64" s="3">
        <v>0.65994752501984588</v>
      </c>
      <c r="G64" s="4">
        <v>0.69137235314708101</v>
      </c>
      <c r="H64" s="4">
        <v>0.65661629974602009</v>
      </c>
      <c r="I64" s="4">
        <v>0.67412457824280136</v>
      </c>
      <c r="J64" s="4">
        <v>0.66108280338418524</v>
      </c>
      <c r="K64" s="3">
        <v>0.59320485638121112</v>
      </c>
      <c r="L64" s="4">
        <v>0.71171151379063791</v>
      </c>
      <c r="M64" s="4">
        <v>0.66537656724938388</v>
      </c>
      <c r="N64" s="4">
        <v>0.62316349793271075</v>
      </c>
      <c r="O64" s="4">
        <v>0.58220398756772984</v>
      </c>
      <c r="P64" s="3">
        <v>0.82981745842702936</v>
      </c>
      <c r="Q64" s="4">
        <v>0.85690040780355758</v>
      </c>
      <c r="R64" s="4">
        <v>0.83427394097384155</v>
      </c>
      <c r="S64" s="4">
        <v>0.83488523488523492</v>
      </c>
      <c r="T64" s="5">
        <v>0.81853762775156391</v>
      </c>
    </row>
    <row r="65" spans="2:20">
      <c r="B65" s="31"/>
      <c r="C65" s="2" t="s">
        <v>70</v>
      </c>
      <c r="D65" s="2">
        <v>7</v>
      </c>
      <c r="E65" s="11">
        <v>5.0724637681159403E-2</v>
      </c>
      <c r="F65" s="6">
        <v>2.1899548620463199E-2</v>
      </c>
      <c r="G65" s="4">
        <v>0.1424025927312777</v>
      </c>
      <c r="H65" s="4">
        <v>0.22546033742593949</v>
      </c>
      <c r="I65" s="4">
        <v>0.33997902648443928</v>
      </c>
      <c r="J65" s="4">
        <v>0.431706481248748</v>
      </c>
      <c r="K65" s="3">
        <v>5.9432851256180801E-2</v>
      </c>
      <c r="L65" s="4">
        <v>0.27492794720799518</v>
      </c>
      <c r="M65" s="4">
        <v>0.3109653180799582</v>
      </c>
      <c r="N65" s="4">
        <v>0.39878437563383168</v>
      </c>
      <c r="O65" s="4">
        <v>0.41246008383159438</v>
      </c>
      <c r="P65" s="3">
        <v>0.2009503856346421</v>
      </c>
      <c r="Q65" s="4">
        <v>0.2845092449922958</v>
      </c>
      <c r="R65" s="4">
        <v>0.31472950626033541</v>
      </c>
      <c r="S65" s="4">
        <v>0.39050922303934349</v>
      </c>
      <c r="T65" s="5">
        <v>0.50760001513013564</v>
      </c>
    </row>
    <row r="66" spans="2:20" ht="17.25" thickBot="1">
      <c r="B66" s="32"/>
      <c r="C66" s="21" t="s">
        <v>100</v>
      </c>
      <c r="D66" s="21"/>
      <c r="E66" s="22"/>
      <c r="F66" s="24">
        <v>0.26712826274316481</v>
      </c>
      <c r="G66" s="8">
        <v>0.28484980851714742</v>
      </c>
      <c r="H66" s="12">
        <v>0.39108550497618083</v>
      </c>
      <c r="I66" s="8">
        <v>0.33613285230969331</v>
      </c>
      <c r="J66" s="8">
        <v>0.33980055078637905</v>
      </c>
      <c r="K66" s="24">
        <v>0.26678286890777547</v>
      </c>
      <c r="L66" s="25">
        <v>0.33814489258508945</v>
      </c>
      <c r="M66" s="26">
        <v>0.43055618131681406</v>
      </c>
      <c r="N66" s="25">
        <v>0.40011888009458829</v>
      </c>
      <c r="O66" s="25">
        <v>0.34509129218175721</v>
      </c>
      <c r="P66" s="7">
        <v>0.42879861300181393</v>
      </c>
      <c r="Q66" s="8">
        <v>0.41788786172707326</v>
      </c>
      <c r="R66" s="12">
        <v>0.5128469770214773</v>
      </c>
      <c r="S66" s="8">
        <v>0.44257962771125986</v>
      </c>
      <c r="T66" s="9">
        <v>0.46728108532838258</v>
      </c>
    </row>
    <row r="67" spans="2:20" ht="17.25" thickBot="1">
      <c r="B67" t="s">
        <v>110</v>
      </c>
      <c r="E67" s="10"/>
    </row>
    <row r="68" spans="2:20">
      <c r="B68" s="33" t="s">
        <v>96</v>
      </c>
      <c r="C68" s="35" t="s">
        <v>97</v>
      </c>
      <c r="D68" s="35" t="s">
        <v>111</v>
      </c>
      <c r="E68" s="37" t="s">
        <v>112</v>
      </c>
      <c r="F68" s="27" t="s">
        <v>98</v>
      </c>
      <c r="G68" s="28"/>
      <c r="H68" s="28"/>
      <c r="I68" s="28"/>
      <c r="J68" s="28"/>
      <c r="K68" s="27" t="s">
        <v>99</v>
      </c>
      <c r="L68" s="28"/>
      <c r="M68" s="28"/>
      <c r="N68" s="28"/>
      <c r="O68" s="28"/>
      <c r="P68" s="27" t="s">
        <v>107</v>
      </c>
      <c r="Q68" s="28"/>
      <c r="R68" s="28"/>
      <c r="S68" s="28"/>
      <c r="T68" s="29"/>
    </row>
    <row r="69" spans="2:20" ht="17.25" thickBot="1">
      <c r="B69" s="34"/>
      <c r="C69" s="36"/>
      <c r="D69" s="36"/>
      <c r="E69" s="38"/>
      <c r="F69" s="13" t="s">
        <v>72</v>
      </c>
      <c r="G69" s="14" t="s">
        <v>73</v>
      </c>
      <c r="H69" s="14" t="s">
        <v>76</v>
      </c>
      <c r="I69" s="14" t="s">
        <v>101</v>
      </c>
      <c r="J69" s="14" t="s">
        <v>74</v>
      </c>
      <c r="K69" s="13" t="s">
        <v>72</v>
      </c>
      <c r="L69" s="14" t="s">
        <v>73</v>
      </c>
      <c r="M69" s="14" t="s">
        <v>76</v>
      </c>
      <c r="N69" s="14" t="s">
        <v>101</v>
      </c>
      <c r="O69" s="14" t="s">
        <v>74</v>
      </c>
      <c r="P69" s="13" t="s">
        <v>102</v>
      </c>
      <c r="Q69" s="14" t="s">
        <v>103</v>
      </c>
      <c r="R69" s="14" t="s">
        <v>104</v>
      </c>
      <c r="S69" s="14" t="s">
        <v>105</v>
      </c>
      <c r="T69" s="15" t="s">
        <v>106</v>
      </c>
    </row>
    <row r="70" spans="2:20">
      <c r="B70" s="30" t="s">
        <v>65</v>
      </c>
      <c r="C70" s="16" t="s">
        <v>71</v>
      </c>
      <c r="D70" s="16">
        <v>9</v>
      </c>
      <c r="E70" s="17">
        <v>6.5217391304347797E-2</v>
      </c>
      <c r="F70" s="18">
        <v>-8.3852987795748193E-2</v>
      </c>
      <c r="G70" s="19">
        <v>-3.9655772459538802E-2</v>
      </c>
      <c r="H70" s="19">
        <v>-0.12379170199035849</v>
      </c>
      <c r="I70" s="19">
        <v>-9.5844918359834302E-2</v>
      </c>
      <c r="J70" s="19">
        <v>-5.4911708282958598E-2</v>
      </c>
      <c r="K70" s="18">
        <v>5.5015568467247603E-2</v>
      </c>
      <c r="L70" s="19">
        <v>6.9544204250746103E-2</v>
      </c>
      <c r="M70" s="19">
        <v>6.22072168719583E-2</v>
      </c>
      <c r="N70" s="19">
        <v>6.3563971111282203E-2</v>
      </c>
      <c r="O70" s="19">
        <v>6.4614388549277701E-2</v>
      </c>
      <c r="P70" s="18">
        <v>0.1081021394064872</v>
      </c>
      <c r="Q70" s="19">
        <v>0.16631873642993719</v>
      </c>
      <c r="R70" s="19">
        <v>0.17442675725443291</v>
      </c>
      <c r="S70" s="19">
        <v>0.20641437288842671</v>
      </c>
      <c r="T70" s="20">
        <v>0.18521888961534269</v>
      </c>
    </row>
    <row r="71" spans="2:20">
      <c r="B71" s="31"/>
      <c r="C71" s="2" t="s">
        <v>68</v>
      </c>
      <c r="D71" s="2">
        <v>4</v>
      </c>
      <c r="E71" s="11">
        <v>2.8985507246376802E-2</v>
      </c>
      <c r="F71" s="3">
        <v>0.11111674098375431</v>
      </c>
      <c r="G71" s="4">
        <v>0.2801109093597402</v>
      </c>
      <c r="H71" s="4">
        <v>0.1211747551495588</v>
      </c>
      <c r="I71" s="4">
        <v>0.23753224728440289</v>
      </c>
      <c r="J71" s="4">
        <v>0.18136987315352859</v>
      </c>
      <c r="K71" s="3">
        <v>0.19914532238299121</v>
      </c>
      <c r="L71" s="4">
        <v>0.2631070154982908</v>
      </c>
      <c r="M71" s="4">
        <v>0.28623425548942938</v>
      </c>
      <c r="N71" s="4">
        <v>0.25044447851773322</v>
      </c>
      <c r="O71" s="4">
        <v>0.27296873429944829</v>
      </c>
      <c r="P71" s="3">
        <v>0.33115726865726869</v>
      </c>
      <c r="Q71" s="4">
        <v>0.52966107078039926</v>
      </c>
      <c r="R71" s="4">
        <v>0.30074418753482041</v>
      </c>
      <c r="S71" s="4">
        <v>0.50343034730632974</v>
      </c>
      <c r="T71" s="5">
        <v>0.38774508173087591</v>
      </c>
    </row>
    <row r="72" spans="2:20">
      <c r="B72" s="31"/>
      <c r="C72" s="2" t="s">
        <v>67</v>
      </c>
      <c r="D72" s="2">
        <v>20</v>
      </c>
      <c r="E72" s="11">
        <v>0.14492753623188401</v>
      </c>
      <c r="F72" s="3">
        <v>-1.8766488842823999E-2</v>
      </c>
      <c r="G72" s="4">
        <v>0.16238319856239999</v>
      </c>
      <c r="H72" s="4">
        <v>0.17571796789595651</v>
      </c>
      <c r="I72" s="4">
        <v>4.4334687831896702E-2</v>
      </c>
      <c r="J72" s="4">
        <v>1.3256814195517001E-2</v>
      </c>
      <c r="K72" s="3">
        <v>2.90696997151139E-2</v>
      </c>
      <c r="L72" s="4">
        <v>9.0836131849794902E-2</v>
      </c>
      <c r="M72" s="4">
        <v>0.12044458584699309</v>
      </c>
      <c r="N72" s="4">
        <v>4.0822184452775301E-2</v>
      </c>
      <c r="O72" s="4">
        <v>4.5762480922892403E-2</v>
      </c>
      <c r="P72" s="3">
        <v>8.8391462938564397E-2</v>
      </c>
      <c r="Q72" s="4">
        <v>0.23627993565007621</v>
      </c>
      <c r="R72" s="4">
        <v>0.27719890532756519</v>
      </c>
      <c r="S72" s="4">
        <v>0.14102440145381859</v>
      </c>
      <c r="T72" s="5">
        <v>0.1337117159735966</v>
      </c>
    </row>
    <row r="73" spans="2:20">
      <c r="B73" s="31"/>
      <c r="C73" s="2" t="s">
        <v>69</v>
      </c>
      <c r="D73" s="2">
        <v>26</v>
      </c>
      <c r="E73" s="11">
        <v>0.1884057971014492</v>
      </c>
      <c r="F73" s="3">
        <v>7.4796835489211802E-2</v>
      </c>
      <c r="G73" s="4">
        <v>0.4659537573381845</v>
      </c>
      <c r="H73" s="4">
        <v>0.52179345594165283</v>
      </c>
      <c r="I73" s="4">
        <v>0.43208599057753527</v>
      </c>
      <c r="J73" s="4">
        <v>0.52448655358757201</v>
      </c>
      <c r="K73" s="3">
        <v>0.24415474984635721</v>
      </c>
      <c r="L73" s="4">
        <v>0.55629374204460691</v>
      </c>
      <c r="M73" s="4">
        <v>0.52780354168787635</v>
      </c>
      <c r="N73" s="4">
        <v>0.49049483207843181</v>
      </c>
      <c r="O73" s="4">
        <v>0.47012211411131649</v>
      </c>
      <c r="P73" s="3">
        <v>0.32400065434579461</v>
      </c>
      <c r="Q73" s="4">
        <v>0.69562617659575532</v>
      </c>
      <c r="R73" s="4">
        <v>0.68585333483939048</v>
      </c>
      <c r="S73" s="4">
        <v>0.62412155818945581</v>
      </c>
      <c r="T73" s="5">
        <v>0.69549218901562082</v>
      </c>
    </row>
    <row r="74" spans="2:20">
      <c r="B74" s="31"/>
      <c r="C74" s="2" t="s">
        <v>70</v>
      </c>
      <c r="D74" s="2">
        <v>7</v>
      </c>
      <c r="E74" s="11">
        <v>5.0724637681159403E-2</v>
      </c>
      <c r="F74" s="3">
        <v>-6.8404396589550004E-4</v>
      </c>
      <c r="G74" s="4">
        <v>0.1041319938677811</v>
      </c>
      <c r="H74" s="4">
        <v>-5.6884991025723801E-2</v>
      </c>
      <c r="I74" s="4">
        <v>2.5078508757434701E-2</v>
      </c>
      <c r="J74" s="4">
        <v>8.5561525041949693E-2</v>
      </c>
      <c r="K74" s="3">
        <v>4.9622287884700501E-2</v>
      </c>
      <c r="L74" s="4">
        <v>0.1067799924887014</v>
      </c>
      <c r="M74" s="4">
        <v>4.9935633783090599E-2</v>
      </c>
      <c r="N74" s="4">
        <v>6.1434211334869301E-2</v>
      </c>
      <c r="O74" s="4">
        <v>7.4627139558084005E-2</v>
      </c>
      <c r="P74" s="3">
        <v>0.19685479753770241</v>
      </c>
      <c r="Q74" s="4">
        <v>0.2574079611469548</v>
      </c>
      <c r="R74" s="4">
        <v>0.16096673290661589</v>
      </c>
      <c r="S74" s="4">
        <v>0.2093384956873981</v>
      </c>
      <c r="T74" s="5">
        <v>0.22748991591530149</v>
      </c>
    </row>
    <row r="75" spans="2:20" ht="17.25" thickBot="1">
      <c r="B75" s="32"/>
      <c r="C75" s="21" t="s">
        <v>100</v>
      </c>
      <c r="D75" s="21"/>
      <c r="E75" s="22"/>
      <c r="F75" s="7">
        <v>1.6522011173699683E-2</v>
      </c>
      <c r="G75" s="12">
        <v>0.19458481733371341</v>
      </c>
      <c r="H75" s="8">
        <v>0.12760189719421716</v>
      </c>
      <c r="I75" s="8">
        <v>0.12863730321828706</v>
      </c>
      <c r="J75" s="8">
        <v>0.14995261153912173</v>
      </c>
      <c r="K75" s="7">
        <v>0.11540152565928208</v>
      </c>
      <c r="L75" s="12">
        <v>0.21731221722642804</v>
      </c>
      <c r="M75" s="8">
        <v>0.20932504673586952</v>
      </c>
      <c r="N75" s="8">
        <v>0.18135193549901835</v>
      </c>
      <c r="O75" s="8">
        <v>0.18561897148820378</v>
      </c>
      <c r="P75" s="7">
        <v>0.20970126457716348</v>
      </c>
      <c r="Q75" s="12">
        <v>0.37705877612062461</v>
      </c>
      <c r="R75" s="8">
        <v>0.31983798357256499</v>
      </c>
      <c r="S75" s="8">
        <v>0.33686583510508578</v>
      </c>
      <c r="T75" s="9">
        <v>0.32593155845014754</v>
      </c>
    </row>
    <row r="76" spans="2:20">
      <c r="B76" s="30" t="s">
        <v>77</v>
      </c>
      <c r="C76" s="16" t="s">
        <v>71</v>
      </c>
      <c r="D76" s="16">
        <v>9</v>
      </c>
      <c r="E76" s="17">
        <v>6.5217391304347797E-2</v>
      </c>
      <c r="F76" s="18">
        <v>-3.8786086173473303E-2</v>
      </c>
      <c r="G76" s="19">
        <v>2.00371169107952E-2</v>
      </c>
      <c r="H76" s="19">
        <v>-6.3952306484319196E-2</v>
      </c>
      <c r="I76" s="19">
        <v>5.9160097433322102E-2</v>
      </c>
      <c r="J76" s="19">
        <v>5.4929963703076103E-2</v>
      </c>
      <c r="K76" s="18">
        <v>6.7531353395584498E-2</v>
      </c>
      <c r="L76" s="19">
        <v>7.9371599382373897E-2</v>
      </c>
      <c r="M76" s="19">
        <v>9.6688917069026104E-2</v>
      </c>
      <c r="N76" s="19">
        <v>8.4388010054681301E-2</v>
      </c>
      <c r="O76" s="19">
        <v>0.1186329740095237</v>
      </c>
      <c r="P76" s="18">
        <v>0.10393114080164439</v>
      </c>
      <c r="Q76" s="19">
        <v>0.22108976817494649</v>
      </c>
      <c r="R76" s="19">
        <v>0.1458866927347906</v>
      </c>
      <c r="S76" s="19">
        <v>0.2353847755909611</v>
      </c>
      <c r="T76" s="20">
        <v>0.1791182501708817</v>
      </c>
    </row>
    <row r="77" spans="2:20">
      <c r="B77" s="31"/>
      <c r="C77" s="2" t="s">
        <v>68</v>
      </c>
      <c r="D77" s="2">
        <v>4</v>
      </c>
      <c r="E77" s="11">
        <v>2.8985507246376802E-2</v>
      </c>
      <c r="F77" s="3">
        <v>0.2204501566386084</v>
      </c>
      <c r="G77" s="4">
        <v>0.28248574107230762</v>
      </c>
      <c r="H77" s="4">
        <v>0.13188275331400809</v>
      </c>
      <c r="I77" s="4">
        <v>0.3190742897085771</v>
      </c>
      <c r="J77" s="4">
        <v>0.38840434597082718</v>
      </c>
      <c r="K77" s="3">
        <v>0.31113044960942993</v>
      </c>
      <c r="L77" s="4">
        <v>0.35132293610952681</v>
      </c>
      <c r="M77" s="4">
        <v>0.313559385849002</v>
      </c>
      <c r="N77" s="4">
        <v>0.45350099421758938</v>
      </c>
      <c r="O77" s="4">
        <v>0.47584101060724759</v>
      </c>
      <c r="P77" s="3">
        <v>0.42475530915254511</v>
      </c>
      <c r="Q77" s="4">
        <v>0.50416698271908533</v>
      </c>
      <c r="R77" s="4">
        <v>0.39991881456709721</v>
      </c>
      <c r="S77" s="4">
        <v>0.37919545680014199</v>
      </c>
      <c r="T77" s="5">
        <v>0.63331895857130172</v>
      </c>
    </row>
    <row r="78" spans="2:20">
      <c r="B78" s="31"/>
      <c r="C78" s="2" t="s">
        <v>67</v>
      </c>
      <c r="D78" s="2">
        <v>20</v>
      </c>
      <c r="E78" s="11">
        <v>0.14492753623188401</v>
      </c>
      <c r="F78" s="3">
        <v>9.5461362570380903E-2</v>
      </c>
      <c r="G78" s="4">
        <v>5.1701860594590997E-2</v>
      </c>
      <c r="H78" s="4">
        <v>9.1127349966206805E-2</v>
      </c>
      <c r="I78" s="4">
        <v>1.35488322756165E-2</v>
      </c>
      <c r="J78" s="4">
        <v>4.2862147667648502E-2</v>
      </c>
      <c r="K78" s="3">
        <v>4.8920377179727997E-2</v>
      </c>
      <c r="L78" s="4">
        <v>6.8876450565475006E-2</v>
      </c>
      <c r="M78" s="4">
        <v>6.3151384741685204E-2</v>
      </c>
      <c r="N78" s="4">
        <v>5.6156657779508998E-2</v>
      </c>
      <c r="O78" s="4">
        <v>6.9875653866846799E-2</v>
      </c>
      <c r="P78" s="3">
        <v>0.1727373476608956</v>
      </c>
      <c r="Q78" s="4">
        <v>0.13503094547097999</v>
      </c>
      <c r="R78" s="4">
        <v>0.1677974582677359</v>
      </c>
      <c r="S78" s="4">
        <v>0.1070655361808777</v>
      </c>
      <c r="T78" s="5">
        <v>0.1032663684532843</v>
      </c>
    </row>
    <row r="79" spans="2:20">
      <c r="B79" s="31"/>
      <c r="C79" s="2" t="s">
        <v>69</v>
      </c>
      <c r="D79" s="2">
        <v>26</v>
      </c>
      <c r="E79" s="11">
        <v>0.1884057971014492</v>
      </c>
      <c r="F79" s="3">
        <v>0.4570866815111872</v>
      </c>
      <c r="G79" s="4">
        <v>0.64317580576372624</v>
      </c>
      <c r="H79" s="4">
        <v>0.67971387359897295</v>
      </c>
      <c r="I79" s="4">
        <v>0.4951699558212404</v>
      </c>
      <c r="J79" s="4">
        <v>0.62902554472116723</v>
      </c>
      <c r="K79" s="3">
        <v>0.40498547034513149</v>
      </c>
      <c r="L79" s="4">
        <v>0.60006945199005235</v>
      </c>
      <c r="M79" s="4">
        <v>0.56183966316969802</v>
      </c>
      <c r="N79" s="4">
        <v>0.48643249681963568</v>
      </c>
      <c r="O79" s="4">
        <v>0.61876914690630636</v>
      </c>
      <c r="P79" s="3">
        <v>0.72180246934790326</v>
      </c>
      <c r="Q79" s="4">
        <v>0.80882127846895169</v>
      </c>
      <c r="R79" s="4">
        <v>0.84503603669375971</v>
      </c>
      <c r="S79" s="4">
        <v>0.70959056916967578</v>
      </c>
      <c r="T79" s="5">
        <v>0.80607233729154903</v>
      </c>
    </row>
    <row r="80" spans="2:20">
      <c r="B80" s="31"/>
      <c r="C80" s="2" t="s">
        <v>70</v>
      </c>
      <c r="D80" s="2">
        <v>7</v>
      </c>
      <c r="E80" s="11">
        <v>5.0724637681159403E-2</v>
      </c>
      <c r="F80" s="3">
        <v>9.6090909119169003E-3</v>
      </c>
      <c r="G80" s="4">
        <v>6.6668166107890003E-2</v>
      </c>
      <c r="H80" s="4">
        <v>7.4495369673478001E-2</v>
      </c>
      <c r="I80" s="4">
        <v>-1.6466880673519601E-2</v>
      </c>
      <c r="J80" s="4">
        <v>7.1717164219125704E-2</v>
      </c>
      <c r="K80" s="3">
        <v>6.9311933881791493E-2</v>
      </c>
      <c r="L80" s="4">
        <v>7.9542315874862504E-2</v>
      </c>
      <c r="M80" s="4">
        <v>8.7119875157886398E-2</v>
      </c>
      <c r="N80" s="4">
        <v>7.3498535637566406E-2</v>
      </c>
      <c r="O80" s="4">
        <v>8.8594287694729407E-2</v>
      </c>
      <c r="P80" s="3">
        <v>0.13281915435557809</v>
      </c>
      <c r="Q80" s="4">
        <v>0.21831176745636799</v>
      </c>
      <c r="R80" s="4">
        <v>0.23959387775398069</v>
      </c>
      <c r="S80" s="4">
        <v>0.16164551239401539</v>
      </c>
      <c r="T80" s="5">
        <v>0.2231909469840504</v>
      </c>
    </row>
    <row r="81" spans="2:20" ht="17.25" thickBot="1">
      <c r="B81" s="32"/>
      <c r="C81" s="21" t="s">
        <v>100</v>
      </c>
      <c r="D81" s="21"/>
      <c r="E81" s="22"/>
      <c r="F81" s="7">
        <v>0.14876424109172401</v>
      </c>
      <c r="G81" s="8">
        <v>0.21281373808986198</v>
      </c>
      <c r="H81" s="8">
        <v>0.18265340801366933</v>
      </c>
      <c r="I81" s="8">
        <v>0.17409725891304728</v>
      </c>
      <c r="J81" s="12">
        <v>0.23738783325636895</v>
      </c>
      <c r="K81" s="7">
        <v>0.18037591688233306</v>
      </c>
      <c r="L81" s="8">
        <v>0.23583655078445812</v>
      </c>
      <c r="M81" s="8">
        <v>0.22447184519745952</v>
      </c>
      <c r="N81" s="8">
        <v>0.23079533890179635</v>
      </c>
      <c r="O81" s="12">
        <v>0.27434261461693077</v>
      </c>
      <c r="P81" s="7">
        <v>0.3112090842637133</v>
      </c>
      <c r="Q81" s="8">
        <v>0.37748414845806633</v>
      </c>
      <c r="R81" s="8">
        <v>0.35964657600347283</v>
      </c>
      <c r="S81" s="8">
        <v>0.3185763700271344</v>
      </c>
      <c r="T81" s="23">
        <v>0.38899337229421349</v>
      </c>
    </row>
    <row r="82" spans="2:20">
      <c r="B82" s="30" t="s">
        <v>78</v>
      </c>
      <c r="C82" s="16" t="s">
        <v>71</v>
      </c>
      <c r="D82" s="16">
        <v>9</v>
      </c>
      <c r="E82" s="17">
        <v>6.5217391304347797E-2</v>
      </c>
      <c r="F82" s="18">
        <v>-1.37293528683901E-2</v>
      </c>
      <c r="G82" s="19">
        <v>-0.10540960290521301</v>
      </c>
      <c r="H82" s="19">
        <v>-6.2270006193574402E-2</v>
      </c>
      <c r="I82" s="19">
        <v>-7.6167816664092405E-2</v>
      </c>
      <c r="J82" s="19">
        <v>4.3814197611345897E-2</v>
      </c>
      <c r="K82" s="18">
        <v>0.106206508276523</v>
      </c>
      <c r="L82" s="19">
        <v>5.3302310692446203E-2</v>
      </c>
      <c r="M82" s="19">
        <v>6.60476299237297E-2</v>
      </c>
      <c r="N82" s="19">
        <v>6.01253221878746E-2</v>
      </c>
      <c r="O82" s="19">
        <v>8.8111977440462105E-2</v>
      </c>
      <c r="P82" s="18">
        <v>0.14440376793317969</v>
      </c>
      <c r="Q82" s="19">
        <v>0.19935844788384069</v>
      </c>
      <c r="R82" s="19">
        <v>0.207047729121004</v>
      </c>
      <c r="S82" s="19">
        <v>5.0120772946859897E-2</v>
      </c>
      <c r="T82" s="20">
        <v>0.22231585460925779</v>
      </c>
    </row>
    <row r="83" spans="2:20">
      <c r="B83" s="31"/>
      <c r="C83" s="2" t="s">
        <v>68</v>
      </c>
      <c r="D83" s="2">
        <v>4</v>
      </c>
      <c r="E83" s="11">
        <v>2.8985507246376802E-2</v>
      </c>
      <c r="F83" s="3">
        <v>0.2449390044497595</v>
      </c>
      <c r="G83" s="4">
        <v>0.31782197948522511</v>
      </c>
      <c r="H83" s="4">
        <v>0.1082002719126422</v>
      </c>
      <c r="I83" s="4">
        <v>0.37469588221812611</v>
      </c>
      <c r="J83" s="4">
        <v>0.38010350927102837</v>
      </c>
      <c r="K83" s="3">
        <v>0.27588990364014421</v>
      </c>
      <c r="L83" s="4">
        <v>0.32762517404119601</v>
      </c>
      <c r="M83" s="4">
        <v>0.29381230859312552</v>
      </c>
      <c r="N83" s="4">
        <v>0.39097380471190601</v>
      </c>
      <c r="O83" s="4">
        <v>0.36051157011691348</v>
      </c>
      <c r="P83" s="3">
        <v>0.5081655420242116</v>
      </c>
      <c r="Q83" s="4">
        <v>0.57748118796846803</v>
      </c>
      <c r="R83" s="4">
        <v>0.34600618087047919</v>
      </c>
      <c r="S83" s="4">
        <v>0.56284400260715972</v>
      </c>
      <c r="T83" s="5">
        <v>0.60832340439586807</v>
      </c>
    </row>
    <row r="84" spans="2:20">
      <c r="B84" s="31"/>
      <c r="C84" s="2" t="s">
        <v>67</v>
      </c>
      <c r="D84" s="2">
        <v>20</v>
      </c>
      <c r="E84" s="11">
        <v>0.14492753623188401</v>
      </c>
      <c r="F84" s="3">
        <v>9.4263370089226806E-2</v>
      </c>
      <c r="G84" s="4">
        <v>0.15957805213997139</v>
      </c>
      <c r="H84" s="4">
        <v>0.10440913993225839</v>
      </c>
      <c r="I84" s="4">
        <v>-1.0550946190508E-2</v>
      </c>
      <c r="J84" s="4">
        <v>6.4579444589532103E-2</v>
      </c>
      <c r="K84" s="3">
        <v>0.1332734549267339</v>
      </c>
      <c r="L84" s="4">
        <v>6.00433424523956E-2</v>
      </c>
      <c r="M84" s="4">
        <v>9.3744870867332797E-2</v>
      </c>
      <c r="N84" s="4">
        <v>5.4898440464819398E-2</v>
      </c>
      <c r="O84" s="4">
        <v>5.3488880143233601E-2</v>
      </c>
      <c r="P84" s="3">
        <v>0.16534391534391529</v>
      </c>
      <c r="Q84" s="4">
        <v>0.22257601835915089</v>
      </c>
      <c r="R84" s="4">
        <v>0.1949926900584795</v>
      </c>
      <c r="S84" s="4">
        <v>7.6128484760941695E-2</v>
      </c>
      <c r="T84" s="5">
        <v>0.15548472413485029</v>
      </c>
    </row>
    <row r="85" spans="2:20">
      <c r="B85" s="31"/>
      <c r="C85" s="2" t="s">
        <v>69</v>
      </c>
      <c r="D85" s="2">
        <v>26</v>
      </c>
      <c r="E85" s="11">
        <v>0.1884057971014492</v>
      </c>
      <c r="F85" s="3">
        <v>0.36399765051157551</v>
      </c>
      <c r="G85" s="4">
        <v>0.62256923945283416</v>
      </c>
      <c r="H85" s="4">
        <v>0.66150812660501002</v>
      </c>
      <c r="I85" s="4">
        <v>0.57126248800364121</v>
      </c>
      <c r="J85" s="4">
        <v>0.53654385012449213</v>
      </c>
      <c r="K85" s="3">
        <v>0.43211204083057497</v>
      </c>
      <c r="L85" s="4">
        <v>0.56640214195500771</v>
      </c>
      <c r="M85" s="4">
        <v>0.5841015252347882</v>
      </c>
      <c r="N85" s="4">
        <v>0.58566836533529909</v>
      </c>
      <c r="O85" s="4">
        <v>0.5649804413614824</v>
      </c>
      <c r="P85" s="3">
        <v>0.58761899478372315</v>
      </c>
      <c r="Q85" s="4">
        <v>0.81184607968002642</v>
      </c>
      <c r="R85" s="4">
        <v>0.81350759144237406</v>
      </c>
      <c r="S85" s="4">
        <v>0.77016890262157633</v>
      </c>
      <c r="T85" s="5">
        <v>0.73829246091240097</v>
      </c>
    </row>
    <row r="86" spans="2:20">
      <c r="B86" s="31"/>
      <c r="C86" s="2" t="s">
        <v>70</v>
      </c>
      <c r="D86" s="2">
        <v>7</v>
      </c>
      <c r="E86" s="11">
        <v>5.0724637681159403E-2</v>
      </c>
      <c r="F86" s="3">
        <v>9.0873256876832897E-2</v>
      </c>
      <c r="G86" s="4">
        <v>-7.2669713659328002E-3</v>
      </c>
      <c r="H86" s="4">
        <v>-8.1206965197359992E-3</v>
      </c>
      <c r="I86" s="4">
        <v>0.1074382213188757</v>
      </c>
      <c r="J86" s="4">
        <v>0.1133115677139481</v>
      </c>
      <c r="K86" s="3">
        <v>0.14391609274123679</v>
      </c>
      <c r="L86" s="4">
        <v>5.66250373030069E-2</v>
      </c>
      <c r="M86" s="4">
        <v>7.4391770574346594E-2</v>
      </c>
      <c r="N86" s="4">
        <v>9.0533781729550303E-2</v>
      </c>
      <c r="O86" s="4">
        <v>0.1508813651521474</v>
      </c>
      <c r="P86" s="3">
        <v>0.2145976949103475</v>
      </c>
      <c r="Q86" s="4">
        <v>0.18591184806389291</v>
      </c>
      <c r="R86" s="4">
        <v>0.19348804000080269</v>
      </c>
      <c r="S86" s="4">
        <v>0.261208020136734</v>
      </c>
      <c r="T86" s="5">
        <v>0.2437281908051368</v>
      </c>
    </row>
    <row r="87" spans="2:20" ht="17.25" thickBot="1">
      <c r="B87" s="32"/>
      <c r="C87" s="21" t="s">
        <v>100</v>
      </c>
      <c r="D87" s="21"/>
      <c r="E87" s="22"/>
      <c r="F87" s="7">
        <v>0.15606878581180092</v>
      </c>
      <c r="G87" s="8">
        <v>0.19745853936137697</v>
      </c>
      <c r="H87" s="8">
        <v>0.16074536714732005</v>
      </c>
      <c r="I87" s="8">
        <v>0.1933355657372085</v>
      </c>
      <c r="J87" s="12">
        <v>0.2276705138620693</v>
      </c>
      <c r="K87" s="7">
        <v>0.21827960008304256</v>
      </c>
      <c r="L87" s="8">
        <v>0.21279960128881048</v>
      </c>
      <c r="M87" s="8">
        <v>0.22241962103866456</v>
      </c>
      <c r="N87" s="8">
        <v>0.23643994288588988</v>
      </c>
      <c r="O87" s="12">
        <v>0.2435948468428478</v>
      </c>
      <c r="P87" s="7">
        <v>0.32402598299907542</v>
      </c>
      <c r="Q87" s="12">
        <v>0.39943471639107575</v>
      </c>
      <c r="R87" s="8">
        <v>0.35100844629862793</v>
      </c>
      <c r="S87" s="8">
        <v>0.34409403661465432</v>
      </c>
      <c r="T87" s="9">
        <v>0.39362892697150281</v>
      </c>
    </row>
  </sheetData>
  <mergeCells count="50">
    <mergeCell ref="AI2:AM2"/>
    <mergeCell ref="AN2:AR2"/>
    <mergeCell ref="Z4:Z9"/>
    <mergeCell ref="Z10:Z15"/>
    <mergeCell ref="Z16:Z21"/>
    <mergeCell ref="Z2:Z3"/>
    <mergeCell ref="AA2:AA3"/>
    <mergeCell ref="AB2:AB3"/>
    <mergeCell ref="AC2:AC3"/>
    <mergeCell ref="AD2:AH2"/>
    <mergeCell ref="F23:J23"/>
    <mergeCell ref="K23:O23"/>
    <mergeCell ref="P23:T23"/>
    <mergeCell ref="B25:B30"/>
    <mergeCell ref="B2:B3"/>
    <mergeCell ref="C2:C3"/>
    <mergeCell ref="F2:J2"/>
    <mergeCell ref="K2:O2"/>
    <mergeCell ref="P2:T2"/>
    <mergeCell ref="B4:B9"/>
    <mergeCell ref="B10:B15"/>
    <mergeCell ref="B16:B21"/>
    <mergeCell ref="D2:D3"/>
    <mergeCell ref="E2:E3"/>
    <mergeCell ref="D23:D24"/>
    <mergeCell ref="E23:E24"/>
    <mergeCell ref="B23:B24"/>
    <mergeCell ref="C23:C24"/>
    <mergeCell ref="D47:D48"/>
    <mergeCell ref="E47:E48"/>
    <mergeCell ref="F47:J47"/>
    <mergeCell ref="K47:O47"/>
    <mergeCell ref="B31:B36"/>
    <mergeCell ref="B37:B42"/>
    <mergeCell ref="P68:T68"/>
    <mergeCell ref="B70:B75"/>
    <mergeCell ref="B76:B81"/>
    <mergeCell ref="B82:B87"/>
    <mergeCell ref="P47:T47"/>
    <mergeCell ref="B49:B54"/>
    <mergeCell ref="B55:B60"/>
    <mergeCell ref="B61:B66"/>
    <mergeCell ref="B68:B69"/>
    <mergeCell ref="C68:C69"/>
    <mergeCell ref="D68:D69"/>
    <mergeCell ref="E68:E69"/>
    <mergeCell ref="F68:J68"/>
    <mergeCell ref="K68:O68"/>
    <mergeCell ref="B47:B48"/>
    <mergeCell ref="C47:C48"/>
  </mergeCells>
  <phoneticPr fontId="2" type="noConversion"/>
  <conditionalFormatting sqref="K4:O20">
    <cfRule type="expression" dxfId="4" priority="4">
      <formula>AND($E4&lt;&gt;"",K4&lt;$E4)</formula>
    </cfRule>
  </conditionalFormatting>
  <conditionalFormatting sqref="K25:O41">
    <cfRule type="expression" dxfId="3" priority="5">
      <formula>AND($E25&lt;&gt;"",K25&lt;$E25)</formula>
    </cfRule>
  </conditionalFormatting>
  <conditionalFormatting sqref="K49:O65">
    <cfRule type="expression" dxfId="2" priority="2">
      <formula>AND($E49&lt;&gt;"",K49&lt;$E49)</formula>
    </cfRule>
  </conditionalFormatting>
  <conditionalFormatting sqref="K70:O86">
    <cfRule type="expression" dxfId="1" priority="3">
      <formula>AND($E70&lt;&gt;"",K70&lt;$E70)</formula>
    </cfRule>
  </conditionalFormatting>
  <conditionalFormatting sqref="AI4:AM20">
    <cfRule type="expression" dxfId="0" priority="1">
      <formula>AND($E4&lt;&gt;"",AI4&lt;$E4)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1"/>
  <sheetViews>
    <sheetView workbookViewId="0">
      <pane ySplit="1" topLeftCell="A2" activePane="bottomLeft" state="frozen"/>
      <selection pane="bottomLeft" activeCell="C2" sqref="C2:E6"/>
    </sheetView>
  </sheetViews>
  <sheetFormatPr defaultRowHeight="16.5"/>
  <cols>
    <col min="1" max="1" width="10" customWidth="1"/>
    <col min="2" max="2" width="11" customWidth="1"/>
    <col min="3" max="3" width="19" customWidth="1"/>
    <col min="4" max="4" width="10" customWidth="1"/>
    <col min="5" max="5" width="20" customWidth="1"/>
    <col min="6" max="6" width="18" customWidth="1"/>
    <col min="7" max="15" width="20" customWidth="1"/>
    <col min="16" max="18" width="21" customWidth="1"/>
    <col min="19" max="28" width="20" customWidth="1"/>
    <col min="29" max="29" width="24" customWidth="1"/>
    <col min="30" max="30" width="20" customWidth="1"/>
  </cols>
  <sheetData>
    <row r="1" spans="1:30">
      <c r="A1" s="1" t="s">
        <v>24</v>
      </c>
      <c r="B1" s="1" t="s">
        <v>28</v>
      </c>
      <c r="C1" s="1" t="s">
        <v>26</v>
      </c>
      <c r="D1" s="1" t="s">
        <v>40</v>
      </c>
      <c r="E1" s="1" t="s">
        <v>41</v>
      </c>
      <c r="F1" s="1" t="s">
        <v>34</v>
      </c>
      <c r="G1" s="1" t="s">
        <v>42</v>
      </c>
      <c r="H1" s="1" t="s">
        <v>43</v>
      </c>
      <c r="I1" s="1" t="s">
        <v>44</v>
      </c>
      <c r="J1" s="1" t="s">
        <v>38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 spans="1:30">
      <c r="A2" t="s">
        <v>65</v>
      </c>
      <c r="B2" t="s">
        <v>66</v>
      </c>
      <c r="C2" t="s">
        <v>67</v>
      </c>
      <c r="D2">
        <v>4</v>
      </c>
      <c r="E2">
        <v>2.8985507246376802E-2</v>
      </c>
      <c r="F2">
        <v>5</v>
      </c>
      <c r="G2">
        <v>6.2356127289209799E-2</v>
      </c>
      <c r="H2">
        <v>2.7803274233331302E-2</v>
      </c>
      <c r="I2">
        <v>0.16212445508567269</v>
      </c>
      <c r="J2">
        <v>2.1512863914777398</v>
      </c>
      <c r="K2">
        <v>0.95921296104993303</v>
      </c>
      <c r="L2">
        <v>5.5932937004557104</v>
      </c>
      <c r="M2">
        <v>0.54626865671641789</v>
      </c>
      <c r="N2">
        <v>0.38041044776119398</v>
      </c>
      <c r="O2">
        <v>0.86324626865671639</v>
      </c>
      <c r="P2">
        <v>9.2388616452652395E-2</v>
      </c>
      <c r="Q2">
        <v>-1.1406424561941301E-2</v>
      </c>
      <c r="R2">
        <v>0.26270559136488603</v>
      </c>
      <c r="S2">
        <v>0.18370199096005541</v>
      </c>
      <c r="T2">
        <v>9.4318181818181801E-2</v>
      </c>
      <c r="U2">
        <v>0.3504273504273504</v>
      </c>
      <c r="V2">
        <v>4.7278266962998597E-2</v>
      </c>
      <c r="W2">
        <v>2.5961538461538401E-2</v>
      </c>
      <c r="X2">
        <v>9.8697238144867097E-2</v>
      </c>
      <c r="Y2">
        <v>0.8</v>
      </c>
      <c r="Z2">
        <v>0.3</v>
      </c>
      <c r="AA2">
        <v>1</v>
      </c>
      <c r="AB2">
        <v>0.33129563966258679</v>
      </c>
      <c r="AC2">
        <v>0.2734777353741415</v>
      </c>
      <c r="AD2">
        <v>0.37585087732978201</v>
      </c>
    </row>
    <row r="3" spans="1:30">
      <c r="A3" t="s">
        <v>65</v>
      </c>
      <c r="B3" t="s">
        <v>66</v>
      </c>
      <c r="C3" t="s">
        <v>68</v>
      </c>
      <c r="D3">
        <v>20</v>
      </c>
      <c r="E3">
        <v>0.14492753623188401</v>
      </c>
      <c r="F3">
        <v>5</v>
      </c>
      <c r="G3">
        <v>0.35889730672648318</v>
      </c>
      <c r="H3">
        <v>0.26348980727674398</v>
      </c>
      <c r="I3">
        <v>0.42351673217049268</v>
      </c>
      <c r="J3">
        <v>2.4763914164127341</v>
      </c>
      <c r="K3">
        <v>1.8180796702095341</v>
      </c>
      <c r="L3">
        <v>2.9222654519764002</v>
      </c>
      <c r="M3">
        <v>0.7435593220338983</v>
      </c>
      <c r="N3">
        <v>0.70792372881355936</v>
      </c>
      <c r="O3">
        <v>0.77177966101694917</v>
      </c>
      <c r="P3">
        <v>0.22850963054304729</v>
      </c>
      <c r="Q3">
        <v>0.2046455425452634</v>
      </c>
      <c r="R3">
        <v>0.27620688497089568</v>
      </c>
      <c r="S3">
        <v>0.41113700029710942</v>
      </c>
      <c r="T3">
        <v>0.23002496878901371</v>
      </c>
      <c r="U3">
        <v>0.52405149051490518</v>
      </c>
      <c r="V3">
        <v>0.31560461340221069</v>
      </c>
      <c r="W3">
        <v>0.2028745644599303</v>
      </c>
      <c r="X3">
        <v>0.49444444444444441</v>
      </c>
      <c r="Y3">
        <v>0.58000000000000007</v>
      </c>
      <c r="Z3">
        <v>0.20499999999999999</v>
      </c>
      <c r="AA3">
        <v>0.85</v>
      </c>
      <c r="AB3">
        <v>0.50254350195727748</v>
      </c>
      <c r="AC3">
        <v>0.49763611747287029</v>
      </c>
      <c r="AD3">
        <v>0.50895876217697134</v>
      </c>
    </row>
    <row r="4" spans="1:30">
      <c r="A4" t="s">
        <v>65</v>
      </c>
      <c r="B4" t="s">
        <v>66</v>
      </c>
      <c r="C4" t="s">
        <v>69</v>
      </c>
      <c r="D4">
        <v>26</v>
      </c>
      <c r="E4">
        <v>0.1884057971014492</v>
      </c>
      <c r="F4">
        <v>5</v>
      </c>
      <c r="G4">
        <v>0.25979610684971283</v>
      </c>
      <c r="H4">
        <v>0.2455251006406782</v>
      </c>
      <c r="I4">
        <v>0.29468944240368289</v>
      </c>
      <c r="J4">
        <v>1.378917797894629</v>
      </c>
      <c r="K4">
        <v>1.3031716880159081</v>
      </c>
      <c r="L4">
        <v>1.5641208866041629</v>
      </c>
      <c r="M4">
        <v>0.61098901098901104</v>
      </c>
      <c r="N4">
        <v>0.57414148351648353</v>
      </c>
      <c r="O4">
        <v>0.6476648351648352</v>
      </c>
      <c r="P4">
        <v>1.78422099312554E-2</v>
      </c>
      <c r="Q4">
        <v>-6.0023786797698299E-2</v>
      </c>
      <c r="R4">
        <v>0.1080664093763086</v>
      </c>
      <c r="S4">
        <v>0.36242493454966812</v>
      </c>
      <c r="T4">
        <v>6.84161866154612E-2</v>
      </c>
      <c r="U4">
        <v>0.52372982665869694</v>
      </c>
      <c r="V4">
        <v>0.2097316561844863</v>
      </c>
      <c r="W4">
        <v>0.17685185185185179</v>
      </c>
      <c r="X4">
        <v>0.27275471698113207</v>
      </c>
      <c r="Y4">
        <v>0.56923076923076921</v>
      </c>
      <c r="Z4">
        <v>6.15384615384615E-2</v>
      </c>
      <c r="AA4">
        <v>0.95</v>
      </c>
      <c r="AB4">
        <v>0.50124126083946707</v>
      </c>
      <c r="AC4">
        <v>0.47389740399769198</v>
      </c>
      <c r="AD4">
        <v>0.51783380297620085</v>
      </c>
    </row>
    <row r="5" spans="1:30">
      <c r="A5" t="s">
        <v>65</v>
      </c>
      <c r="B5" t="s">
        <v>66</v>
      </c>
      <c r="C5" t="s">
        <v>70</v>
      </c>
      <c r="D5">
        <v>7</v>
      </c>
      <c r="E5">
        <v>5.0724637681159403E-2</v>
      </c>
      <c r="F5">
        <v>5</v>
      </c>
      <c r="G5">
        <v>4.1724392053667E-2</v>
      </c>
      <c r="H5">
        <v>3.7873545942776199E-2</v>
      </c>
      <c r="I5">
        <v>4.7884880307978002E-2</v>
      </c>
      <c r="J5">
        <v>0.82256658620086376</v>
      </c>
      <c r="K5">
        <v>0.74664990572901702</v>
      </c>
      <c r="L5">
        <v>0.94401621178585338</v>
      </c>
      <c r="M5">
        <v>0.34307524536532169</v>
      </c>
      <c r="N5">
        <v>0.28135223555070882</v>
      </c>
      <c r="O5">
        <v>0.43576881134133028</v>
      </c>
      <c r="P5">
        <v>-4.5830621757472198E-2</v>
      </c>
      <c r="Q5">
        <v>-0.15830865361781951</v>
      </c>
      <c r="R5">
        <v>7.2708362663176193E-2</v>
      </c>
      <c r="S5">
        <v>0.174997246324889</v>
      </c>
      <c r="T5">
        <v>6.5259677105621403E-2</v>
      </c>
      <c r="U5">
        <v>0.2285783055198973</v>
      </c>
      <c r="V5">
        <v>4.2945621877248402E-2</v>
      </c>
      <c r="W5">
        <v>1.7623630932625201E-2</v>
      </c>
      <c r="X5">
        <v>5.5953510436432603E-2</v>
      </c>
      <c r="Y5">
        <v>0.77142857142857146</v>
      </c>
      <c r="Z5">
        <v>0.21428571428571419</v>
      </c>
      <c r="AA5">
        <v>1</v>
      </c>
      <c r="AB5">
        <v>0.33981032645028442</v>
      </c>
      <c r="AC5">
        <v>0.19910285654536741</v>
      </c>
      <c r="AD5">
        <v>0.45241667238327121</v>
      </c>
    </row>
    <row r="6" spans="1:30">
      <c r="A6" t="s">
        <v>65</v>
      </c>
      <c r="B6" t="s">
        <v>66</v>
      </c>
      <c r="C6" t="s">
        <v>71</v>
      </c>
      <c r="D6">
        <v>9</v>
      </c>
      <c r="E6">
        <v>6.5217391304347797E-2</v>
      </c>
      <c r="F6">
        <v>5</v>
      </c>
      <c r="G6">
        <v>7.1672435967931006E-2</v>
      </c>
      <c r="H6">
        <v>5.6459210113458697E-2</v>
      </c>
      <c r="I6">
        <v>9.9470887133540201E-2</v>
      </c>
      <c r="J6">
        <v>1.098977351508275</v>
      </c>
      <c r="K6">
        <v>0.86570788840636759</v>
      </c>
      <c r="L6">
        <v>1.52522026938095</v>
      </c>
      <c r="M6">
        <v>0.40602928509905239</v>
      </c>
      <c r="N6">
        <v>0.35469422911283371</v>
      </c>
      <c r="O6">
        <v>0.44186046511627902</v>
      </c>
      <c r="P6">
        <v>-3.5350816067164101E-2</v>
      </c>
      <c r="Q6">
        <v>-0.11638375583687779</v>
      </c>
      <c r="R6">
        <v>-4.3907906215606999E-3</v>
      </c>
      <c r="S6">
        <v>0.19722708853143631</v>
      </c>
      <c r="T6">
        <v>0.1043956043956044</v>
      </c>
      <c r="U6">
        <v>0.248293842496741</v>
      </c>
      <c r="V6">
        <v>6.1609523809523802E-2</v>
      </c>
      <c r="W6">
        <v>5.6249999999999897E-2</v>
      </c>
      <c r="X6">
        <v>6.3949206349206297E-2</v>
      </c>
      <c r="Y6">
        <v>0.6</v>
      </c>
      <c r="Z6">
        <v>0.1333333333333333</v>
      </c>
      <c r="AA6">
        <v>0.88888888888888884</v>
      </c>
      <c r="AB6">
        <v>0.4164399817529037</v>
      </c>
      <c r="AC6">
        <v>0.36628679384747942</v>
      </c>
      <c r="AD6">
        <v>0.47094315458931513</v>
      </c>
    </row>
    <row r="7" spans="1:30">
      <c r="A7" t="s">
        <v>65</v>
      </c>
      <c r="B7" t="s">
        <v>72</v>
      </c>
      <c r="C7" t="s">
        <v>67</v>
      </c>
      <c r="D7">
        <v>4</v>
      </c>
      <c r="E7">
        <v>2.8985507246376802E-2</v>
      </c>
      <c r="F7">
        <v>5</v>
      </c>
      <c r="G7">
        <v>2.90696997151139E-2</v>
      </c>
      <c r="H7">
        <v>2.4931237301911099E-2</v>
      </c>
      <c r="I7">
        <v>3.5489034310880102E-2</v>
      </c>
      <c r="J7">
        <v>1.0029046401714321</v>
      </c>
      <c r="K7">
        <v>0.86012768691593589</v>
      </c>
      <c r="L7">
        <v>1.224371683725364</v>
      </c>
      <c r="M7">
        <v>0.42201492537313429</v>
      </c>
      <c r="N7">
        <v>0.33479477611940289</v>
      </c>
      <c r="O7">
        <v>0.53320895522388057</v>
      </c>
      <c r="P7">
        <v>-1.8766488842823999E-2</v>
      </c>
      <c r="Q7">
        <v>-0.1230279990381099</v>
      </c>
      <c r="R7">
        <v>8.2444193243132902E-2</v>
      </c>
      <c r="S7">
        <v>8.8391462938564397E-2</v>
      </c>
      <c r="T7">
        <v>6.1728395061728001E-3</v>
      </c>
      <c r="U7">
        <v>0.15577651515151511</v>
      </c>
      <c r="V7">
        <v>2.0889916849578499E-2</v>
      </c>
      <c r="W7">
        <v>1.5384615384615001E-3</v>
      </c>
      <c r="X7">
        <v>3.5591133004926098E-2</v>
      </c>
      <c r="Y7">
        <v>0.5</v>
      </c>
      <c r="Z7">
        <v>2.5000000000000001E-2</v>
      </c>
      <c r="AA7">
        <v>1</v>
      </c>
      <c r="AB7">
        <v>0.1411978318449679</v>
      </c>
      <c r="AC7">
        <v>8.0964460641911994E-3</v>
      </c>
      <c r="AD7">
        <v>0.21912628719555069</v>
      </c>
    </row>
    <row r="8" spans="1:30">
      <c r="A8" t="s">
        <v>65</v>
      </c>
      <c r="B8" t="s">
        <v>72</v>
      </c>
      <c r="C8" t="s">
        <v>68</v>
      </c>
      <c r="D8">
        <v>20</v>
      </c>
      <c r="E8">
        <v>0.14492753623188401</v>
      </c>
      <c r="F8">
        <v>5</v>
      </c>
      <c r="G8">
        <v>0.19914532238299121</v>
      </c>
      <c r="H8">
        <v>0.14647715586999291</v>
      </c>
      <c r="I8">
        <v>0.23656997669713231</v>
      </c>
      <c r="J8">
        <v>1.3741027244426389</v>
      </c>
      <c r="K8">
        <v>1.010692375502952</v>
      </c>
      <c r="L8">
        <v>1.632332839210213</v>
      </c>
      <c r="M8">
        <v>0.58703389830508468</v>
      </c>
      <c r="N8">
        <v>0.50747881355932201</v>
      </c>
      <c r="O8">
        <v>0.68300847457627112</v>
      </c>
      <c r="P8">
        <v>0.11111674098375431</v>
      </c>
      <c r="Q8">
        <v>-4.1520239273640002E-3</v>
      </c>
      <c r="R8">
        <v>0.19536047927006539</v>
      </c>
      <c r="S8">
        <v>0.33115726865726869</v>
      </c>
      <c r="T8">
        <v>0.1323953823953824</v>
      </c>
      <c r="U8">
        <v>0.51475376475376478</v>
      </c>
      <c r="V8">
        <v>0.24920414145861139</v>
      </c>
      <c r="W8">
        <v>0.1421588302752293</v>
      </c>
      <c r="X8">
        <v>0.47631578947368419</v>
      </c>
      <c r="Y8">
        <v>0.52</v>
      </c>
      <c r="Z8">
        <v>0.115</v>
      </c>
      <c r="AA8">
        <v>0.94</v>
      </c>
      <c r="AB8">
        <v>0.46406122776656311</v>
      </c>
      <c r="AC8">
        <v>9.1831664727186402E-2</v>
      </c>
      <c r="AD8">
        <v>0.62999343782663408</v>
      </c>
    </row>
    <row r="9" spans="1:30">
      <c r="A9" t="s">
        <v>65</v>
      </c>
      <c r="B9" t="s">
        <v>72</v>
      </c>
      <c r="C9" t="s">
        <v>69</v>
      </c>
      <c r="D9">
        <v>26</v>
      </c>
      <c r="E9">
        <v>0.1884057971014492</v>
      </c>
      <c r="F9">
        <v>5</v>
      </c>
      <c r="G9">
        <v>0.24415474984635721</v>
      </c>
      <c r="H9">
        <v>0.1916609839406867</v>
      </c>
      <c r="I9">
        <v>0.31757974769167341</v>
      </c>
      <c r="J9">
        <v>1.2958982876460501</v>
      </c>
      <c r="K9">
        <v>1.0172775301467221</v>
      </c>
      <c r="L9">
        <v>1.6856155839019591</v>
      </c>
      <c r="M9">
        <v>0.56651785714285707</v>
      </c>
      <c r="N9">
        <v>0.47474244505494512</v>
      </c>
      <c r="O9">
        <v>0.66052541208791216</v>
      </c>
      <c r="P9">
        <v>7.4796835489211802E-2</v>
      </c>
      <c r="Q9">
        <v>3.5756168916092498E-2</v>
      </c>
      <c r="R9">
        <v>0.13372371675771061</v>
      </c>
      <c r="S9">
        <v>0.32400065434579461</v>
      </c>
      <c r="T9">
        <v>6.7603520021829594E-2</v>
      </c>
      <c r="U9">
        <v>0.4532085561497326</v>
      </c>
      <c r="V9">
        <v>0.24750930996714129</v>
      </c>
      <c r="W9">
        <v>0.20554947060971149</v>
      </c>
      <c r="X9">
        <v>0.3259999999999999</v>
      </c>
      <c r="Y9">
        <v>0.40769230769230769</v>
      </c>
      <c r="Z9">
        <v>6.15384615384615E-2</v>
      </c>
      <c r="AA9">
        <v>0.64615384615384619</v>
      </c>
      <c r="AB9">
        <v>0.59482182487710633</v>
      </c>
      <c r="AC9">
        <v>0.50035905285816096</v>
      </c>
      <c r="AD9">
        <v>0.79667663754739926</v>
      </c>
    </row>
    <row r="10" spans="1:30">
      <c r="A10" t="s">
        <v>65</v>
      </c>
      <c r="B10" t="s">
        <v>72</v>
      </c>
      <c r="C10" t="s">
        <v>70</v>
      </c>
      <c r="D10">
        <v>7</v>
      </c>
      <c r="E10">
        <v>5.0724637681159403E-2</v>
      </c>
      <c r="F10">
        <v>5</v>
      </c>
      <c r="G10">
        <v>4.9622287884700501E-2</v>
      </c>
      <c r="H10">
        <v>4.07228304712395E-2</v>
      </c>
      <c r="I10">
        <v>6.7344187373139505E-2</v>
      </c>
      <c r="J10">
        <v>0.97826796115552495</v>
      </c>
      <c r="K10">
        <v>0.80282151500443577</v>
      </c>
      <c r="L10">
        <v>1.3276425510704659</v>
      </c>
      <c r="M10">
        <v>0.43718647764449292</v>
      </c>
      <c r="N10">
        <v>0.3491275899672846</v>
      </c>
      <c r="O10">
        <v>0.57573609596510356</v>
      </c>
      <c r="P10">
        <v>-6.8404396589550004E-4</v>
      </c>
      <c r="Q10">
        <v>-0.1180085748657423</v>
      </c>
      <c r="R10">
        <v>9.9986987326178306E-2</v>
      </c>
      <c r="S10">
        <v>0.19685479753770241</v>
      </c>
      <c r="T10">
        <v>0.12864134921570941</v>
      </c>
      <c r="U10">
        <v>0.24405320813771519</v>
      </c>
      <c r="V10">
        <v>4.9507111784375897E-2</v>
      </c>
      <c r="W10">
        <v>3.32279087598236E-2</v>
      </c>
      <c r="X10">
        <v>6.0870634530250801E-2</v>
      </c>
      <c r="Y10">
        <v>0.77142857142857146</v>
      </c>
      <c r="Z10">
        <v>0.45714285714285707</v>
      </c>
      <c r="AA10">
        <v>0.98571428571428565</v>
      </c>
      <c r="AB10">
        <v>0.11216591541998951</v>
      </c>
      <c r="AC10">
        <v>4.860038015391E-4</v>
      </c>
      <c r="AD10">
        <v>0.33125043346953748</v>
      </c>
    </row>
    <row r="11" spans="1:30">
      <c r="A11" t="s">
        <v>65</v>
      </c>
      <c r="B11" t="s">
        <v>72</v>
      </c>
      <c r="C11" t="s">
        <v>71</v>
      </c>
      <c r="D11">
        <v>9</v>
      </c>
      <c r="E11">
        <v>6.5217391304347797E-2</v>
      </c>
      <c r="F11">
        <v>5</v>
      </c>
      <c r="G11">
        <v>5.5015568467247603E-2</v>
      </c>
      <c r="H11">
        <v>4.2680550465865497E-2</v>
      </c>
      <c r="I11">
        <v>6.3065433844718494E-2</v>
      </c>
      <c r="J11">
        <v>0.84357204983113054</v>
      </c>
      <c r="K11">
        <v>0.65443510714327147</v>
      </c>
      <c r="L11">
        <v>0.96700331895235059</v>
      </c>
      <c r="M11">
        <v>0.37416020671834621</v>
      </c>
      <c r="N11">
        <v>0.19763135228251499</v>
      </c>
      <c r="O11">
        <v>0.46033591731266149</v>
      </c>
      <c r="P11">
        <v>-8.3852987795748193E-2</v>
      </c>
      <c r="Q11">
        <v>-0.24836566472849331</v>
      </c>
      <c r="R11">
        <v>-1.60166782272896E-2</v>
      </c>
      <c r="S11">
        <v>0.1081021394064872</v>
      </c>
      <c r="T11">
        <v>6.9444444444443998E-3</v>
      </c>
      <c r="U11">
        <v>0.236935817805383</v>
      </c>
      <c r="V11">
        <v>3.5373099415204598E-2</v>
      </c>
      <c r="W11">
        <v>2.7777777777776998E-3</v>
      </c>
      <c r="X11">
        <v>6.2600000000000003E-2</v>
      </c>
      <c r="Y11">
        <v>0.31111111111111112</v>
      </c>
      <c r="Z11">
        <v>1.1111111111111099E-2</v>
      </c>
      <c r="AA11">
        <v>0.84444444444444433</v>
      </c>
      <c r="AB11">
        <v>0.3910241124836456</v>
      </c>
      <c r="AC11">
        <v>3.3081177659420999E-3</v>
      </c>
      <c r="AD11">
        <v>0.86111756123549965</v>
      </c>
    </row>
    <row r="12" spans="1:30">
      <c r="A12" t="s">
        <v>65</v>
      </c>
      <c r="B12" t="s">
        <v>73</v>
      </c>
      <c r="C12" t="s">
        <v>67</v>
      </c>
      <c r="D12">
        <v>4</v>
      </c>
      <c r="E12">
        <v>2.8985507246376802E-2</v>
      </c>
      <c r="F12">
        <v>5</v>
      </c>
      <c r="G12">
        <v>9.0836131849794902E-2</v>
      </c>
      <c r="H12">
        <v>7.7970964654771602E-2</v>
      </c>
      <c r="I12">
        <v>0.1022833972358083</v>
      </c>
      <c r="J12">
        <v>3.133846548817925</v>
      </c>
      <c r="K12">
        <v>2.6899982805896201</v>
      </c>
      <c r="L12">
        <v>3.5287772046353871</v>
      </c>
      <c r="M12">
        <v>0.78470149253731347</v>
      </c>
      <c r="N12">
        <v>0.76082089552238807</v>
      </c>
      <c r="O12">
        <v>0.80634328358208951</v>
      </c>
      <c r="P12">
        <v>0.16238319856239999</v>
      </c>
      <c r="Q12">
        <v>0.1194133208924985</v>
      </c>
      <c r="R12">
        <v>0.20987070001173369</v>
      </c>
      <c r="S12">
        <v>0.23627993565007621</v>
      </c>
      <c r="T12">
        <v>0.19307692307692309</v>
      </c>
      <c r="U12">
        <v>0.27894485557412269</v>
      </c>
      <c r="V12">
        <v>8.3419577838182504E-2</v>
      </c>
      <c r="W12">
        <v>6.4119601328903597E-2</v>
      </c>
      <c r="X12">
        <v>0.11</v>
      </c>
      <c r="Y12">
        <v>0.65</v>
      </c>
      <c r="Z12">
        <v>0.25</v>
      </c>
      <c r="AA12">
        <v>1</v>
      </c>
      <c r="AB12">
        <v>0.1397706650276668</v>
      </c>
      <c r="AC12">
        <v>4.3832595333557003E-3</v>
      </c>
      <c r="AD12">
        <v>0.43109375236920988</v>
      </c>
    </row>
    <row r="13" spans="1:30">
      <c r="A13" t="s">
        <v>65</v>
      </c>
      <c r="B13" t="s">
        <v>73</v>
      </c>
      <c r="C13" t="s">
        <v>68</v>
      </c>
      <c r="D13">
        <v>20</v>
      </c>
      <c r="E13">
        <v>0.14492753623188401</v>
      </c>
      <c r="F13">
        <v>5</v>
      </c>
      <c r="G13">
        <v>0.2631070154982908</v>
      </c>
      <c r="H13">
        <v>0.25140254707175369</v>
      </c>
      <c r="I13">
        <v>0.278400169409599</v>
      </c>
      <c r="J13">
        <v>1.815438406938207</v>
      </c>
      <c r="K13">
        <v>1.7346775747951</v>
      </c>
      <c r="L13">
        <v>1.9209611689262329</v>
      </c>
      <c r="M13">
        <v>0.72635593220338979</v>
      </c>
      <c r="N13">
        <v>0.71364406779661005</v>
      </c>
      <c r="O13">
        <v>0.73847457627118651</v>
      </c>
      <c r="P13">
        <v>0.2801109093597402</v>
      </c>
      <c r="Q13">
        <v>0.22323376870284259</v>
      </c>
      <c r="R13">
        <v>0.3267992406018389</v>
      </c>
      <c r="S13">
        <v>0.52966107078039926</v>
      </c>
      <c r="T13">
        <v>0.46928879310344829</v>
      </c>
      <c r="U13">
        <v>0.58358620689655172</v>
      </c>
      <c r="V13">
        <v>0.27286324786324789</v>
      </c>
      <c r="W13">
        <v>0.23749999999999999</v>
      </c>
      <c r="X13">
        <v>0.31055555555555558</v>
      </c>
      <c r="Y13">
        <v>0.71</v>
      </c>
      <c r="Z13">
        <v>0.55500000000000005</v>
      </c>
      <c r="AA13">
        <v>0.85</v>
      </c>
      <c r="AB13">
        <v>0.43948391906340512</v>
      </c>
      <c r="AC13">
        <v>0.33900646528466871</v>
      </c>
      <c r="AD13">
        <v>0.61618673537364554</v>
      </c>
    </row>
    <row r="14" spans="1:30">
      <c r="A14" t="s">
        <v>65</v>
      </c>
      <c r="B14" t="s">
        <v>73</v>
      </c>
      <c r="C14" t="s">
        <v>69</v>
      </c>
      <c r="D14">
        <v>26</v>
      </c>
      <c r="E14">
        <v>0.1884057971014492</v>
      </c>
      <c r="F14">
        <v>5</v>
      </c>
      <c r="G14">
        <v>0.55629374204460691</v>
      </c>
      <c r="H14">
        <v>0.49534300727958819</v>
      </c>
      <c r="I14">
        <v>0.64727209027383192</v>
      </c>
      <c r="J14">
        <v>2.9526360154675282</v>
      </c>
      <c r="K14">
        <v>2.6291282694070448</v>
      </c>
      <c r="L14">
        <v>3.4355210945303392</v>
      </c>
      <c r="M14">
        <v>0.84883241758241756</v>
      </c>
      <c r="N14">
        <v>0.82757554945054945</v>
      </c>
      <c r="O14">
        <v>0.87603021978021978</v>
      </c>
      <c r="P14">
        <v>0.4659537573381845</v>
      </c>
      <c r="Q14">
        <v>0.403138923330493</v>
      </c>
      <c r="R14">
        <v>0.55151863780474897</v>
      </c>
      <c r="S14">
        <v>0.69562617659575532</v>
      </c>
      <c r="T14">
        <v>0.66370378449122036</v>
      </c>
      <c r="U14">
        <v>0.71336996336996339</v>
      </c>
      <c r="V14">
        <v>0.43498868281476971</v>
      </c>
      <c r="W14">
        <v>0.35122529644268768</v>
      </c>
      <c r="X14">
        <v>0.54666666666666663</v>
      </c>
      <c r="Y14">
        <v>0.8307692307692307</v>
      </c>
      <c r="Z14">
        <v>0.77307692307692311</v>
      </c>
      <c r="AA14">
        <v>0.91538461538461557</v>
      </c>
      <c r="AB14">
        <v>0.28803140187637899</v>
      </c>
      <c r="AC14">
        <v>9.3634883691917095E-2</v>
      </c>
      <c r="AD14">
        <v>0.59384587133050593</v>
      </c>
    </row>
    <row r="15" spans="1:30">
      <c r="A15" t="s">
        <v>65</v>
      </c>
      <c r="B15" t="s">
        <v>73</v>
      </c>
      <c r="C15" t="s">
        <v>70</v>
      </c>
      <c r="D15">
        <v>7</v>
      </c>
      <c r="E15">
        <v>5.0724637681159403E-2</v>
      </c>
      <c r="F15">
        <v>5</v>
      </c>
      <c r="G15">
        <v>0.1067799924887014</v>
      </c>
      <c r="H15">
        <v>7.8801528217919803E-2</v>
      </c>
      <c r="I15">
        <v>0.125137201554988</v>
      </c>
      <c r="J15">
        <v>2.1050912804915431</v>
      </c>
      <c r="K15">
        <v>1.5535158420104209</v>
      </c>
      <c r="L15">
        <v>2.4669905449411922</v>
      </c>
      <c r="M15">
        <v>0.66499454743729547</v>
      </c>
      <c r="N15">
        <v>0.51635768811341332</v>
      </c>
      <c r="O15">
        <v>0.73391494002181024</v>
      </c>
      <c r="P15">
        <v>0.1041319938677811</v>
      </c>
      <c r="Q15">
        <v>4.4187754942279903E-2</v>
      </c>
      <c r="R15">
        <v>0.13656534644853929</v>
      </c>
      <c r="S15">
        <v>0.2574079611469548</v>
      </c>
      <c r="T15">
        <v>0.21386392811296531</v>
      </c>
      <c r="U15">
        <v>0.28169014084507038</v>
      </c>
      <c r="V15">
        <v>7.5506669976490901E-2</v>
      </c>
      <c r="W15">
        <v>6.0047132757266301E-2</v>
      </c>
      <c r="X15">
        <v>9.3023255813953404E-2</v>
      </c>
      <c r="Y15">
        <v>0.7142857142857143</v>
      </c>
      <c r="Z15">
        <v>0.5714285714285714</v>
      </c>
      <c r="AA15">
        <v>0.98571428571428565</v>
      </c>
      <c r="AB15">
        <v>0.1174037414095996</v>
      </c>
      <c r="AC15">
        <v>1.8486804700311402E-2</v>
      </c>
      <c r="AD15">
        <v>0.23406987536200621</v>
      </c>
    </row>
    <row r="16" spans="1:30">
      <c r="A16" t="s">
        <v>65</v>
      </c>
      <c r="B16" t="s">
        <v>73</v>
      </c>
      <c r="C16" t="s">
        <v>71</v>
      </c>
      <c r="D16">
        <v>9</v>
      </c>
      <c r="E16">
        <v>6.5217391304347797E-2</v>
      </c>
      <c r="F16">
        <v>5</v>
      </c>
      <c r="G16">
        <v>6.9544204250746103E-2</v>
      </c>
      <c r="H16">
        <v>6.2834103711810793E-2</v>
      </c>
      <c r="I16">
        <v>7.5147189084995694E-2</v>
      </c>
      <c r="J16">
        <v>1.066344465178108</v>
      </c>
      <c r="K16">
        <v>0.96345625691443282</v>
      </c>
      <c r="L16">
        <v>1.1522568993032689</v>
      </c>
      <c r="M16">
        <v>0.4451335055986218</v>
      </c>
      <c r="N16">
        <v>0.378380706287683</v>
      </c>
      <c r="O16">
        <v>0.50783807062876829</v>
      </c>
      <c r="P16">
        <v>-3.9655772459538802E-2</v>
      </c>
      <c r="Q16">
        <v>-0.1151044672852399</v>
      </c>
      <c r="R16">
        <v>2.6791199896399599E-2</v>
      </c>
      <c r="S16">
        <v>0.16631873642993719</v>
      </c>
      <c r="T16">
        <v>8.8038277511961693E-2</v>
      </c>
      <c r="U16">
        <v>0.25674171202375062</v>
      </c>
      <c r="V16">
        <v>5.4329375474886303E-2</v>
      </c>
      <c r="W16">
        <v>4.76648351648351E-2</v>
      </c>
      <c r="X16">
        <v>6.5273109243697405E-2</v>
      </c>
      <c r="Y16">
        <v>0.48888888888888887</v>
      </c>
      <c r="Z16">
        <v>0.1111111111111111</v>
      </c>
      <c r="AA16">
        <v>0.96666666666666679</v>
      </c>
      <c r="AB16">
        <v>0.24889072073596519</v>
      </c>
      <c r="AC16">
        <v>1.0075878527100899E-2</v>
      </c>
      <c r="AD16">
        <v>0.49235189777223309</v>
      </c>
    </row>
    <row r="17" spans="1:30">
      <c r="A17" t="s">
        <v>65</v>
      </c>
      <c r="B17" t="s">
        <v>74</v>
      </c>
      <c r="C17" t="s">
        <v>67</v>
      </c>
      <c r="D17">
        <v>4</v>
      </c>
      <c r="E17">
        <v>2.8985507246376802E-2</v>
      </c>
      <c r="F17">
        <v>5</v>
      </c>
      <c r="G17">
        <v>4.5762480922892403E-2</v>
      </c>
      <c r="H17">
        <v>2.8394230149782401E-2</v>
      </c>
      <c r="I17">
        <v>7.0717127672069502E-2</v>
      </c>
      <c r="J17">
        <v>1.5788055918397901</v>
      </c>
      <c r="K17">
        <v>0.97960094016749444</v>
      </c>
      <c r="L17">
        <v>2.4397409046863991</v>
      </c>
      <c r="M17">
        <v>0.56082089552238801</v>
      </c>
      <c r="N17">
        <v>0.3869402985074627</v>
      </c>
      <c r="O17">
        <v>0.76473880597014932</v>
      </c>
      <c r="P17">
        <v>1.3256814195517001E-2</v>
      </c>
      <c r="Q17">
        <v>-8.52603626598986E-2</v>
      </c>
      <c r="R17">
        <v>0.11963839849179669</v>
      </c>
      <c r="S17">
        <v>0.1337117159735966</v>
      </c>
      <c r="T17">
        <v>8.8373458602466204E-2</v>
      </c>
      <c r="U17">
        <v>0.18319559228650131</v>
      </c>
      <c r="V17">
        <v>3.0897892542317801E-2</v>
      </c>
      <c r="W17">
        <v>2.0430477830391699E-2</v>
      </c>
      <c r="X17">
        <v>4.2939958592132503E-2</v>
      </c>
      <c r="Y17">
        <v>0.8</v>
      </c>
      <c r="Z17">
        <v>0.52500000000000002</v>
      </c>
      <c r="AA17">
        <v>1</v>
      </c>
      <c r="AB17">
        <v>0.17999415305938249</v>
      </c>
      <c r="AC17">
        <v>0.11037170110624191</v>
      </c>
      <c r="AD17">
        <v>0.2271469854318616</v>
      </c>
    </row>
    <row r="18" spans="1:30">
      <c r="A18" t="s">
        <v>65</v>
      </c>
      <c r="B18" t="s">
        <v>74</v>
      </c>
      <c r="C18" t="s">
        <v>68</v>
      </c>
      <c r="D18">
        <v>20</v>
      </c>
      <c r="E18">
        <v>0.14492753623188401</v>
      </c>
      <c r="F18">
        <v>5</v>
      </c>
      <c r="G18">
        <v>0.27296873429944829</v>
      </c>
      <c r="H18">
        <v>0.220760336882422</v>
      </c>
      <c r="I18">
        <v>0.31797566853704962</v>
      </c>
      <c r="J18">
        <v>1.8834842666661931</v>
      </c>
      <c r="K18">
        <v>1.523246324488712</v>
      </c>
      <c r="L18">
        <v>2.1940321129056422</v>
      </c>
      <c r="M18">
        <v>0.72957627118644075</v>
      </c>
      <c r="N18">
        <v>0.68127118644067808</v>
      </c>
      <c r="O18">
        <v>0.7528813559322034</v>
      </c>
      <c r="P18">
        <v>0.18136987315352859</v>
      </c>
      <c r="Q18">
        <v>-3.9707913382688399E-2</v>
      </c>
      <c r="R18">
        <v>0.30549317345177862</v>
      </c>
      <c r="S18">
        <v>0.38774508173087591</v>
      </c>
      <c r="T18">
        <v>3.5398230088495498E-2</v>
      </c>
      <c r="U18">
        <v>0.56376879699248117</v>
      </c>
      <c r="V18">
        <v>0.20508862206975409</v>
      </c>
      <c r="W18">
        <v>2.2499999999999999E-2</v>
      </c>
      <c r="X18">
        <v>0.28221698113207538</v>
      </c>
      <c r="Y18">
        <v>0.52</v>
      </c>
      <c r="Z18">
        <v>0.04</v>
      </c>
      <c r="AA18">
        <v>0.88500000000000001</v>
      </c>
      <c r="AB18">
        <v>0.45159677904065532</v>
      </c>
      <c r="AC18">
        <v>0.39729006341354328</v>
      </c>
      <c r="AD18">
        <v>0.50719385872339484</v>
      </c>
    </row>
    <row r="19" spans="1:30">
      <c r="A19" t="s">
        <v>65</v>
      </c>
      <c r="B19" t="s">
        <v>74</v>
      </c>
      <c r="C19" t="s">
        <v>69</v>
      </c>
      <c r="D19">
        <v>26</v>
      </c>
      <c r="E19">
        <v>0.1884057971014492</v>
      </c>
      <c r="F19">
        <v>5</v>
      </c>
      <c r="G19">
        <v>0.47012211411131649</v>
      </c>
      <c r="H19">
        <v>0.41182343251415271</v>
      </c>
      <c r="I19">
        <v>0.5367037838041151</v>
      </c>
      <c r="J19">
        <v>2.49526352874468</v>
      </c>
      <c r="K19">
        <v>2.1858320648828111</v>
      </c>
      <c r="L19">
        <v>2.8486585448064572</v>
      </c>
      <c r="M19">
        <v>0.81236263736263736</v>
      </c>
      <c r="N19">
        <v>0.77472527472527464</v>
      </c>
      <c r="O19">
        <v>0.85683379120879122</v>
      </c>
      <c r="P19">
        <v>0.52448655358757201</v>
      </c>
      <c r="Q19">
        <v>0.44502668073112489</v>
      </c>
      <c r="R19">
        <v>0.57115495949985196</v>
      </c>
      <c r="S19">
        <v>0.69549218901562082</v>
      </c>
      <c r="T19">
        <v>0.64780912364945986</v>
      </c>
      <c r="U19">
        <v>0.76555285829882436</v>
      </c>
      <c r="V19">
        <v>0.52296712923593902</v>
      </c>
      <c r="W19">
        <v>0.4487855297157623</v>
      </c>
      <c r="X19">
        <v>0.56213235294117647</v>
      </c>
      <c r="Y19">
        <v>0.7615384615384615</v>
      </c>
      <c r="Z19">
        <v>0.69615384615384612</v>
      </c>
      <c r="AA19">
        <v>0.87307692307692308</v>
      </c>
      <c r="AB19">
        <v>0.48924106902692788</v>
      </c>
      <c r="AC19">
        <v>0.47656859368235621</v>
      </c>
      <c r="AD19">
        <v>0.50912703138814497</v>
      </c>
    </row>
    <row r="20" spans="1:30">
      <c r="A20" t="s">
        <v>65</v>
      </c>
      <c r="B20" t="s">
        <v>74</v>
      </c>
      <c r="C20" t="s">
        <v>70</v>
      </c>
      <c r="D20">
        <v>7</v>
      </c>
      <c r="E20">
        <v>5.0724637681159403E-2</v>
      </c>
      <c r="F20">
        <v>5</v>
      </c>
      <c r="G20">
        <v>7.4627139558084005E-2</v>
      </c>
      <c r="H20">
        <v>6.0363486733660203E-2</v>
      </c>
      <c r="I20">
        <v>9.7850040086332399E-2</v>
      </c>
      <c r="J20">
        <v>1.4712207512879429</v>
      </c>
      <c r="K20">
        <v>1.1900230241778731</v>
      </c>
      <c r="L20">
        <v>1.929043647416268</v>
      </c>
      <c r="M20">
        <v>0.57949836423118861</v>
      </c>
      <c r="N20">
        <v>0.52715376226826605</v>
      </c>
      <c r="O20">
        <v>0.64623773173391486</v>
      </c>
      <c r="P20">
        <v>8.5561525041949693E-2</v>
      </c>
      <c r="Q20">
        <v>4.0386439655050899E-2</v>
      </c>
      <c r="R20">
        <v>0.14534305355157789</v>
      </c>
      <c r="S20">
        <v>0.22748991591530149</v>
      </c>
      <c r="T20">
        <v>0.13190799629515279</v>
      </c>
      <c r="U20">
        <v>0.29125455491931279</v>
      </c>
      <c r="V20">
        <v>6.8487709428885907E-2</v>
      </c>
      <c r="W20">
        <v>5.4461538461538402E-2</v>
      </c>
      <c r="X20">
        <v>8.06652806652806E-2</v>
      </c>
      <c r="Y20">
        <v>0.74285714285714288</v>
      </c>
      <c r="Z20">
        <v>0.21428571428571419</v>
      </c>
      <c r="AA20">
        <v>0.98571428571428565</v>
      </c>
      <c r="AB20">
        <v>0.25705845340663308</v>
      </c>
      <c r="AC20">
        <v>5.7707570645134501E-2</v>
      </c>
      <c r="AD20">
        <v>0.383225457772987</v>
      </c>
    </row>
    <row r="21" spans="1:30">
      <c r="A21" t="s">
        <v>65</v>
      </c>
      <c r="B21" t="s">
        <v>74</v>
      </c>
      <c r="C21" t="s">
        <v>71</v>
      </c>
      <c r="D21">
        <v>9</v>
      </c>
      <c r="E21">
        <v>6.5217391304347797E-2</v>
      </c>
      <c r="F21">
        <v>5</v>
      </c>
      <c r="G21">
        <v>6.4614388549277701E-2</v>
      </c>
      <c r="H21">
        <v>6.2852363268570494E-2</v>
      </c>
      <c r="I21">
        <v>6.5854281837523301E-2</v>
      </c>
      <c r="J21">
        <v>0.99075395775559238</v>
      </c>
      <c r="K21">
        <v>0.96373623678474818</v>
      </c>
      <c r="L21">
        <v>1.0097656548420251</v>
      </c>
      <c r="M21">
        <v>0.45581395348837211</v>
      </c>
      <c r="N21">
        <v>0.44263565891472861</v>
      </c>
      <c r="O21">
        <v>0.4689922480620155</v>
      </c>
      <c r="P21">
        <v>-5.4911708282958598E-2</v>
      </c>
      <c r="Q21">
        <v>-0.1049922647356127</v>
      </c>
      <c r="R21">
        <v>-1.5854220490262201E-2</v>
      </c>
      <c r="S21">
        <v>0.18521888961534269</v>
      </c>
      <c r="T21">
        <v>2.1874999999999999E-2</v>
      </c>
      <c r="U21">
        <v>0.24693581780538301</v>
      </c>
      <c r="V21">
        <v>4.8742158355649601E-2</v>
      </c>
      <c r="W21">
        <v>5.6451612903224997E-3</v>
      </c>
      <c r="X21">
        <v>6.3785567010309199E-2</v>
      </c>
      <c r="Y21">
        <v>0.62222222222222212</v>
      </c>
      <c r="Z21">
        <v>6.6666666666666596E-2</v>
      </c>
      <c r="AA21">
        <v>0.87777777777777777</v>
      </c>
      <c r="AB21">
        <v>0.22501726099152361</v>
      </c>
      <c r="AC21">
        <v>0.1097611764584429</v>
      </c>
      <c r="AD21">
        <v>0.40340547308430602</v>
      </c>
    </row>
    <row r="22" spans="1:30">
      <c r="A22" t="s">
        <v>65</v>
      </c>
      <c r="B22" t="s">
        <v>75</v>
      </c>
      <c r="C22" t="s">
        <v>67</v>
      </c>
      <c r="D22">
        <v>4</v>
      </c>
      <c r="E22">
        <v>2.8985507246376802E-2</v>
      </c>
      <c r="F22">
        <v>5</v>
      </c>
      <c r="G22">
        <v>4.0822184452775301E-2</v>
      </c>
      <c r="H22">
        <v>2.7776659976746901E-2</v>
      </c>
      <c r="I22">
        <v>6.5793299898402199E-2</v>
      </c>
      <c r="J22">
        <v>1.408365363620748</v>
      </c>
      <c r="K22">
        <v>0.95829476919776835</v>
      </c>
      <c r="L22">
        <v>2.2698688464948762</v>
      </c>
      <c r="M22">
        <v>0.52238805970149249</v>
      </c>
      <c r="N22">
        <v>0.37835820895522387</v>
      </c>
      <c r="O22">
        <v>0.71026119402985077</v>
      </c>
      <c r="P22">
        <v>4.4334687831896702E-2</v>
      </c>
      <c r="Q22">
        <v>-2.27031990016268E-2</v>
      </c>
      <c r="R22">
        <v>0.13111036705490289</v>
      </c>
      <c r="S22">
        <v>0.14102440145381859</v>
      </c>
      <c r="T22">
        <v>8.8175948345439806E-2</v>
      </c>
      <c r="U22">
        <v>0.19384282178217821</v>
      </c>
      <c r="V22">
        <v>3.36370742800291E-2</v>
      </c>
      <c r="W22">
        <v>2.36575052854122E-2</v>
      </c>
      <c r="X22">
        <v>4.5924369747899103E-2</v>
      </c>
      <c r="Y22">
        <v>0.75</v>
      </c>
      <c r="Z22">
        <v>0.3</v>
      </c>
      <c r="AA22">
        <v>1</v>
      </c>
      <c r="AB22">
        <v>0.31736906522452529</v>
      </c>
      <c r="AC22">
        <v>0.27445227879869871</v>
      </c>
      <c r="AD22">
        <v>0.3627130848169326</v>
      </c>
    </row>
    <row r="23" spans="1:30">
      <c r="A23" t="s">
        <v>65</v>
      </c>
      <c r="B23" t="s">
        <v>75</v>
      </c>
      <c r="C23" t="s">
        <v>68</v>
      </c>
      <c r="D23">
        <v>20</v>
      </c>
      <c r="E23">
        <v>0.14492753623188401</v>
      </c>
      <c r="F23">
        <v>5</v>
      </c>
      <c r="G23">
        <v>0.25044447851773322</v>
      </c>
      <c r="H23">
        <v>0.22622375254307669</v>
      </c>
      <c r="I23">
        <v>0.26525063901455881</v>
      </c>
      <c r="J23">
        <v>1.72806690177236</v>
      </c>
      <c r="K23">
        <v>1.5609438925472301</v>
      </c>
      <c r="L23">
        <v>1.8302294092004561</v>
      </c>
      <c r="M23">
        <v>0.71296610169491514</v>
      </c>
      <c r="N23">
        <v>0.6946610169491525</v>
      </c>
      <c r="O23">
        <v>0.72805084745762716</v>
      </c>
      <c r="P23">
        <v>0.23753224728440289</v>
      </c>
      <c r="Q23">
        <v>0.19137169077463101</v>
      </c>
      <c r="R23">
        <v>0.28635621594737432</v>
      </c>
      <c r="S23">
        <v>0.50343034730632974</v>
      </c>
      <c r="T23">
        <v>0.43936877076411962</v>
      </c>
      <c r="U23">
        <v>0.56225697744750713</v>
      </c>
      <c r="V23">
        <v>0.2437920759949665</v>
      </c>
      <c r="W23">
        <v>0.21909376636982711</v>
      </c>
      <c r="X23">
        <v>0.25980645161290322</v>
      </c>
      <c r="Y23">
        <v>0.70000000000000007</v>
      </c>
      <c r="Z23">
        <v>0.55500000000000005</v>
      </c>
      <c r="AA23">
        <v>0.89</v>
      </c>
      <c r="AB23">
        <v>0.53185736206368595</v>
      </c>
      <c r="AC23">
        <v>0.52271940836355313</v>
      </c>
      <c r="AD23">
        <v>0.53746594167684192</v>
      </c>
    </row>
    <row r="24" spans="1:30">
      <c r="A24" t="s">
        <v>65</v>
      </c>
      <c r="B24" t="s">
        <v>75</v>
      </c>
      <c r="C24" t="s">
        <v>69</v>
      </c>
      <c r="D24">
        <v>26</v>
      </c>
      <c r="E24">
        <v>0.1884057971014492</v>
      </c>
      <c r="F24">
        <v>5</v>
      </c>
      <c r="G24">
        <v>0.49049483207843181</v>
      </c>
      <c r="H24">
        <v>0.36800011662357318</v>
      </c>
      <c r="I24">
        <v>0.58147932659776502</v>
      </c>
      <c r="J24">
        <v>2.6033956471855229</v>
      </c>
      <c r="K24">
        <v>1.9532313882328121</v>
      </c>
      <c r="L24">
        <v>3.08631334886506</v>
      </c>
      <c r="M24">
        <v>0.79780219780219785</v>
      </c>
      <c r="N24">
        <v>0.72510302197802201</v>
      </c>
      <c r="O24">
        <v>0.83221153846153861</v>
      </c>
      <c r="P24">
        <v>0.43208599057753527</v>
      </c>
      <c r="Q24">
        <v>0.32673273607859021</v>
      </c>
      <c r="R24">
        <v>0.53614049196782043</v>
      </c>
      <c r="S24">
        <v>0.62412155818945581</v>
      </c>
      <c r="T24">
        <v>0.49497716894977167</v>
      </c>
      <c r="U24">
        <v>0.68805836807623577</v>
      </c>
      <c r="V24">
        <v>0.4565880545766694</v>
      </c>
      <c r="W24">
        <v>0.40193548387096778</v>
      </c>
      <c r="X24">
        <v>0.5505602240896359</v>
      </c>
      <c r="Y24">
        <v>0.69230769230769229</v>
      </c>
      <c r="Z24">
        <v>0.51923076923076927</v>
      </c>
      <c r="AA24">
        <v>0.76923076923076927</v>
      </c>
      <c r="AB24">
        <v>0.52946185681148994</v>
      </c>
      <c r="AC24">
        <v>0.5220332220616053</v>
      </c>
      <c r="AD24">
        <v>0.53726653303273353</v>
      </c>
    </row>
    <row r="25" spans="1:30">
      <c r="A25" t="s">
        <v>65</v>
      </c>
      <c r="B25" t="s">
        <v>75</v>
      </c>
      <c r="C25" t="s">
        <v>70</v>
      </c>
      <c r="D25">
        <v>7</v>
      </c>
      <c r="E25">
        <v>5.0724637681159403E-2</v>
      </c>
      <c r="F25">
        <v>5</v>
      </c>
      <c r="G25">
        <v>6.1434211334869301E-2</v>
      </c>
      <c r="H25">
        <v>4.8672051827499903E-2</v>
      </c>
      <c r="I25">
        <v>9.1512695807603295E-2</v>
      </c>
      <c r="J25">
        <v>1.2111315948874251</v>
      </c>
      <c r="K25">
        <v>0.95953473602785644</v>
      </c>
      <c r="L25">
        <v>1.8041074316356089</v>
      </c>
      <c r="M25">
        <v>0.48004362050163568</v>
      </c>
      <c r="N25">
        <v>0.43762268266085058</v>
      </c>
      <c r="O25">
        <v>0.55910577971646669</v>
      </c>
      <c r="P25">
        <v>2.5078508757434701E-2</v>
      </c>
      <c r="Q25">
        <v>-2.4799094682694499E-2</v>
      </c>
      <c r="R25">
        <v>0.13327077598905629</v>
      </c>
      <c r="S25">
        <v>0.2093384956873981</v>
      </c>
      <c r="T25">
        <v>0.16484632969265939</v>
      </c>
      <c r="U25">
        <v>0.26946006749156348</v>
      </c>
      <c r="V25">
        <v>5.3943576748454798E-2</v>
      </c>
      <c r="W25">
        <v>4.6416510318949299E-2</v>
      </c>
      <c r="X25">
        <v>6.8993506493506496E-2</v>
      </c>
      <c r="Y25">
        <v>0.77142857142857146</v>
      </c>
      <c r="Z25">
        <v>0.45714285714285707</v>
      </c>
      <c r="AA25">
        <v>0.98571428571428565</v>
      </c>
      <c r="AB25">
        <v>0.36421019971550411</v>
      </c>
      <c r="AC25">
        <v>0.31232459210915181</v>
      </c>
      <c r="AD25">
        <v>0.42243518158913262</v>
      </c>
    </row>
    <row r="26" spans="1:30">
      <c r="A26" t="s">
        <v>65</v>
      </c>
      <c r="B26" t="s">
        <v>75</v>
      </c>
      <c r="C26" t="s">
        <v>71</v>
      </c>
      <c r="D26">
        <v>9</v>
      </c>
      <c r="E26">
        <v>6.5217391304347797E-2</v>
      </c>
      <c r="F26">
        <v>5</v>
      </c>
      <c r="G26">
        <v>6.3563971111282203E-2</v>
      </c>
      <c r="H26">
        <v>5.7943022289826299E-2</v>
      </c>
      <c r="I26">
        <v>6.9072699657931905E-2</v>
      </c>
      <c r="J26">
        <v>0.97464755703966077</v>
      </c>
      <c r="K26">
        <v>0.88845967511066992</v>
      </c>
      <c r="L26">
        <v>1.05911472808829</v>
      </c>
      <c r="M26">
        <v>0.39655469422911283</v>
      </c>
      <c r="N26">
        <v>0.3579672695951765</v>
      </c>
      <c r="O26">
        <v>0.42592592592592587</v>
      </c>
      <c r="P26">
        <v>-9.5844918359834302E-2</v>
      </c>
      <c r="Q26">
        <v>-0.22535028977596569</v>
      </c>
      <c r="R26">
        <v>-1.67356182279241E-2</v>
      </c>
      <c r="S26">
        <v>0.20641437288842671</v>
      </c>
      <c r="T26">
        <v>0.14239595148765369</v>
      </c>
      <c r="U26">
        <v>0.24693581780538301</v>
      </c>
      <c r="V26">
        <v>5.4391996520226103E-2</v>
      </c>
      <c r="W26">
        <v>3.7685950413223097E-2</v>
      </c>
      <c r="X26">
        <v>6.3740350877192903E-2</v>
      </c>
      <c r="Y26">
        <v>0.68888888888888877</v>
      </c>
      <c r="Z26">
        <v>0.46666666666666662</v>
      </c>
      <c r="AA26">
        <v>0.87777777777777777</v>
      </c>
      <c r="AB26">
        <v>0.3631253069414565</v>
      </c>
      <c r="AC26">
        <v>0.312143641238536</v>
      </c>
      <c r="AD26">
        <v>0.39222829350649407</v>
      </c>
    </row>
    <row r="27" spans="1:30">
      <c r="A27" t="s">
        <v>65</v>
      </c>
      <c r="B27" t="s">
        <v>76</v>
      </c>
      <c r="C27" t="s">
        <v>67</v>
      </c>
      <c r="D27">
        <v>4</v>
      </c>
      <c r="E27">
        <v>2.8985507246376802E-2</v>
      </c>
      <c r="F27">
        <v>5</v>
      </c>
      <c r="G27">
        <v>0.12044458584699309</v>
      </c>
      <c r="H27">
        <v>9.0954803047194305E-2</v>
      </c>
      <c r="I27">
        <v>0.17770443055270879</v>
      </c>
      <c r="J27">
        <v>4.1553382117212632</v>
      </c>
      <c r="K27">
        <v>3.1379407051282051</v>
      </c>
      <c r="L27">
        <v>6.1308028540684569</v>
      </c>
      <c r="M27">
        <v>0.81940298507462683</v>
      </c>
      <c r="N27">
        <v>0.75223880597014925</v>
      </c>
      <c r="O27">
        <v>0.86921641791044779</v>
      </c>
      <c r="P27">
        <v>0.17571796789595651</v>
      </c>
      <c r="Q27">
        <v>6.7556784669491596E-2</v>
      </c>
      <c r="R27">
        <v>0.26047886905686801</v>
      </c>
      <c r="S27">
        <v>0.27719890532756519</v>
      </c>
      <c r="T27">
        <v>0.1527522168311862</v>
      </c>
      <c r="U27">
        <v>0.37238372093023248</v>
      </c>
      <c r="V27">
        <v>8.9593733656634797E-2</v>
      </c>
      <c r="W27">
        <v>3.6675700090334197E-2</v>
      </c>
      <c r="X27">
        <v>0.1236111111111111</v>
      </c>
      <c r="Y27">
        <v>0.7</v>
      </c>
      <c r="Z27">
        <v>0.5</v>
      </c>
      <c r="AA27">
        <v>0.97499999999999998</v>
      </c>
      <c r="AB27">
        <v>5.38420778674812E-2</v>
      </c>
      <c r="AC27">
        <v>9.2779406328939006E-3</v>
      </c>
      <c r="AD27">
        <v>7.5614731116970701E-2</v>
      </c>
    </row>
    <row r="28" spans="1:30">
      <c r="A28" t="s">
        <v>65</v>
      </c>
      <c r="B28" t="s">
        <v>76</v>
      </c>
      <c r="C28" t="s">
        <v>68</v>
      </c>
      <c r="D28">
        <v>20</v>
      </c>
      <c r="E28">
        <v>0.14492753623188401</v>
      </c>
      <c r="F28">
        <v>5</v>
      </c>
      <c r="G28">
        <v>0.28623425548942938</v>
      </c>
      <c r="H28">
        <v>0.22429823348015079</v>
      </c>
      <c r="I28">
        <v>0.34766658414990748</v>
      </c>
      <c r="J28">
        <v>1.9750163628770629</v>
      </c>
      <c r="K28">
        <v>1.547657811013041</v>
      </c>
      <c r="L28">
        <v>2.3988994306343621</v>
      </c>
      <c r="M28">
        <v>0.67466101694915248</v>
      </c>
      <c r="N28">
        <v>0.63046610169491524</v>
      </c>
      <c r="O28">
        <v>0.71826271186440682</v>
      </c>
      <c r="P28">
        <v>0.1211747551495588</v>
      </c>
      <c r="Q28">
        <v>7.3957210696454598E-2</v>
      </c>
      <c r="R28">
        <v>0.16337929412260621</v>
      </c>
      <c r="S28">
        <v>0.30074418753482041</v>
      </c>
      <c r="T28">
        <v>0.2206521739130434</v>
      </c>
      <c r="U28">
        <v>0.44968696125578439</v>
      </c>
      <c r="V28">
        <v>0.24154846883594441</v>
      </c>
      <c r="W28">
        <v>0.1557569296375266</v>
      </c>
      <c r="X28">
        <v>0.32608695652173908</v>
      </c>
      <c r="Y28">
        <v>0.41</v>
      </c>
      <c r="Z28">
        <v>0.20499999999999999</v>
      </c>
      <c r="AA28">
        <v>0.93</v>
      </c>
      <c r="AB28">
        <v>0.38182841552922481</v>
      </c>
      <c r="AC28">
        <v>0.1243981782746032</v>
      </c>
      <c r="AD28">
        <v>0.53593660672607868</v>
      </c>
    </row>
    <row r="29" spans="1:30">
      <c r="A29" t="s">
        <v>65</v>
      </c>
      <c r="B29" t="s">
        <v>76</v>
      </c>
      <c r="C29" t="s">
        <v>69</v>
      </c>
      <c r="D29">
        <v>26</v>
      </c>
      <c r="E29">
        <v>0.1884057971014492</v>
      </c>
      <c r="F29">
        <v>5</v>
      </c>
      <c r="G29">
        <v>0.52780354168787635</v>
      </c>
      <c r="H29">
        <v>0.41056316424368078</v>
      </c>
      <c r="I29">
        <v>0.57513565840848091</v>
      </c>
      <c r="J29">
        <v>2.801418798189498</v>
      </c>
      <c r="K29">
        <v>2.1791429486779981</v>
      </c>
      <c r="L29">
        <v>3.052643110014245</v>
      </c>
      <c r="M29">
        <v>0.87376373626373616</v>
      </c>
      <c r="N29">
        <v>0.82894917582417582</v>
      </c>
      <c r="O29">
        <v>0.89529532967032965</v>
      </c>
      <c r="P29">
        <v>0.52179345594165283</v>
      </c>
      <c r="Q29">
        <v>0.44177441694436331</v>
      </c>
      <c r="R29">
        <v>0.59066756818433108</v>
      </c>
      <c r="S29">
        <v>0.68585333483939048</v>
      </c>
      <c r="T29">
        <v>0.63289183222958056</v>
      </c>
      <c r="U29">
        <v>0.77292221236320613</v>
      </c>
      <c r="V29">
        <v>0.52965428466002606</v>
      </c>
      <c r="W29">
        <v>0.43646709549727858</v>
      </c>
      <c r="X29">
        <v>0.57846299810246682</v>
      </c>
      <c r="Y29">
        <v>0.74615384615384606</v>
      </c>
      <c r="Z29">
        <v>0.65769230769230769</v>
      </c>
      <c r="AA29">
        <v>0.87307692307692308</v>
      </c>
      <c r="AB29">
        <v>0.38189307006649831</v>
      </c>
      <c r="AC29">
        <v>0.29800493289980251</v>
      </c>
      <c r="AD29">
        <v>0.4299809804368242</v>
      </c>
    </row>
    <row r="30" spans="1:30">
      <c r="A30" t="s">
        <v>65</v>
      </c>
      <c r="B30" t="s">
        <v>76</v>
      </c>
      <c r="C30" t="s">
        <v>70</v>
      </c>
      <c r="D30">
        <v>7</v>
      </c>
      <c r="E30">
        <v>5.0724637681159403E-2</v>
      </c>
      <c r="F30">
        <v>5</v>
      </c>
      <c r="G30">
        <v>4.9935633783090599E-2</v>
      </c>
      <c r="H30">
        <v>4.2897795384911598E-2</v>
      </c>
      <c r="I30">
        <v>6.0584729830415199E-2</v>
      </c>
      <c r="J30">
        <v>0.98444535172378722</v>
      </c>
      <c r="K30">
        <v>0.84569939473111477</v>
      </c>
      <c r="L30">
        <v>1.1943846737996151</v>
      </c>
      <c r="M30">
        <v>0.4191930207197383</v>
      </c>
      <c r="N30">
        <v>0.35496183206106868</v>
      </c>
      <c r="O30">
        <v>0.53893129770992365</v>
      </c>
      <c r="P30">
        <v>-5.6884991025723801E-2</v>
      </c>
      <c r="Q30">
        <v>-0.18519789578915771</v>
      </c>
      <c r="R30">
        <v>4.3728804759164498E-2</v>
      </c>
      <c r="S30">
        <v>0.16096673290661589</v>
      </c>
      <c r="T30">
        <v>0.1107589587559161</v>
      </c>
      <c r="U30">
        <v>0.21610576923076921</v>
      </c>
      <c r="V30">
        <v>4.21523427523358E-2</v>
      </c>
      <c r="W30">
        <v>2.83898305084745E-2</v>
      </c>
      <c r="X30">
        <v>5.26453055141579E-2</v>
      </c>
      <c r="Y30">
        <v>0.59999999999999987</v>
      </c>
      <c r="Z30">
        <v>0.3</v>
      </c>
      <c r="AA30">
        <v>0.98571428571428565</v>
      </c>
      <c r="AB30">
        <v>4.69791190285807E-2</v>
      </c>
      <c r="AC30">
        <v>1.8900473910616299E-2</v>
      </c>
      <c r="AD30">
        <v>9.0985760531927695E-2</v>
      </c>
    </row>
    <row r="31" spans="1:30">
      <c r="A31" t="s">
        <v>65</v>
      </c>
      <c r="B31" t="s">
        <v>76</v>
      </c>
      <c r="C31" t="s">
        <v>71</v>
      </c>
      <c r="D31">
        <v>9</v>
      </c>
      <c r="E31">
        <v>6.5217391304347797E-2</v>
      </c>
      <c r="F31">
        <v>5</v>
      </c>
      <c r="G31">
        <v>6.22072168719583E-2</v>
      </c>
      <c r="H31">
        <v>4.9407747675341097E-2</v>
      </c>
      <c r="I31">
        <v>8.5648064502998097E-2</v>
      </c>
      <c r="J31">
        <v>0.95384399203669523</v>
      </c>
      <c r="K31">
        <v>0.75758546435523078</v>
      </c>
      <c r="L31">
        <v>1.313270322379305</v>
      </c>
      <c r="M31">
        <v>0.35297157622739012</v>
      </c>
      <c r="N31">
        <v>0.28363479758828591</v>
      </c>
      <c r="O31">
        <v>0.43040482342807918</v>
      </c>
      <c r="P31">
        <v>-0.12379170199035849</v>
      </c>
      <c r="Q31">
        <v>-0.2378647634930017</v>
      </c>
      <c r="R31">
        <v>-9.2240038037339003E-3</v>
      </c>
      <c r="S31">
        <v>0.17442675725443291</v>
      </c>
      <c r="T31">
        <v>1.84049079754601E-2</v>
      </c>
      <c r="U31">
        <v>0.25436355896126012</v>
      </c>
      <c r="V31">
        <v>4.4540908269618401E-2</v>
      </c>
      <c r="W31">
        <v>4.7244094488188004E-3</v>
      </c>
      <c r="X31">
        <v>6.4251207729468601E-2</v>
      </c>
      <c r="Y31">
        <v>0.64444444444444449</v>
      </c>
      <c r="Z31">
        <v>6.6666666666666596E-2</v>
      </c>
      <c r="AA31">
        <v>0.97777777777777763</v>
      </c>
      <c r="AB31">
        <v>4.7533016370210603E-2</v>
      </c>
      <c r="AC31">
        <v>1.5025236188046199E-2</v>
      </c>
      <c r="AD31">
        <v>0.134063942507472</v>
      </c>
    </row>
    <row r="32" spans="1:30">
      <c r="A32" t="s">
        <v>77</v>
      </c>
      <c r="B32" t="s">
        <v>66</v>
      </c>
      <c r="C32" t="s">
        <v>67</v>
      </c>
      <c r="D32">
        <v>4</v>
      </c>
      <c r="E32">
        <v>2.8571428571428501E-2</v>
      </c>
      <c r="F32">
        <v>5</v>
      </c>
      <c r="G32">
        <v>3.8331116388620003E-2</v>
      </c>
      <c r="H32">
        <v>3.2286029536103898E-2</v>
      </c>
      <c r="I32">
        <v>4.7447103240486503E-2</v>
      </c>
      <c r="J32">
        <v>1.341589073601702</v>
      </c>
      <c r="K32">
        <v>1.130011033763638</v>
      </c>
      <c r="L32">
        <v>1.6606486134170291</v>
      </c>
      <c r="M32">
        <v>0.50882352941176467</v>
      </c>
      <c r="N32">
        <v>0.47922794117647061</v>
      </c>
      <c r="O32">
        <v>0.53639705882352939</v>
      </c>
      <c r="P32">
        <v>5.2663178219193897E-2</v>
      </c>
      <c r="Q32">
        <v>6.8717045900988996E-3</v>
      </c>
      <c r="R32">
        <v>9.0696492584373997E-2</v>
      </c>
      <c r="S32">
        <v>0.14331060386254829</v>
      </c>
      <c r="T32">
        <v>0.12660327288810261</v>
      </c>
      <c r="U32">
        <v>0.15950387596899221</v>
      </c>
      <c r="V32">
        <v>3.2870852297672302E-2</v>
      </c>
      <c r="W32">
        <v>2.9274816722805599E-2</v>
      </c>
      <c r="X32">
        <v>3.6567345944629299E-2</v>
      </c>
      <c r="Y32">
        <v>0.9</v>
      </c>
      <c r="Z32">
        <v>0.75</v>
      </c>
      <c r="AA32">
        <v>1</v>
      </c>
      <c r="AB32">
        <v>6.6320619885907997E-2</v>
      </c>
      <c r="AC32">
        <v>5.1359797486969803E-2</v>
      </c>
      <c r="AD32">
        <v>9.2790299661045697E-2</v>
      </c>
    </row>
    <row r="33" spans="1:30">
      <c r="A33" t="s">
        <v>77</v>
      </c>
      <c r="B33" t="s">
        <v>66</v>
      </c>
      <c r="C33" t="s">
        <v>68</v>
      </c>
      <c r="D33">
        <v>21</v>
      </c>
      <c r="E33">
        <v>0.15</v>
      </c>
      <c r="F33">
        <v>5</v>
      </c>
      <c r="G33">
        <v>0.31191887705475818</v>
      </c>
      <c r="H33">
        <v>0.2747407050862638</v>
      </c>
      <c r="I33">
        <v>0.3645995280144545</v>
      </c>
      <c r="J33">
        <v>2.0794591803650562</v>
      </c>
      <c r="K33">
        <v>1.8316047005750919</v>
      </c>
      <c r="L33">
        <v>2.4306635200963642</v>
      </c>
      <c r="M33">
        <v>0.70708283313325337</v>
      </c>
      <c r="N33">
        <v>0.6272108843537415</v>
      </c>
      <c r="O33">
        <v>0.75118047218887563</v>
      </c>
      <c r="P33">
        <v>0.27910281621559152</v>
      </c>
      <c r="Q33">
        <v>0.1433034213069187</v>
      </c>
      <c r="R33">
        <v>0.39840078720441963</v>
      </c>
      <c r="S33">
        <v>0.55446690072182681</v>
      </c>
      <c r="T33">
        <v>0.46553884711779447</v>
      </c>
      <c r="U33">
        <v>0.64746607587925786</v>
      </c>
      <c r="V33">
        <v>0.26541663793165238</v>
      </c>
      <c r="W33">
        <v>0.19910432033719699</v>
      </c>
      <c r="X33">
        <v>0.32758620689655171</v>
      </c>
      <c r="Y33">
        <v>0.77142857142857146</v>
      </c>
      <c r="Z33">
        <v>0.62857142857142856</v>
      </c>
      <c r="AA33">
        <v>0.9</v>
      </c>
      <c r="AB33">
        <v>0.4380542877094829</v>
      </c>
      <c r="AC33">
        <v>0.3584507619241375</v>
      </c>
      <c r="AD33">
        <v>0.49811361763719941</v>
      </c>
    </row>
    <row r="34" spans="1:30">
      <c r="A34" t="s">
        <v>77</v>
      </c>
      <c r="B34" t="s">
        <v>66</v>
      </c>
      <c r="C34" t="s">
        <v>69</v>
      </c>
      <c r="D34">
        <v>26</v>
      </c>
      <c r="E34">
        <v>0.18571428571428569</v>
      </c>
      <c r="F34">
        <v>5</v>
      </c>
      <c r="G34">
        <v>0.48424082069165519</v>
      </c>
      <c r="H34">
        <v>0.40514549390742299</v>
      </c>
      <c r="I34">
        <v>0.54378001650902219</v>
      </c>
      <c r="J34">
        <v>2.607450572955067</v>
      </c>
      <c r="K34">
        <v>2.181552659501508</v>
      </c>
      <c r="L34">
        <v>2.928046242740888</v>
      </c>
      <c r="M34">
        <v>0.86551956815114706</v>
      </c>
      <c r="N34">
        <v>0.84639001349527665</v>
      </c>
      <c r="O34">
        <v>0.88728070175438589</v>
      </c>
      <c r="P34">
        <v>0.53115680520581032</v>
      </c>
      <c r="Q34">
        <v>0.51909216214992315</v>
      </c>
      <c r="R34">
        <v>0.54416888350844483</v>
      </c>
      <c r="S34">
        <v>0.74376808895736812</v>
      </c>
      <c r="T34">
        <v>0.70523138832997989</v>
      </c>
      <c r="U34">
        <v>0.7713675213675214</v>
      </c>
      <c r="V34">
        <v>0.47034105424769329</v>
      </c>
      <c r="W34">
        <v>0.43237547892720302</v>
      </c>
      <c r="X34">
        <v>0.52252141982864131</v>
      </c>
      <c r="Y34">
        <v>0.87692307692307703</v>
      </c>
      <c r="Z34">
        <v>0.77307692307692311</v>
      </c>
      <c r="AA34">
        <v>0.95769230769230762</v>
      </c>
      <c r="AB34">
        <v>0.51397449495624659</v>
      </c>
      <c r="AC34">
        <v>0.46110706935935297</v>
      </c>
      <c r="AD34">
        <v>0.59524767916076748</v>
      </c>
    </row>
    <row r="35" spans="1:30">
      <c r="A35" t="s">
        <v>77</v>
      </c>
      <c r="B35" t="s">
        <v>66</v>
      </c>
      <c r="C35" t="s">
        <v>70</v>
      </c>
      <c r="D35">
        <v>7</v>
      </c>
      <c r="E35">
        <v>0.05</v>
      </c>
      <c r="F35">
        <v>5</v>
      </c>
      <c r="G35">
        <v>7.5403354869019695E-2</v>
      </c>
      <c r="H35">
        <v>5.0451634129827803E-2</v>
      </c>
      <c r="I35">
        <v>9.8626628980191394E-2</v>
      </c>
      <c r="J35">
        <v>1.5080670973803949</v>
      </c>
      <c r="K35">
        <v>1.0090326825965561</v>
      </c>
      <c r="L35">
        <v>1.9725325796038291</v>
      </c>
      <c r="M35">
        <v>0.55252416756176159</v>
      </c>
      <c r="N35">
        <v>0.46476906552094521</v>
      </c>
      <c r="O35">
        <v>0.63480128893662724</v>
      </c>
      <c r="P35">
        <v>4.0730988296580797E-2</v>
      </c>
      <c r="Q35">
        <v>-1.57800860938518E-2</v>
      </c>
      <c r="R35">
        <v>8.62873169625476E-2</v>
      </c>
      <c r="S35">
        <v>0.20948244212152589</v>
      </c>
      <c r="T35">
        <v>0.17227921498661899</v>
      </c>
      <c r="U35">
        <v>0.24209284028324149</v>
      </c>
      <c r="V35">
        <v>5.6380773692134699E-2</v>
      </c>
      <c r="W35">
        <v>4.8620850864890097E-2</v>
      </c>
      <c r="X35">
        <v>6.4380305602716403E-2</v>
      </c>
      <c r="Y35">
        <v>0.8</v>
      </c>
      <c r="Z35">
        <v>0.3428571428571428</v>
      </c>
      <c r="AA35">
        <v>1</v>
      </c>
      <c r="AB35">
        <v>0.11905366240128699</v>
      </c>
      <c r="AC35">
        <v>4.6943151542434003E-3</v>
      </c>
      <c r="AD35">
        <v>0.3525840087476087</v>
      </c>
    </row>
    <row r="36" spans="1:30">
      <c r="A36" t="s">
        <v>77</v>
      </c>
      <c r="B36" t="s">
        <v>66</v>
      </c>
      <c r="C36" t="s">
        <v>71</v>
      </c>
      <c r="D36">
        <v>9</v>
      </c>
      <c r="E36">
        <v>6.4285714285714196E-2</v>
      </c>
      <c r="F36">
        <v>5</v>
      </c>
      <c r="G36">
        <v>7.6766355781171303E-2</v>
      </c>
      <c r="H36">
        <v>6.4075409388796301E-2</v>
      </c>
      <c r="I36">
        <v>8.7701268686658201E-2</v>
      </c>
      <c r="J36">
        <v>1.1941433121515539</v>
      </c>
      <c r="K36">
        <v>0.9967285904923876</v>
      </c>
      <c r="L36">
        <v>1.3642419573480169</v>
      </c>
      <c r="M36">
        <v>0.51552162849872774</v>
      </c>
      <c r="N36">
        <v>0.44953350296861738</v>
      </c>
      <c r="O36">
        <v>0.58261238337574206</v>
      </c>
      <c r="P36">
        <v>1.15680909692317E-2</v>
      </c>
      <c r="Q36">
        <v>-0.16018923448413891</v>
      </c>
      <c r="R36">
        <v>0.12863034004634849</v>
      </c>
      <c r="S36">
        <v>0.23959393425202111</v>
      </c>
      <c r="T36">
        <v>0.1494964028776978</v>
      </c>
      <c r="U36">
        <v>0.30367921816613969</v>
      </c>
      <c r="V36">
        <v>6.3847335772765801E-2</v>
      </c>
      <c r="W36">
        <v>4.0569433838769403E-2</v>
      </c>
      <c r="X36">
        <v>8.0520142784293702E-2</v>
      </c>
      <c r="Y36">
        <v>0.77777777777777768</v>
      </c>
      <c r="Z36">
        <v>0.45555555555555549</v>
      </c>
      <c r="AA36">
        <v>1</v>
      </c>
      <c r="AB36">
        <v>0.18103226194635549</v>
      </c>
      <c r="AC36">
        <v>2.97276752826818E-2</v>
      </c>
      <c r="AD36">
        <v>0.25910795732943248</v>
      </c>
    </row>
    <row r="37" spans="1:30">
      <c r="A37" t="s">
        <v>77</v>
      </c>
      <c r="B37" t="s">
        <v>72</v>
      </c>
      <c r="C37" t="s">
        <v>67</v>
      </c>
      <c r="D37">
        <v>4</v>
      </c>
      <c r="E37">
        <v>2.8571428571428501E-2</v>
      </c>
      <c r="F37">
        <v>5</v>
      </c>
      <c r="G37">
        <v>4.8920377179727997E-2</v>
      </c>
      <c r="H37">
        <v>3.6038935333469503E-2</v>
      </c>
      <c r="I37">
        <v>7.0965342926698996E-2</v>
      </c>
      <c r="J37">
        <v>1.712213201290482</v>
      </c>
      <c r="K37">
        <v>1.2613627366714351</v>
      </c>
      <c r="L37">
        <v>2.4837870024344681</v>
      </c>
      <c r="M37">
        <v>0.62408088235294124</v>
      </c>
      <c r="N37">
        <v>0.50937499999999991</v>
      </c>
      <c r="O37">
        <v>0.79273897058823528</v>
      </c>
      <c r="P37">
        <v>9.5461362570380903E-2</v>
      </c>
      <c r="Q37">
        <v>-1.91612282513514E-2</v>
      </c>
      <c r="R37">
        <v>0.17702535347450479</v>
      </c>
      <c r="S37">
        <v>0.1727373476608956</v>
      </c>
      <c r="T37">
        <v>8.8538091969800906E-2</v>
      </c>
      <c r="U37">
        <v>0.23912003825920611</v>
      </c>
      <c r="V37">
        <v>4.2065822019505997E-2</v>
      </c>
      <c r="W37">
        <v>2.3411371237458099E-2</v>
      </c>
      <c r="X37">
        <v>5.9196617336152203E-2</v>
      </c>
      <c r="Y37">
        <v>0.8</v>
      </c>
      <c r="Z37">
        <v>0.3</v>
      </c>
      <c r="AA37">
        <v>1</v>
      </c>
      <c r="AB37">
        <v>7.5263046313639004E-2</v>
      </c>
      <c r="AC37">
        <v>1.567677000565695E-20</v>
      </c>
      <c r="AD37">
        <v>0.2760783843405582</v>
      </c>
    </row>
    <row r="38" spans="1:30">
      <c r="A38" t="s">
        <v>77</v>
      </c>
      <c r="B38" t="s">
        <v>72</v>
      </c>
      <c r="C38" t="s">
        <v>68</v>
      </c>
      <c r="D38">
        <v>21</v>
      </c>
      <c r="E38">
        <v>0.15</v>
      </c>
      <c r="F38">
        <v>5</v>
      </c>
      <c r="G38">
        <v>0.31113044960942993</v>
      </c>
      <c r="H38">
        <v>0.2093914261930841</v>
      </c>
      <c r="I38">
        <v>0.42029851080414038</v>
      </c>
      <c r="J38">
        <v>2.0742029973962</v>
      </c>
      <c r="K38">
        <v>1.395942841287227</v>
      </c>
      <c r="L38">
        <v>2.801990072027603</v>
      </c>
      <c r="M38">
        <v>0.69439775910364143</v>
      </c>
      <c r="N38">
        <v>0.62881152460984402</v>
      </c>
      <c r="O38">
        <v>0.73351340536214471</v>
      </c>
      <c r="P38">
        <v>0.2204501566386084</v>
      </c>
      <c r="Q38">
        <v>0.14688590449288549</v>
      </c>
      <c r="R38">
        <v>0.3069151693835257</v>
      </c>
      <c r="S38">
        <v>0.42475530915254511</v>
      </c>
      <c r="T38">
        <v>9.4925909295015695E-2</v>
      </c>
      <c r="U38">
        <v>0.58026399346820279</v>
      </c>
      <c r="V38">
        <v>0.38824254557620719</v>
      </c>
      <c r="W38">
        <v>0.18472501003613001</v>
      </c>
      <c r="X38">
        <v>0.92741935483870963</v>
      </c>
      <c r="Y38">
        <v>0.61904761904761896</v>
      </c>
      <c r="Z38">
        <v>9.5238095238095205E-2</v>
      </c>
      <c r="AA38">
        <v>0.89523809523809528</v>
      </c>
      <c r="AB38">
        <v>0.49828193609813037</v>
      </c>
      <c r="AC38">
        <v>4.1993029946419298E-2</v>
      </c>
      <c r="AD38">
        <v>0.90648781821805635</v>
      </c>
    </row>
    <row r="39" spans="1:30">
      <c r="A39" t="s">
        <v>77</v>
      </c>
      <c r="B39" t="s">
        <v>72</v>
      </c>
      <c r="C39" t="s">
        <v>69</v>
      </c>
      <c r="D39">
        <v>26</v>
      </c>
      <c r="E39">
        <v>0.18571428571428569</v>
      </c>
      <c r="F39">
        <v>5</v>
      </c>
      <c r="G39">
        <v>0.40498547034513149</v>
      </c>
      <c r="H39">
        <v>0.318547460344482</v>
      </c>
      <c r="I39">
        <v>0.51827009766234555</v>
      </c>
      <c r="J39">
        <v>2.1806909941660928</v>
      </c>
      <c r="K39">
        <v>1.7152555557010569</v>
      </c>
      <c r="L39">
        <v>2.7906851412587841</v>
      </c>
      <c r="M39">
        <v>0.82182860998650464</v>
      </c>
      <c r="N39">
        <v>0.74750337381916343</v>
      </c>
      <c r="O39">
        <v>0.88893387314439942</v>
      </c>
      <c r="P39">
        <v>0.4570866815111872</v>
      </c>
      <c r="Q39">
        <v>0.30005934916248062</v>
      </c>
      <c r="R39">
        <v>0.50568275152384756</v>
      </c>
      <c r="S39">
        <v>0.72180246934790326</v>
      </c>
      <c r="T39">
        <v>0.63017129119503146</v>
      </c>
      <c r="U39">
        <v>0.76470588235294112</v>
      </c>
      <c r="V39">
        <v>0.38310064395199078</v>
      </c>
      <c r="W39">
        <v>0.27135270228053732</v>
      </c>
      <c r="X39">
        <v>0.46032258064516129</v>
      </c>
      <c r="Y39">
        <v>0.94615384615384601</v>
      </c>
      <c r="Z39">
        <v>0.82307692307692304</v>
      </c>
      <c r="AA39">
        <v>1</v>
      </c>
      <c r="AB39">
        <v>0.31556687019632329</v>
      </c>
      <c r="AC39">
        <v>2.49471536255189E-2</v>
      </c>
      <c r="AD39">
        <v>0.62235210839048605</v>
      </c>
    </row>
    <row r="40" spans="1:30">
      <c r="A40" t="s">
        <v>77</v>
      </c>
      <c r="B40" t="s">
        <v>72</v>
      </c>
      <c r="C40" t="s">
        <v>70</v>
      </c>
      <c r="D40">
        <v>7</v>
      </c>
      <c r="E40">
        <v>0.05</v>
      </c>
      <c r="F40">
        <v>5</v>
      </c>
      <c r="G40">
        <v>6.9311933881791493E-2</v>
      </c>
      <c r="H40">
        <v>5.4257426169770299E-2</v>
      </c>
      <c r="I40">
        <v>8.7497399904742604E-2</v>
      </c>
      <c r="J40">
        <v>1.3862386776358311</v>
      </c>
      <c r="K40">
        <v>1.0851485233954059</v>
      </c>
      <c r="L40">
        <v>1.749947998094852</v>
      </c>
      <c r="M40">
        <v>0.6032223415682062</v>
      </c>
      <c r="N40">
        <v>0.51358754027926967</v>
      </c>
      <c r="O40">
        <v>0.69087003222341559</v>
      </c>
      <c r="P40">
        <v>9.6090909119169003E-3</v>
      </c>
      <c r="Q40">
        <v>-7.6787905176249199E-2</v>
      </c>
      <c r="R40">
        <v>8.4930635133009302E-2</v>
      </c>
      <c r="S40">
        <v>0.13281915435557809</v>
      </c>
      <c r="T40">
        <v>0</v>
      </c>
      <c r="U40">
        <v>0.23917880794701979</v>
      </c>
      <c r="V40">
        <v>3.42795636312304E-2</v>
      </c>
      <c r="W40">
        <v>0</v>
      </c>
      <c r="X40">
        <v>6.1361160003352601E-2</v>
      </c>
      <c r="Y40">
        <v>0.48571428571428571</v>
      </c>
      <c r="Z40">
        <v>0</v>
      </c>
      <c r="AA40">
        <v>0.98571428571428565</v>
      </c>
      <c r="AB40">
        <v>0.246410479705369</v>
      </c>
      <c r="AC40">
        <v>2.005054195602851E-30</v>
      </c>
      <c r="AD40">
        <v>0.61518708378945175</v>
      </c>
    </row>
    <row r="41" spans="1:30">
      <c r="A41" t="s">
        <v>77</v>
      </c>
      <c r="B41" t="s">
        <v>72</v>
      </c>
      <c r="C41" t="s">
        <v>71</v>
      </c>
      <c r="D41">
        <v>9</v>
      </c>
      <c r="E41">
        <v>6.4285714285714196E-2</v>
      </c>
      <c r="F41">
        <v>5</v>
      </c>
      <c r="G41">
        <v>6.7531353395584498E-2</v>
      </c>
      <c r="H41">
        <v>5.5256180547673901E-2</v>
      </c>
      <c r="I41">
        <v>7.59912988788152E-2</v>
      </c>
      <c r="J41">
        <v>1.05048771948687</v>
      </c>
      <c r="K41">
        <v>0.85954058629715069</v>
      </c>
      <c r="L41">
        <v>1.182086871448238</v>
      </c>
      <c r="M41">
        <v>0.49168787107718409</v>
      </c>
      <c r="N41">
        <v>0.41123833757421541</v>
      </c>
      <c r="O41">
        <v>0.55860899067005942</v>
      </c>
      <c r="P41">
        <v>-3.8786086173473303E-2</v>
      </c>
      <c r="Q41">
        <v>-0.1196690312716908</v>
      </c>
      <c r="R41">
        <v>2.0279883641639799E-2</v>
      </c>
      <c r="S41">
        <v>0.10393114080164439</v>
      </c>
      <c r="T41">
        <v>0</v>
      </c>
      <c r="U41">
        <v>0.24745203836930449</v>
      </c>
      <c r="V41">
        <v>2.9663661581137299E-2</v>
      </c>
      <c r="W41">
        <v>0</v>
      </c>
      <c r="X41">
        <v>6.7117429496070205E-2</v>
      </c>
      <c r="Y41">
        <v>0.28888888888888881</v>
      </c>
      <c r="Z41">
        <v>0</v>
      </c>
      <c r="AA41">
        <v>0.75555555555555554</v>
      </c>
      <c r="AB41">
        <v>0.4283231679509501</v>
      </c>
      <c r="AC41">
        <v>4.0627109274111729E-7</v>
      </c>
      <c r="AD41">
        <v>0.91878777668284439</v>
      </c>
    </row>
    <row r="42" spans="1:30">
      <c r="A42" t="s">
        <v>77</v>
      </c>
      <c r="B42" t="s">
        <v>73</v>
      </c>
      <c r="C42" t="s">
        <v>67</v>
      </c>
      <c r="D42">
        <v>4</v>
      </c>
      <c r="E42">
        <v>2.8571428571428501E-2</v>
      </c>
      <c r="F42">
        <v>5</v>
      </c>
      <c r="G42">
        <v>6.8876450565475006E-2</v>
      </c>
      <c r="H42">
        <v>5.2419642822477498E-2</v>
      </c>
      <c r="I42">
        <v>9.3610096236870999E-2</v>
      </c>
      <c r="J42">
        <v>2.4106757697916268</v>
      </c>
      <c r="K42">
        <v>1.8346874987867161</v>
      </c>
      <c r="L42">
        <v>3.2763533682904882</v>
      </c>
      <c r="M42">
        <v>0.7279411764705882</v>
      </c>
      <c r="N42">
        <v>0.68124999999999991</v>
      </c>
      <c r="O42">
        <v>0.77665441176470584</v>
      </c>
      <c r="P42">
        <v>5.1701860594590997E-2</v>
      </c>
      <c r="Q42">
        <v>-6.0004869093582498E-2</v>
      </c>
      <c r="R42">
        <v>0.1395314928320536</v>
      </c>
      <c r="S42">
        <v>0.13503094547097999</v>
      </c>
      <c r="T42">
        <v>8.1967213114753999E-3</v>
      </c>
      <c r="U42">
        <v>0.22359307359307359</v>
      </c>
      <c r="V42">
        <v>3.51893060503638E-2</v>
      </c>
      <c r="W42">
        <v>2.2222222222222001E-3</v>
      </c>
      <c r="X42">
        <v>5.8878048780487802E-2</v>
      </c>
      <c r="Y42">
        <v>0.5</v>
      </c>
      <c r="Z42">
        <v>2.5000000000000001E-2</v>
      </c>
      <c r="AA42">
        <v>0.97499999999999998</v>
      </c>
      <c r="AB42">
        <v>6.9360005266281097E-2</v>
      </c>
      <c r="AC42">
        <v>4.4290006596678999E-3</v>
      </c>
      <c r="AD42">
        <v>0.2234991853324762</v>
      </c>
    </row>
    <row r="43" spans="1:30">
      <c r="A43" t="s">
        <v>77</v>
      </c>
      <c r="B43" t="s">
        <v>73</v>
      </c>
      <c r="C43" t="s">
        <v>68</v>
      </c>
      <c r="D43">
        <v>21</v>
      </c>
      <c r="E43">
        <v>0.15</v>
      </c>
      <c r="F43">
        <v>5</v>
      </c>
      <c r="G43">
        <v>0.35132293610952681</v>
      </c>
      <c r="H43">
        <v>0.32015020858844251</v>
      </c>
      <c r="I43">
        <v>0.4050328565125354</v>
      </c>
      <c r="J43">
        <v>2.3421529073968461</v>
      </c>
      <c r="K43">
        <v>2.13433472392295</v>
      </c>
      <c r="L43">
        <v>2.7002190434169031</v>
      </c>
      <c r="M43">
        <v>0.76278511404561822</v>
      </c>
      <c r="N43">
        <v>0.74045618247298917</v>
      </c>
      <c r="O43">
        <v>0.78631452581032413</v>
      </c>
      <c r="P43">
        <v>0.28248574107230762</v>
      </c>
      <c r="Q43">
        <v>0.20362688784266039</v>
      </c>
      <c r="R43">
        <v>0.36710514237378111</v>
      </c>
      <c r="S43">
        <v>0.50416698271908533</v>
      </c>
      <c r="T43">
        <v>0.39658547194432359</v>
      </c>
      <c r="U43">
        <v>0.61721768999570636</v>
      </c>
      <c r="V43">
        <v>0.29895033906518731</v>
      </c>
      <c r="W43">
        <v>0.26180963572267918</v>
      </c>
      <c r="X43">
        <v>0.3406469002695417</v>
      </c>
      <c r="Y43">
        <v>0.62857142857142856</v>
      </c>
      <c r="Z43">
        <v>0.43333333333333329</v>
      </c>
      <c r="AA43">
        <v>0.85238095238095235</v>
      </c>
      <c r="AB43">
        <v>0.43936286492907828</v>
      </c>
      <c r="AC43">
        <v>0.13394023147772</v>
      </c>
      <c r="AD43">
        <v>0.61432281145378576</v>
      </c>
    </row>
    <row r="44" spans="1:30">
      <c r="A44" t="s">
        <v>77</v>
      </c>
      <c r="B44" t="s">
        <v>73</v>
      </c>
      <c r="C44" t="s">
        <v>69</v>
      </c>
      <c r="D44">
        <v>26</v>
      </c>
      <c r="E44">
        <v>0.18571428571428569</v>
      </c>
      <c r="F44">
        <v>5</v>
      </c>
      <c r="G44">
        <v>0.60006945199005235</v>
      </c>
      <c r="H44">
        <v>0.49923360395421013</v>
      </c>
      <c r="I44">
        <v>0.67098104604876374</v>
      </c>
      <c r="J44">
        <v>3.2311432030233589</v>
      </c>
      <c r="K44">
        <v>2.688180944368824</v>
      </c>
      <c r="L44">
        <v>3.6129748633394971</v>
      </c>
      <c r="M44">
        <v>0.90634278002699065</v>
      </c>
      <c r="N44">
        <v>0.88778677462887989</v>
      </c>
      <c r="O44">
        <v>0.92098515519568158</v>
      </c>
      <c r="P44">
        <v>0.64317580576372624</v>
      </c>
      <c r="Q44">
        <v>0.61925023886709285</v>
      </c>
      <c r="R44">
        <v>0.66921678372853421</v>
      </c>
      <c r="S44">
        <v>0.80882127846895169</v>
      </c>
      <c r="T44">
        <v>0.77760267901112967</v>
      </c>
      <c r="U44">
        <v>0.83163265306122447</v>
      </c>
      <c r="V44">
        <v>0.57838607510790996</v>
      </c>
      <c r="W44">
        <v>0.5449443882709808</v>
      </c>
      <c r="X44">
        <v>0.61843381843381839</v>
      </c>
      <c r="Y44">
        <v>0.9</v>
      </c>
      <c r="Z44">
        <v>0.85</v>
      </c>
      <c r="AA44">
        <v>0.95769230769230762</v>
      </c>
      <c r="AB44">
        <v>0.59253386497437754</v>
      </c>
      <c r="AC44">
        <v>0.41012215572655553</v>
      </c>
      <c r="AD44">
        <v>0.73807420768989407</v>
      </c>
    </row>
    <row r="45" spans="1:30">
      <c r="A45" t="s">
        <v>77</v>
      </c>
      <c r="B45" t="s">
        <v>73</v>
      </c>
      <c r="C45" t="s">
        <v>70</v>
      </c>
      <c r="D45">
        <v>7</v>
      </c>
      <c r="E45">
        <v>0.05</v>
      </c>
      <c r="F45">
        <v>5</v>
      </c>
      <c r="G45">
        <v>7.9542315874862504E-2</v>
      </c>
      <c r="H45">
        <v>6.7124007720074194E-2</v>
      </c>
      <c r="I45">
        <v>9.8953529304833698E-2</v>
      </c>
      <c r="J45">
        <v>1.5908463174972509</v>
      </c>
      <c r="K45">
        <v>1.342480154401485</v>
      </c>
      <c r="L45">
        <v>1.979070586096674</v>
      </c>
      <c r="M45">
        <v>0.60085929108485503</v>
      </c>
      <c r="N45">
        <v>0.54758324382384549</v>
      </c>
      <c r="O45">
        <v>0.6506981740064447</v>
      </c>
      <c r="P45">
        <v>6.6668166107890003E-2</v>
      </c>
      <c r="Q45">
        <v>-3.6030114594021903E-2</v>
      </c>
      <c r="R45">
        <v>0.17849707981552079</v>
      </c>
      <c r="S45">
        <v>0.21831176745636799</v>
      </c>
      <c r="T45">
        <v>9.4253490870032194E-2</v>
      </c>
      <c r="U45">
        <v>0.32125603864734298</v>
      </c>
      <c r="V45">
        <v>6.7494138100026205E-2</v>
      </c>
      <c r="W45">
        <v>3.5320197044334901E-2</v>
      </c>
      <c r="X45">
        <v>9.3465909090909002E-2</v>
      </c>
      <c r="Y45">
        <v>0.51428571428571423</v>
      </c>
      <c r="Z45">
        <v>0.1714285714285714</v>
      </c>
      <c r="AA45">
        <v>0.82857142857142851</v>
      </c>
      <c r="AB45">
        <v>0.1761660705260446</v>
      </c>
      <c r="AC45">
        <v>9.6754303636001196E-2</v>
      </c>
      <c r="AD45">
        <v>0.29924251977702498</v>
      </c>
    </row>
    <row r="46" spans="1:30">
      <c r="A46" t="s">
        <v>77</v>
      </c>
      <c r="B46" t="s">
        <v>73</v>
      </c>
      <c r="C46" t="s">
        <v>71</v>
      </c>
      <c r="D46">
        <v>9</v>
      </c>
      <c r="E46">
        <v>6.4285714285714196E-2</v>
      </c>
      <c r="F46">
        <v>5</v>
      </c>
      <c r="G46">
        <v>7.9371599382373897E-2</v>
      </c>
      <c r="H46">
        <v>6.59360487644952E-2</v>
      </c>
      <c r="I46">
        <v>0.1142832323042353</v>
      </c>
      <c r="J46">
        <v>1.2346693237258171</v>
      </c>
      <c r="K46">
        <v>1.025671869669925</v>
      </c>
      <c r="L46">
        <v>1.777739169176995</v>
      </c>
      <c r="M46">
        <v>0.50754877014418998</v>
      </c>
      <c r="N46">
        <v>0.45131467345207799</v>
      </c>
      <c r="O46">
        <v>0.57031382527565733</v>
      </c>
      <c r="P46">
        <v>2.00371169107952E-2</v>
      </c>
      <c r="Q46">
        <v>-3.11266413984852E-2</v>
      </c>
      <c r="R46">
        <v>5.9848683497759098E-2</v>
      </c>
      <c r="S46">
        <v>0.22108976817494649</v>
      </c>
      <c r="T46">
        <v>0.15476588628762539</v>
      </c>
      <c r="U46">
        <v>0.27004811547714508</v>
      </c>
      <c r="V46">
        <v>6.5648109125160906E-2</v>
      </c>
      <c r="W46">
        <v>5.4736024844720399E-2</v>
      </c>
      <c r="X46">
        <v>7.4638487208008905E-2</v>
      </c>
      <c r="Y46">
        <v>0.66666666666666674</v>
      </c>
      <c r="Z46">
        <v>0.23333333333333331</v>
      </c>
      <c r="AA46">
        <v>1</v>
      </c>
      <c r="AB46">
        <v>0.1046616372898473</v>
      </c>
      <c r="AC46">
        <v>1.1996927035002999E-3</v>
      </c>
      <c r="AD46">
        <v>0.249970391517608</v>
      </c>
    </row>
    <row r="47" spans="1:30">
      <c r="A47" t="s">
        <v>77</v>
      </c>
      <c r="B47" t="s">
        <v>74</v>
      </c>
      <c r="C47" t="s">
        <v>67</v>
      </c>
      <c r="D47">
        <v>4</v>
      </c>
      <c r="E47">
        <v>2.8571428571428501E-2</v>
      </c>
      <c r="F47">
        <v>5</v>
      </c>
      <c r="G47">
        <v>6.9875653866846799E-2</v>
      </c>
      <c r="H47">
        <v>5.71504060842618E-2</v>
      </c>
      <c r="I47">
        <v>9.3772706406977505E-2</v>
      </c>
      <c r="J47">
        <v>2.4456478853396399</v>
      </c>
      <c r="K47">
        <v>2.0002642129491641</v>
      </c>
      <c r="L47">
        <v>3.282044724244213</v>
      </c>
      <c r="M47">
        <v>0.68933823529411753</v>
      </c>
      <c r="N47">
        <v>0.66433823529411762</v>
      </c>
      <c r="O47">
        <v>0.72297794117647052</v>
      </c>
      <c r="P47">
        <v>4.2862147667648502E-2</v>
      </c>
      <c r="Q47">
        <v>-4.1627003037553997E-2</v>
      </c>
      <c r="R47">
        <v>0.12564860286944751</v>
      </c>
      <c r="S47">
        <v>0.1032663684532843</v>
      </c>
      <c r="T47">
        <v>0</v>
      </c>
      <c r="U47">
        <v>0.18674281758393901</v>
      </c>
      <c r="V47">
        <v>2.4305042783303601E-2</v>
      </c>
      <c r="W47">
        <v>0</v>
      </c>
      <c r="X47">
        <v>4.3908265647396E-2</v>
      </c>
      <c r="Y47">
        <v>0.55000000000000004</v>
      </c>
      <c r="Z47">
        <v>0</v>
      </c>
      <c r="AA47">
        <v>1</v>
      </c>
      <c r="AB47">
        <v>0.12519333374820379</v>
      </c>
      <c r="AC47">
        <v>5.9164897556879996E-3</v>
      </c>
      <c r="AD47">
        <v>0.32102116023116362</v>
      </c>
    </row>
    <row r="48" spans="1:30">
      <c r="A48" t="s">
        <v>77</v>
      </c>
      <c r="B48" t="s">
        <v>74</v>
      </c>
      <c r="C48" t="s">
        <v>68</v>
      </c>
      <c r="D48">
        <v>21</v>
      </c>
      <c r="E48">
        <v>0.15</v>
      </c>
      <c r="F48">
        <v>5</v>
      </c>
      <c r="G48">
        <v>0.47584101060724759</v>
      </c>
      <c r="H48">
        <v>0.44021109586557677</v>
      </c>
      <c r="I48">
        <v>0.55104298218568126</v>
      </c>
      <c r="J48">
        <v>3.172273404048318</v>
      </c>
      <c r="K48">
        <v>2.9347406391038451</v>
      </c>
      <c r="L48">
        <v>3.673619881237876</v>
      </c>
      <c r="M48">
        <v>0.76814725890356139</v>
      </c>
      <c r="N48">
        <v>0.73549419767907154</v>
      </c>
      <c r="O48">
        <v>0.81056422569027609</v>
      </c>
      <c r="P48">
        <v>0.38840434597082718</v>
      </c>
      <c r="Q48">
        <v>0.31281489649005401</v>
      </c>
      <c r="R48">
        <v>0.4650376074629804</v>
      </c>
      <c r="S48">
        <v>0.63331895857130172</v>
      </c>
      <c r="T48">
        <v>0.58478341355053687</v>
      </c>
      <c r="U48">
        <v>0.67648287385129491</v>
      </c>
      <c r="V48">
        <v>0.3308950937695177</v>
      </c>
      <c r="W48">
        <v>0.2748991935483871</v>
      </c>
      <c r="X48">
        <v>0.40102040816326529</v>
      </c>
      <c r="Y48">
        <v>0.82857142857142851</v>
      </c>
      <c r="Z48">
        <v>0.80952380952380953</v>
      </c>
      <c r="AA48">
        <v>0.8571428571428571</v>
      </c>
      <c r="AB48">
        <v>0.25676739311397972</v>
      </c>
      <c r="AC48">
        <v>0.1899071113443255</v>
      </c>
      <c r="AD48">
        <v>0.36160083858960829</v>
      </c>
    </row>
    <row r="49" spans="1:30">
      <c r="A49" t="s">
        <v>77</v>
      </c>
      <c r="B49" t="s">
        <v>74</v>
      </c>
      <c r="C49" t="s">
        <v>69</v>
      </c>
      <c r="D49">
        <v>26</v>
      </c>
      <c r="E49">
        <v>0.18571428571428569</v>
      </c>
      <c r="F49">
        <v>5</v>
      </c>
      <c r="G49">
        <v>0.61876914690630636</v>
      </c>
      <c r="H49">
        <v>0.56724248223864948</v>
      </c>
      <c r="I49">
        <v>0.65962790396421045</v>
      </c>
      <c r="J49">
        <v>3.3318338679570338</v>
      </c>
      <c r="K49">
        <v>3.054382596669651</v>
      </c>
      <c r="L49">
        <v>3.5518425598072869</v>
      </c>
      <c r="M49">
        <v>0.90721997300944657</v>
      </c>
      <c r="N49">
        <v>0.88417678812415657</v>
      </c>
      <c r="O49">
        <v>0.93235492577597845</v>
      </c>
      <c r="P49">
        <v>0.62902554472116723</v>
      </c>
      <c r="Q49">
        <v>0.59067043249942675</v>
      </c>
      <c r="R49">
        <v>0.65899753340490286</v>
      </c>
      <c r="S49">
        <v>0.80607233729154903</v>
      </c>
      <c r="T49">
        <v>0.77918543543543539</v>
      </c>
      <c r="U49">
        <v>0.82646023926812107</v>
      </c>
      <c r="V49">
        <v>0.55733744134481511</v>
      </c>
      <c r="W49">
        <v>0.52500000000000002</v>
      </c>
      <c r="X49">
        <v>0.58432926829268284</v>
      </c>
      <c r="Y49">
        <v>0.90769230769230758</v>
      </c>
      <c r="Z49">
        <v>0.88461538461538458</v>
      </c>
      <c r="AA49">
        <v>0.92307692307692324</v>
      </c>
      <c r="AB49">
        <v>0.42950884557848612</v>
      </c>
      <c r="AC49">
        <v>0.41556685187648879</v>
      </c>
      <c r="AD49">
        <v>0.44032539392655828</v>
      </c>
    </row>
    <row r="50" spans="1:30">
      <c r="A50" t="s">
        <v>77</v>
      </c>
      <c r="B50" t="s">
        <v>74</v>
      </c>
      <c r="C50" t="s">
        <v>70</v>
      </c>
      <c r="D50">
        <v>7</v>
      </c>
      <c r="E50">
        <v>0.05</v>
      </c>
      <c r="F50">
        <v>5</v>
      </c>
      <c r="G50">
        <v>8.8594287694729407E-2</v>
      </c>
      <c r="H50">
        <v>6.9678581199429906E-2</v>
      </c>
      <c r="I50">
        <v>0.1079900683771305</v>
      </c>
      <c r="J50">
        <v>1.7718857538945889</v>
      </c>
      <c r="K50">
        <v>1.3935716239885989</v>
      </c>
      <c r="L50">
        <v>2.15980136754261</v>
      </c>
      <c r="M50">
        <v>0.55725026852846393</v>
      </c>
      <c r="N50">
        <v>0.51310418904403865</v>
      </c>
      <c r="O50">
        <v>0.61450053705692798</v>
      </c>
      <c r="P50">
        <v>7.1717164219125704E-2</v>
      </c>
      <c r="Q50">
        <v>1.29859388479959E-2</v>
      </c>
      <c r="R50">
        <v>0.13798905252244609</v>
      </c>
      <c r="S50">
        <v>0.2231909469840504</v>
      </c>
      <c r="T50">
        <v>0.2012121212121212</v>
      </c>
      <c r="U50">
        <v>0.2410509031198686</v>
      </c>
      <c r="V50">
        <v>7.2002996989945695E-2</v>
      </c>
      <c r="W50">
        <v>5.1140040635111697E-2</v>
      </c>
      <c r="X50">
        <v>0.13455433455433449</v>
      </c>
      <c r="Y50">
        <v>0.8</v>
      </c>
      <c r="Z50">
        <v>0.32857142857142851</v>
      </c>
      <c r="AA50">
        <v>1</v>
      </c>
      <c r="AB50">
        <v>5.2683051583498099E-2</v>
      </c>
      <c r="AC50">
        <v>4.9008617286918679E-5</v>
      </c>
      <c r="AD50">
        <v>0.2324393563521138</v>
      </c>
    </row>
    <row r="51" spans="1:30">
      <c r="A51" t="s">
        <v>77</v>
      </c>
      <c r="B51" t="s">
        <v>74</v>
      </c>
      <c r="C51" t="s">
        <v>71</v>
      </c>
      <c r="D51">
        <v>9</v>
      </c>
      <c r="E51">
        <v>6.4285714285714196E-2</v>
      </c>
      <c r="F51">
        <v>5</v>
      </c>
      <c r="G51">
        <v>0.1186329740095237</v>
      </c>
      <c r="H51">
        <v>8.90941377200382E-2</v>
      </c>
      <c r="I51">
        <v>0.14688225469982791</v>
      </c>
      <c r="J51">
        <v>1.8454018179259239</v>
      </c>
      <c r="K51">
        <v>1.3859088089783731</v>
      </c>
      <c r="L51">
        <v>2.2848350731084341</v>
      </c>
      <c r="M51">
        <v>0.59202714164546211</v>
      </c>
      <c r="N51">
        <v>0.52748091603053437</v>
      </c>
      <c r="O51">
        <v>0.65122985581000847</v>
      </c>
      <c r="P51">
        <v>5.4929963703076103E-2</v>
      </c>
      <c r="Q51">
        <v>-3.92348100564388E-2</v>
      </c>
      <c r="R51">
        <v>0.1232209131598738</v>
      </c>
      <c r="S51">
        <v>0.1791182501708817</v>
      </c>
      <c r="T51">
        <v>1.13636363636363E-2</v>
      </c>
      <c r="U51">
        <v>0.2857142857142857</v>
      </c>
      <c r="V51">
        <v>8.5618145563310002E-2</v>
      </c>
      <c r="W51">
        <v>6.7796610169491003E-3</v>
      </c>
      <c r="X51">
        <v>0.1242647058823529</v>
      </c>
      <c r="Y51">
        <v>0.28888888888888881</v>
      </c>
      <c r="Z51">
        <v>1.1111111111111099E-2</v>
      </c>
      <c r="AA51">
        <v>0.44444444444444442</v>
      </c>
      <c r="AB51">
        <v>0.2303287044979222</v>
      </c>
      <c r="AC51">
        <v>5.53206638615934E-2</v>
      </c>
      <c r="AD51">
        <v>0.4425422032986161</v>
      </c>
    </row>
    <row r="52" spans="1:30">
      <c r="A52" t="s">
        <v>77</v>
      </c>
      <c r="B52" t="s">
        <v>75</v>
      </c>
      <c r="C52" t="s">
        <v>67</v>
      </c>
      <c r="D52">
        <v>4</v>
      </c>
      <c r="E52">
        <v>2.8571428571428501E-2</v>
      </c>
      <c r="F52">
        <v>5</v>
      </c>
      <c r="G52">
        <v>5.6156657779508998E-2</v>
      </c>
      <c r="H52">
        <v>2.5120388040224401E-2</v>
      </c>
      <c r="I52">
        <v>0.103011073890366</v>
      </c>
      <c r="J52">
        <v>1.9654830222828179</v>
      </c>
      <c r="K52">
        <v>0.87921358140785455</v>
      </c>
      <c r="L52">
        <v>3.605387586162812</v>
      </c>
      <c r="M52">
        <v>0.50183823529411753</v>
      </c>
      <c r="N52">
        <v>0.31194852941176471</v>
      </c>
      <c r="O52">
        <v>0.71727941176470578</v>
      </c>
      <c r="P52">
        <v>1.35488322756165E-2</v>
      </c>
      <c r="Q52">
        <v>-3.9490733367933697E-2</v>
      </c>
      <c r="R52">
        <v>5.7540836237520702E-2</v>
      </c>
      <c r="S52">
        <v>0.1070655361808777</v>
      </c>
      <c r="T52">
        <v>1.1904761904761901E-2</v>
      </c>
      <c r="U52">
        <v>0.14275582573454909</v>
      </c>
      <c r="V52">
        <v>2.5262785154919899E-2</v>
      </c>
      <c r="W52">
        <v>2.7272727272727002E-3</v>
      </c>
      <c r="X52">
        <v>3.3670411985018703E-2</v>
      </c>
      <c r="Y52">
        <v>0.6</v>
      </c>
      <c r="Z52">
        <v>0.05</v>
      </c>
      <c r="AA52">
        <v>0.97499999999999998</v>
      </c>
      <c r="AB52">
        <v>0.39315897499975849</v>
      </c>
      <c r="AC52">
        <v>0.28768484461397381</v>
      </c>
      <c r="AD52">
        <v>0.4693534812570816</v>
      </c>
    </row>
    <row r="53" spans="1:30">
      <c r="A53" t="s">
        <v>77</v>
      </c>
      <c r="B53" t="s">
        <v>75</v>
      </c>
      <c r="C53" t="s">
        <v>68</v>
      </c>
      <c r="D53">
        <v>21</v>
      </c>
      <c r="E53">
        <v>0.15</v>
      </c>
      <c r="F53">
        <v>5</v>
      </c>
      <c r="G53">
        <v>0.45350099421758938</v>
      </c>
      <c r="H53">
        <v>0.35637128957961139</v>
      </c>
      <c r="I53">
        <v>0.58047594940030134</v>
      </c>
      <c r="J53">
        <v>3.023339961450596</v>
      </c>
      <c r="K53">
        <v>2.3758085971974099</v>
      </c>
      <c r="L53">
        <v>3.8698396626686749</v>
      </c>
      <c r="M53">
        <v>0.74245698279311723</v>
      </c>
      <c r="N53">
        <v>0.703641456582633</v>
      </c>
      <c r="O53">
        <v>0.80676270508203285</v>
      </c>
      <c r="P53">
        <v>0.3190742897085771</v>
      </c>
      <c r="Q53">
        <v>0.280046025406407</v>
      </c>
      <c r="R53">
        <v>0.37713995675721768</v>
      </c>
      <c r="S53">
        <v>0.37919545680014199</v>
      </c>
      <c r="T53">
        <v>0.18433692596063719</v>
      </c>
      <c r="U53">
        <v>0.54732257866650313</v>
      </c>
      <c r="V53">
        <v>0.50653051351164557</v>
      </c>
      <c r="W53">
        <v>0.29185983827493261</v>
      </c>
      <c r="X53">
        <v>0.7416666666666667</v>
      </c>
      <c r="Y53">
        <v>0.40952380952380951</v>
      </c>
      <c r="Z53">
        <v>0.15714285714285711</v>
      </c>
      <c r="AA53">
        <v>0.70476190476190481</v>
      </c>
      <c r="AB53">
        <v>0.65966897919309797</v>
      </c>
      <c r="AC53">
        <v>0.59965886332221974</v>
      </c>
      <c r="AD53">
        <v>0.71302788334036582</v>
      </c>
    </row>
    <row r="54" spans="1:30">
      <c r="A54" t="s">
        <v>77</v>
      </c>
      <c r="B54" t="s">
        <v>75</v>
      </c>
      <c r="C54" t="s">
        <v>69</v>
      </c>
      <c r="D54">
        <v>26</v>
      </c>
      <c r="E54">
        <v>0.18571428571428569</v>
      </c>
      <c r="F54">
        <v>5</v>
      </c>
      <c r="G54">
        <v>0.48643249681963568</v>
      </c>
      <c r="H54">
        <v>0.39919790334194449</v>
      </c>
      <c r="I54">
        <v>0.59503078030484136</v>
      </c>
      <c r="J54">
        <v>2.619251905951884</v>
      </c>
      <c r="K54">
        <v>2.149527171841239</v>
      </c>
      <c r="L54">
        <v>3.2040118939491449</v>
      </c>
      <c r="M54">
        <v>0.85512820512820509</v>
      </c>
      <c r="N54">
        <v>0.82533738191632933</v>
      </c>
      <c r="O54">
        <v>0.88488529014844797</v>
      </c>
      <c r="P54">
        <v>0.4951699558212404</v>
      </c>
      <c r="Q54">
        <v>0.38995765320561621</v>
      </c>
      <c r="R54">
        <v>0.56395971682910029</v>
      </c>
      <c r="S54">
        <v>0.70959056916967578</v>
      </c>
      <c r="T54">
        <v>0.58017472171340012</v>
      </c>
      <c r="U54">
        <v>0.78818425685304716</v>
      </c>
      <c r="V54">
        <v>0.45310557446245919</v>
      </c>
      <c r="W54">
        <v>0.43258541560428349</v>
      </c>
      <c r="X54">
        <v>0.48672182821118992</v>
      </c>
      <c r="Y54">
        <v>0.8307692307692307</v>
      </c>
      <c r="Z54">
        <v>0.63461538461538469</v>
      </c>
      <c r="AA54">
        <v>0.95384615384615401</v>
      </c>
      <c r="AB54">
        <v>0.58852783253803931</v>
      </c>
      <c r="AC54">
        <v>0.56709471947673584</v>
      </c>
      <c r="AD54">
        <v>0.62184044162322538</v>
      </c>
    </row>
    <row r="55" spans="1:30">
      <c r="A55" t="s">
        <v>77</v>
      </c>
      <c r="B55" t="s">
        <v>75</v>
      </c>
      <c r="C55" t="s">
        <v>70</v>
      </c>
      <c r="D55">
        <v>7</v>
      </c>
      <c r="E55">
        <v>0.05</v>
      </c>
      <c r="F55">
        <v>5</v>
      </c>
      <c r="G55">
        <v>7.3498535637566406E-2</v>
      </c>
      <c r="H55">
        <v>5.0384612458231899E-2</v>
      </c>
      <c r="I55">
        <v>0.1135904131973242</v>
      </c>
      <c r="J55">
        <v>1.469970712751328</v>
      </c>
      <c r="K55">
        <v>1.0076922491646381</v>
      </c>
      <c r="L55">
        <v>2.2718082639464838</v>
      </c>
      <c r="M55">
        <v>0.43093447905477977</v>
      </c>
      <c r="N55">
        <v>0.29527389903329759</v>
      </c>
      <c r="O55">
        <v>0.52685284640171859</v>
      </c>
      <c r="P55">
        <v>-1.6466880673519601E-2</v>
      </c>
      <c r="Q55">
        <v>-0.10601464173776549</v>
      </c>
      <c r="R55">
        <v>6.4556941702491002E-2</v>
      </c>
      <c r="S55">
        <v>0.16164551239401539</v>
      </c>
      <c r="T55">
        <v>9.9038461538461506E-2</v>
      </c>
      <c r="U55">
        <v>0.20785352372178709</v>
      </c>
      <c r="V55">
        <v>5.1719474018947803E-2</v>
      </c>
      <c r="W55">
        <v>3.87820512820512E-2</v>
      </c>
      <c r="X55">
        <v>8.0035971223021501E-2</v>
      </c>
      <c r="Y55">
        <v>0.51428571428571423</v>
      </c>
      <c r="Z55">
        <v>0.15714285714285711</v>
      </c>
      <c r="AA55">
        <v>0.98571428571428565</v>
      </c>
      <c r="AB55">
        <v>0.4612063045417843</v>
      </c>
      <c r="AC55">
        <v>0.2898200710907054</v>
      </c>
      <c r="AD55">
        <v>0.58325510538313252</v>
      </c>
    </row>
    <row r="56" spans="1:30">
      <c r="A56" t="s">
        <v>77</v>
      </c>
      <c r="B56" t="s">
        <v>75</v>
      </c>
      <c r="C56" t="s">
        <v>71</v>
      </c>
      <c r="D56">
        <v>9</v>
      </c>
      <c r="E56">
        <v>6.4285714285714196E-2</v>
      </c>
      <c r="F56">
        <v>5</v>
      </c>
      <c r="G56">
        <v>8.4388010054681301E-2</v>
      </c>
      <c r="H56">
        <v>6.5008351689218105E-2</v>
      </c>
      <c r="I56">
        <v>0.100409673686989</v>
      </c>
      <c r="J56">
        <v>1.3127023786283769</v>
      </c>
      <c r="K56">
        <v>1.0112410262767271</v>
      </c>
      <c r="L56">
        <v>1.561928257353163</v>
      </c>
      <c r="M56">
        <v>0.53095843935538589</v>
      </c>
      <c r="N56">
        <v>0.46191687871077181</v>
      </c>
      <c r="O56">
        <v>0.60229007633587772</v>
      </c>
      <c r="P56">
        <v>5.9160097433322102E-2</v>
      </c>
      <c r="Q56">
        <v>-1.06114876037304E-2</v>
      </c>
      <c r="R56">
        <v>8.7370405666103795E-2</v>
      </c>
      <c r="S56">
        <v>0.2353847755909611</v>
      </c>
      <c r="T56">
        <v>0.1075913776944704</v>
      </c>
      <c r="U56">
        <v>0.27777777777777779</v>
      </c>
      <c r="V56">
        <v>6.9444675355946006E-2</v>
      </c>
      <c r="W56">
        <v>5.4345165238678002E-2</v>
      </c>
      <c r="X56">
        <v>8.0913348946135805E-2</v>
      </c>
      <c r="Y56">
        <v>0.73333333333333339</v>
      </c>
      <c r="Z56">
        <v>0.1555555555555555</v>
      </c>
      <c r="AA56">
        <v>1</v>
      </c>
      <c r="AB56">
        <v>0.4957373720946624</v>
      </c>
      <c r="AC56">
        <v>0.41384958088038548</v>
      </c>
      <c r="AD56">
        <v>0.60872379270660215</v>
      </c>
    </row>
    <row r="57" spans="1:30">
      <c r="A57" t="s">
        <v>77</v>
      </c>
      <c r="B57" t="s">
        <v>76</v>
      </c>
      <c r="C57" t="s">
        <v>67</v>
      </c>
      <c r="D57">
        <v>4</v>
      </c>
      <c r="E57">
        <v>2.8571428571428501E-2</v>
      </c>
      <c r="F57">
        <v>5</v>
      </c>
      <c r="G57">
        <v>6.3151384741685204E-2</v>
      </c>
      <c r="H57">
        <v>3.2819797917894598E-2</v>
      </c>
      <c r="I57">
        <v>0.1420391163967793</v>
      </c>
      <c r="J57">
        <v>2.2102984659589819</v>
      </c>
      <c r="K57">
        <v>1.1486929271263131</v>
      </c>
      <c r="L57">
        <v>4.9713690738872778</v>
      </c>
      <c r="M57">
        <v>0.55919117647058825</v>
      </c>
      <c r="N57">
        <v>0.46636029411764701</v>
      </c>
      <c r="O57">
        <v>0.65477941176470589</v>
      </c>
      <c r="P57">
        <v>9.1127349966206805E-2</v>
      </c>
      <c r="Q57">
        <v>-2.93602674822574E-2</v>
      </c>
      <c r="R57">
        <v>0.30128059446809879</v>
      </c>
      <c r="S57">
        <v>0.1677974582677359</v>
      </c>
      <c r="T57">
        <v>1.32450331125827E-2</v>
      </c>
      <c r="U57">
        <v>0.38959854014598538</v>
      </c>
      <c r="V57">
        <v>6.9041561214510203E-2</v>
      </c>
      <c r="W57">
        <v>2.9629629629628999E-3</v>
      </c>
      <c r="X57">
        <v>0.2283057851239669</v>
      </c>
      <c r="Y57">
        <v>0.7</v>
      </c>
      <c r="Z57">
        <v>0.05</v>
      </c>
      <c r="AA57">
        <v>1</v>
      </c>
      <c r="AB57">
        <v>5.3481302160662297E-2</v>
      </c>
      <c r="AC57">
        <v>6.6507035178003998E-3</v>
      </c>
      <c r="AD57">
        <v>0.12966426870938</v>
      </c>
    </row>
    <row r="58" spans="1:30">
      <c r="A58" t="s">
        <v>77</v>
      </c>
      <c r="B58" t="s">
        <v>76</v>
      </c>
      <c r="C58" t="s">
        <v>68</v>
      </c>
      <c r="D58">
        <v>21</v>
      </c>
      <c r="E58">
        <v>0.15</v>
      </c>
      <c r="F58">
        <v>5</v>
      </c>
      <c r="G58">
        <v>0.313559385849002</v>
      </c>
      <c r="H58">
        <v>0.26242278626303639</v>
      </c>
      <c r="I58">
        <v>0.3467113984958794</v>
      </c>
      <c r="J58">
        <v>2.0903959056600141</v>
      </c>
      <c r="K58">
        <v>1.749485241753576</v>
      </c>
      <c r="L58">
        <v>2.3114093233058628</v>
      </c>
      <c r="M58">
        <v>0.71028411364545818</v>
      </c>
      <c r="N58">
        <v>0.65906362545018005</v>
      </c>
      <c r="O58">
        <v>0.76374549819927962</v>
      </c>
      <c r="P58">
        <v>0.13188275331400809</v>
      </c>
      <c r="Q58">
        <v>5.99433925998119E-2</v>
      </c>
      <c r="R58">
        <v>0.28211018847835267</v>
      </c>
      <c r="S58">
        <v>0.39991881456709721</v>
      </c>
      <c r="T58">
        <v>0.26553062985332182</v>
      </c>
      <c r="U58">
        <v>0.55430593511316661</v>
      </c>
      <c r="V58">
        <v>0.20939111071856731</v>
      </c>
      <c r="W58">
        <v>0.16457489878542511</v>
      </c>
      <c r="X58">
        <v>0.27072484166080218</v>
      </c>
      <c r="Y58">
        <v>0.56190476190476191</v>
      </c>
      <c r="Z58">
        <v>0.29047619047619039</v>
      </c>
      <c r="AA58">
        <v>0.89047619047619042</v>
      </c>
      <c r="AB58">
        <v>0.29172165649620863</v>
      </c>
      <c r="AC58">
        <v>0.1164640946705065</v>
      </c>
      <c r="AD58">
        <v>0.39022366114941132</v>
      </c>
    </row>
    <row r="59" spans="1:30">
      <c r="A59" t="s">
        <v>77</v>
      </c>
      <c r="B59" t="s">
        <v>76</v>
      </c>
      <c r="C59" t="s">
        <v>69</v>
      </c>
      <c r="D59">
        <v>26</v>
      </c>
      <c r="E59">
        <v>0.18571428571428569</v>
      </c>
      <c r="F59">
        <v>5</v>
      </c>
      <c r="G59">
        <v>0.56183966316969802</v>
      </c>
      <c r="H59">
        <v>0.51421369363994218</v>
      </c>
      <c r="I59">
        <v>0.59840197705617426</v>
      </c>
      <c r="J59">
        <v>3.0252904939906808</v>
      </c>
      <c r="K59">
        <v>2.7688429657535352</v>
      </c>
      <c r="L59">
        <v>3.222164491840938</v>
      </c>
      <c r="M59">
        <v>0.91558704453441297</v>
      </c>
      <c r="N59">
        <v>0.90209176788124157</v>
      </c>
      <c r="O59">
        <v>0.92267206477732799</v>
      </c>
      <c r="P59">
        <v>0.67971387359897295</v>
      </c>
      <c r="Q59">
        <v>0.63573277700013942</v>
      </c>
      <c r="R59">
        <v>0.73594951772919459</v>
      </c>
      <c r="S59">
        <v>0.84503603669375971</v>
      </c>
      <c r="T59">
        <v>0.82760904316053896</v>
      </c>
      <c r="U59">
        <v>0.87786995948292501</v>
      </c>
      <c r="V59">
        <v>0.59408271587115169</v>
      </c>
      <c r="W59">
        <v>0.53725998962117283</v>
      </c>
      <c r="X59">
        <v>0.65210526315789474</v>
      </c>
      <c r="Y59">
        <v>0.94615384615384601</v>
      </c>
      <c r="Z59">
        <v>0.92307692307692324</v>
      </c>
      <c r="AA59">
        <v>0.96153846153846156</v>
      </c>
      <c r="AB59">
        <v>0.39323275342716207</v>
      </c>
      <c r="AC59">
        <v>0.34915046688880141</v>
      </c>
      <c r="AD59">
        <v>0.4309883474566753</v>
      </c>
    </row>
    <row r="60" spans="1:30">
      <c r="A60" t="s">
        <v>77</v>
      </c>
      <c r="B60" t="s">
        <v>76</v>
      </c>
      <c r="C60" t="s">
        <v>70</v>
      </c>
      <c r="D60">
        <v>7</v>
      </c>
      <c r="E60">
        <v>0.05</v>
      </c>
      <c r="F60">
        <v>5</v>
      </c>
      <c r="G60">
        <v>8.7119875157886398E-2</v>
      </c>
      <c r="H60">
        <v>4.6703466340314102E-2</v>
      </c>
      <c r="I60">
        <v>0.1214436685406497</v>
      </c>
      <c r="J60">
        <v>1.742397503157729</v>
      </c>
      <c r="K60">
        <v>0.93406932680628296</v>
      </c>
      <c r="L60">
        <v>2.4288733708129939</v>
      </c>
      <c r="M60">
        <v>0.53512352309344791</v>
      </c>
      <c r="N60">
        <v>0.4249194414607948</v>
      </c>
      <c r="O60">
        <v>0.5976369495166487</v>
      </c>
      <c r="P60">
        <v>7.4495369673478001E-2</v>
      </c>
      <c r="Q60">
        <v>3.9344473768231003E-3</v>
      </c>
      <c r="R60">
        <v>0.14811160037381399</v>
      </c>
      <c r="S60">
        <v>0.23959387775398069</v>
      </c>
      <c r="T60">
        <v>0.20884146341463411</v>
      </c>
      <c r="U60">
        <v>0.27752293577981652</v>
      </c>
      <c r="V60">
        <v>6.1299408652349799E-2</v>
      </c>
      <c r="W60">
        <v>5.0147058823529399E-2</v>
      </c>
      <c r="X60">
        <v>7.3809523809523797E-2</v>
      </c>
      <c r="Y60">
        <v>0.91428571428571437</v>
      </c>
      <c r="Z60">
        <v>0.72857142857142854</v>
      </c>
      <c r="AA60">
        <v>1</v>
      </c>
      <c r="AB60">
        <v>5.0220753644639099E-2</v>
      </c>
      <c r="AC60">
        <v>8.5360441368284995E-3</v>
      </c>
      <c r="AD60">
        <v>8.7934673277483499E-2</v>
      </c>
    </row>
    <row r="61" spans="1:30">
      <c r="A61" t="s">
        <v>77</v>
      </c>
      <c r="B61" t="s">
        <v>76</v>
      </c>
      <c r="C61" t="s">
        <v>71</v>
      </c>
      <c r="D61">
        <v>9</v>
      </c>
      <c r="E61">
        <v>6.4285714285714196E-2</v>
      </c>
      <c r="F61">
        <v>5</v>
      </c>
      <c r="G61">
        <v>9.6688917069026104E-2</v>
      </c>
      <c r="H61">
        <v>6.3625140622471099E-2</v>
      </c>
      <c r="I61">
        <v>0.1218142348608954</v>
      </c>
      <c r="J61">
        <v>1.5040498210737401</v>
      </c>
      <c r="K61">
        <v>0.98972440968288478</v>
      </c>
      <c r="L61">
        <v>1.894888097836152</v>
      </c>
      <c r="M61">
        <v>0.47005937234944872</v>
      </c>
      <c r="N61">
        <v>0.42739609838846482</v>
      </c>
      <c r="O61">
        <v>0.51552162849872774</v>
      </c>
      <c r="P61">
        <v>-6.3952306484319196E-2</v>
      </c>
      <c r="Q61">
        <v>-0.100780850763641</v>
      </c>
      <c r="R61">
        <v>-9.3878757551297994E-3</v>
      </c>
      <c r="S61">
        <v>0.1458866927347906</v>
      </c>
      <c r="T61">
        <v>0.1068557919621749</v>
      </c>
      <c r="U61">
        <v>0.23031653145365069</v>
      </c>
      <c r="V61">
        <v>4.5288781320810399E-2</v>
      </c>
      <c r="W61">
        <v>3.4738186462324301E-2</v>
      </c>
      <c r="X61">
        <v>6.19238900634249E-2</v>
      </c>
      <c r="Y61">
        <v>0.35555555555555551</v>
      </c>
      <c r="Z61">
        <v>0.22222222222222221</v>
      </c>
      <c r="AA61">
        <v>0.73333333333333328</v>
      </c>
      <c r="AB61">
        <v>0.11218316865087399</v>
      </c>
      <c r="AC61">
        <v>6.8939258582419602E-2</v>
      </c>
      <c r="AD61">
        <v>0.143640711163489</v>
      </c>
    </row>
    <row r="62" spans="1:30">
      <c r="A62" t="s">
        <v>78</v>
      </c>
      <c r="B62" t="s">
        <v>66</v>
      </c>
      <c r="C62" t="s">
        <v>67</v>
      </c>
      <c r="D62">
        <v>4</v>
      </c>
      <c r="E62">
        <v>2.8985507246376802E-2</v>
      </c>
      <c r="F62">
        <v>5</v>
      </c>
      <c r="G62">
        <v>5.31848167845793E-2</v>
      </c>
      <c r="H62">
        <v>4.4287664400821297E-2</v>
      </c>
      <c r="I62">
        <v>7.0390088643564303E-2</v>
      </c>
      <c r="J62">
        <v>1.8348761790679871</v>
      </c>
      <c r="K62">
        <v>1.527924421828337</v>
      </c>
      <c r="L62">
        <v>2.4284580582029691</v>
      </c>
      <c r="M62">
        <v>0.65597014925373132</v>
      </c>
      <c r="N62">
        <v>0.61473880597014929</v>
      </c>
      <c r="O62">
        <v>0.72985074626865665</v>
      </c>
      <c r="P62">
        <v>0.10719748642232819</v>
      </c>
      <c r="Q62">
        <v>5.5478573675453197E-2</v>
      </c>
      <c r="R62">
        <v>0.1505118663646734</v>
      </c>
      <c r="S62">
        <v>0.18334821216356251</v>
      </c>
      <c r="T62">
        <v>0.1520940170940171</v>
      </c>
      <c r="U62">
        <v>0.2143817204301075</v>
      </c>
      <c r="V62">
        <v>4.4167545325961101E-2</v>
      </c>
      <c r="W62">
        <v>3.6103253182461097E-2</v>
      </c>
      <c r="X62">
        <v>5.3409090909090899E-2</v>
      </c>
      <c r="Y62">
        <v>0.9</v>
      </c>
      <c r="Z62">
        <v>0.75</v>
      </c>
      <c r="AA62">
        <v>1</v>
      </c>
      <c r="AB62">
        <v>9.4051422901825998E-2</v>
      </c>
      <c r="AC62">
        <v>4.4401975386050598E-2</v>
      </c>
      <c r="AD62">
        <v>0.14117702443268729</v>
      </c>
    </row>
    <row r="63" spans="1:30">
      <c r="A63" t="s">
        <v>78</v>
      </c>
      <c r="B63" t="s">
        <v>66</v>
      </c>
      <c r="C63" t="s">
        <v>68</v>
      </c>
      <c r="D63">
        <v>20</v>
      </c>
      <c r="E63">
        <v>0.14492753623188401</v>
      </c>
      <c r="F63">
        <v>5</v>
      </c>
      <c r="G63">
        <v>0.39728272838717948</v>
      </c>
      <c r="H63">
        <v>0.28086054969322671</v>
      </c>
      <c r="I63">
        <v>0.47636769811134572</v>
      </c>
      <c r="J63">
        <v>2.7412508258715391</v>
      </c>
      <c r="K63">
        <v>1.9379377928832651</v>
      </c>
      <c r="L63">
        <v>3.2869371169682862</v>
      </c>
      <c r="M63">
        <v>0.71610169491525433</v>
      </c>
      <c r="N63">
        <v>0.66326271186440688</v>
      </c>
      <c r="O63">
        <v>0.77902542372881367</v>
      </c>
      <c r="P63">
        <v>0.31728865793506228</v>
      </c>
      <c r="Q63">
        <v>0.22807439920100281</v>
      </c>
      <c r="R63">
        <v>0.40602431403014638</v>
      </c>
      <c r="S63">
        <v>0.50845205929490178</v>
      </c>
      <c r="T63">
        <v>0.32120765832106041</v>
      </c>
      <c r="U63">
        <v>0.64396946564885493</v>
      </c>
      <c r="V63">
        <v>0.33046702317290549</v>
      </c>
      <c r="W63">
        <v>0.2787878787878787</v>
      </c>
      <c r="X63">
        <v>0.35929411764705882</v>
      </c>
      <c r="Y63">
        <v>0.61999999999999988</v>
      </c>
      <c r="Z63">
        <v>0.315</v>
      </c>
      <c r="AA63">
        <v>0.84</v>
      </c>
      <c r="AB63">
        <v>0.52592444292864005</v>
      </c>
      <c r="AC63">
        <v>0.46654744706456391</v>
      </c>
      <c r="AD63">
        <v>0.62153273967792044</v>
      </c>
    </row>
    <row r="64" spans="1:30">
      <c r="A64" t="s">
        <v>78</v>
      </c>
      <c r="B64" t="s">
        <v>66</v>
      </c>
      <c r="C64" t="s">
        <v>69</v>
      </c>
      <c r="D64">
        <v>26</v>
      </c>
      <c r="E64">
        <v>0.1884057971014492</v>
      </c>
      <c r="F64">
        <v>5</v>
      </c>
      <c r="G64">
        <v>0.62537817453454692</v>
      </c>
      <c r="H64">
        <v>0.54021394550163171</v>
      </c>
      <c r="I64">
        <v>0.69957496443414691</v>
      </c>
      <c r="J64">
        <v>3.319314926375672</v>
      </c>
      <c r="K64">
        <v>2.8672894030471219</v>
      </c>
      <c r="L64">
        <v>3.7131286573812412</v>
      </c>
      <c r="M64">
        <v>0.88962912087912094</v>
      </c>
      <c r="N64">
        <v>0.85432692307692315</v>
      </c>
      <c r="O64">
        <v>0.90985576923076916</v>
      </c>
      <c r="P64">
        <v>0.52138797406332082</v>
      </c>
      <c r="Q64">
        <v>0.48817403351302779</v>
      </c>
      <c r="R64">
        <v>0.58426090552706422</v>
      </c>
      <c r="S64">
        <v>0.70857101925200605</v>
      </c>
      <c r="T64">
        <v>0.65313299232736577</v>
      </c>
      <c r="U64">
        <v>0.76121794871794868</v>
      </c>
      <c r="V64">
        <v>0.50202907658790008</v>
      </c>
      <c r="W64">
        <v>0.42756410256410249</v>
      </c>
      <c r="X64">
        <v>0.56125000000000003</v>
      </c>
      <c r="Y64">
        <v>0.8</v>
      </c>
      <c r="Z64">
        <v>0.69230769230769229</v>
      </c>
      <c r="AA64">
        <v>0.88461538461538458</v>
      </c>
      <c r="AB64">
        <v>0.51231712675004781</v>
      </c>
      <c r="AC64">
        <v>0.4185591207339836</v>
      </c>
      <c r="AD64">
        <v>0.59696530436241468</v>
      </c>
    </row>
    <row r="65" spans="1:30">
      <c r="A65" t="s">
        <v>78</v>
      </c>
      <c r="B65" t="s">
        <v>66</v>
      </c>
      <c r="C65" t="s">
        <v>70</v>
      </c>
      <c r="D65">
        <v>7</v>
      </c>
      <c r="E65">
        <v>5.0724637681159403E-2</v>
      </c>
      <c r="F65">
        <v>5</v>
      </c>
      <c r="G65">
        <v>7.0020229556194594E-2</v>
      </c>
      <c r="H65">
        <v>6.1904259835194701E-2</v>
      </c>
      <c r="I65">
        <v>8.7135022174068696E-2</v>
      </c>
      <c r="J65">
        <v>1.3803988112506931</v>
      </c>
      <c r="K65">
        <v>1.2203982653224099</v>
      </c>
      <c r="L65">
        <v>1.7178047228602109</v>
      </c>
      <c r="M65">
        <v>0.56532170119956382</v>
      </c>
      <c r="N65">
        <v>0.49312977099236638</v>
      </c>
      <c r="O65">
        <v>0.64820065430752449</v>
      </c>
      <c r="P65">
        <v>3.0154594185345999E-2</v>
      </c>
      <c r="Q65">
        <v>-5.52414754303115E-2</v>
      </c>
      <c r="R65">
        <v>0.12389276979770041</v>
      </c>
      <c r="S65">
        <v>0.17749319904808261</v>
      </c>
      <c r="T65">
        <v>1.7045454545454499E-2</v>
      </c>
      <c r="U65">
        <v>0.2743952721275425</v>
      </c>
      <c r="V65">
        <v>4.6748745722862403E-2</v>
      </c>
      <c r="W65">
        <v>5.0000000000000001E-3</v>
      </c>
      <c r="X65">
        <v>7.3909985935302305E-2</v>
      </c>
      <c r="Y65">
        <v>0.62857142857142856</v>
      </c>
      <c r="Z65">
        <v>4.2857142857142802E-2</v>
      </c>
      <c r="AA65">
        <v>0.98571428571428565</v>
      </c>
      <c r="AB65">
        <v>0.208079631417737</v>
      </c>
      <c r="AC65">
        <v>2.0385489562484201E-2</v>
      </c>
      <c r="AD65">
        <v>0.48079490517371881</v>
      </c>
    </row>
    <row r="66" spans="1:30">
      <c r="A66" t="s">
        <v>78</v>
      </c>
      <c r="B66" t="s">
        <v>66</v>
      </c>
      <c r="C66" t="s">
        <v>71</v>
      </c>
      <c r="D66">
        <v>9</v>
      </c>
      <c r="E66">
        <v>6.5217391304347797E-2</v>
      </c>
      <c r="F66">
        <v>5</v>
      </c>
      <c r="G66">
        <v>5.8290357825410297E-2</v>
      </c>
      <c r="H66">
        <v>5.0904081390422302E-2</v>
      </c>
      <c r="I66">
        <v>6.6450362792990395E-2</v>
      </c>
      <c r="J66">
        <v>0.89378548665629243</v>
      </c>
      <c r="K66">
        <v>0.78052924798647572</v>
      </c>
      <c r="L66">
        <v>1.018905562825853</v>
      </c>
      <c r="M66">
        <v>0.38294573643410851</v>
      </c>
      <c r="N66">
        <v>0.33600344530577081</v>
      </c>
      <c r="O66">
        <v>0.4156761412575366</v>
      </c>
      <c r="P66">
        <v>-6.2900823692885202E-2</v>
      </c>
      <c r="Q66">
        <v>-0.1195102746570287</v>
      </c>
      <c r="R66">
        <v>2.3706632712558299E-2</v>
      </c>
      <c r="S66">
        <v>9.2594037771187701E-2</v>
      </c>
      <c r="T66">
        <v>0</v>
      </c>
      <c r="U66">
        <v>0.25559934446698918</v>
      </c>
      <c r="V66">
        <v>2.3854763144195702E-2</v>
      </c>
      <c r="W66">
        <v>0</v>
      </c>
      <c r="X66">
        <v>6.4868558042686097E-2</v>
      </c>
      <c r="Y66">
        <v>0.33333333333333331</v>
      </c>
      <c r="Z66">
        <v>0</v>
      </c>
      <c r="AA66">
        <v>0.96666666666666679</v>
      </c>
      <c r="AB66">
        <v>0.35020393507826558</v>
      </c>
      <c r="AC66">
        <v>9.5789705187344296E-2</v>
      </c>
      <c r="AD66">
        <v>0.496084232535494</v>
      </c>
    </row>
    <row r="67" spans="1:30">
      <c r="A67" t="s">
        <v>78</v>
      </c>
      <c r="B67" t="s">
        <v>72</v>
      </c>
      <c r="C67" t="s">
        <v>67</v>
      </c>
      <c r="D67">
        <v>4</v>
      </c>
      <c r="E67">
        <v>2.8985507246376802E-2</v>
      </c>
      <c r="F67">
        <v>5</v>
      </c>
      <c r="G67">
        <v>0.1332734549267339</v>
      </c>
      <c r="H67">
        <v>7.5878805165658605E-2</v>
      </c>
      <c r="I67">
        <v>0.1897135337488598</v>
      </c>
      <c r="J67">
        <v>4.5979341949723196</v>
      </c>
      <c r="K67">
        <v>2.6178187782152249</v>
      </c>
      <c r="L67">
        <v>6.5451169143356642</v>
      </c>
      <c r="M67">
        <v>0.70970149253731341</v>
      </c>
      <c r="N67">
        <v>0.53507462686567164</v>
      </c>
      <c r="O67">
        <v>0.82966417910447754</v>
      </c>
      <c r="P67">
        <v>9.4263370089226806E-2</v>
      </c>
      <c r="Q67">
        <v>-4.2548167074767003E-2</v>
      </c>
      <c r="R67">
        <v>0.2596539475755873</v>
      </c>
      <c r="S67">
        <v>0.16534391534391529</v>
      </c>
      <c r="T67">
        <v>0</v>
      </c>
      <c r="U67">
        <v>0.3611111111111111</v>
      </c>
      <c r="V67">
        <v>6.21531100478468E-2</v>
      </c>
      <c r="W67">
        <v>0</v>
      </c>
      <c r="X67">
        <v>0.1715311004784689</v>
      </c>
      <c r="Y67">
        <v>0.35</v>
      </c>
      <c r="Z67">
        <v>0</v>
      </c>
      <c r="AA67">
        <v>0.72499999999999998</v>
      </c>
      <c r="AB67">
        <v>0.21999779743611311</v>
      </c>
      <c r="AC67">
        <v>1.3709295243992939E-6</v>
      </c>
      <c r="AD67">
        <v>0.51177259814020393</v>
      </c>
    </row>
    <row r="68" spans="1:30">
      <c r="A68" t="s">
        <v>78</v>
      </c>
      <c r="B68" t="s">
        <v>72</v>
      </c>
      <c r="C68" t="s">
        <v>68</v>
      </c>
      <c r="D68">
        <v>20</v>
      </c>
      <c r="E68">
        <v>0.14492753623188401</v>
      </c>
      <c r="F68">
        <v>5</v>
      </c>
      <c r="G68">
        <v>0.27588990364014421</v>
      </c>
      <c r="H68">
        <v>0.26085909871084623</v>
      </c>
      <c r="I68">
        <v>0.28902010965059011</v>
      </c>
      <c r="J68">
        <v>1.9036403351169959</v>
      </c>
      <c r="K68">
        <v>1.7999277811048391</v>
      </c>
      <c r="L68">
        <v>1.994238756589072</v>
      </c>
      <c r="M68">
        <v>0.68677966101694909</v>
      </c>
      <c r="N68">
        <v>0.6214830508474577</v>
      </c>
      <c r="O68">
        <v>0.74330508474576273</v>
      </c>
      <c r="P68">
        <v>0.2449390044497595</v>
      </c>
      <c r="Q68">
        <v>0.19185591776811339</v>
      </c>
      <c r="R68">
        <v>0.29352620018487191</v>
      </c>
      <c r="S68">
        <v>0.5081655420242116</v>
      </c>
      <c r="T68">
        <v>0.45827123695976152</v>
      </c>
      <c r="U68">
        <v>0.5419435215946844</v>
      </c>
      <c r="V68">
        <v>0.2531062271062271</v>
      </c>
      <c r="W68">
        <v>0.215076923076923</v>
      </c>
      <c r="X68">
        <v>0.2857142857142857</v>
      </c>
      <c r="Y68">
        <v>0.69</v>
      </c>
      <c r="Z68">
        <v>0.6</v>
      </c>
      <c r="AA68">
        <v>0.79500000000000004</v>
      </c>
      <c r="AB68">
        <v>6.0689584425273897E-2</v>
      </c>
      <c r="AC68">
        <v>1.8879700834830001E-4</v>
      </c>
      <c r="AD68">
        <v>0.26130697504413941</v>
      </c>
    </row>
    <row r="69" spans="1:30">
      <c r="A69" t="s">
        <v>78</v>
      </c>
      <c r="B69" t="s">
        <v>72</v>
      </c>
      <c r="C69" t="s">
        <v>69</v>
      </c>
      <c r="D69">
        <v>26</v>
      </c>
      <c r="E69">
        <v>0.1884057971014492</v>
      </c>
      <c r="F69">
        <v>5</v>
      </c>
      <c r="G69">
        <v>0.43211204083057497</v>
      </c>
      <c r="H69">
        <v>0.3531748250866712</v>
      </c>
      <c r="I69">
        <v>0.52268253574093804</v>
      </c>
      <c r="J69">
        <v>2.2935177551776671</v>
      </c>
      <c r="K69">
        <v>1.8745433023831011</v>
      </c>
      <c r="L69">
        <v>2.774238074317287</v>
      </c>
      <c r="M69">
        <v>0.80906593406593397</v>
      </c>
      <c r="N69">
        <v>0.76620879120879126</v>
      </c>
      <c r="O69">
        <v>0.84368131868131868</v>
      </c>
      <c r="P69">
        <v>0.36399765051157551</v>
      </c>
      <c r="Q69">
        <v>0.24345077947305341</v>
      </c>
      <c r="R69">
        <v>0.46157223350556609</v>
      </c>
      <c r="S69">
        <v>0.58761899478372315</v>
      </c>
      <c r="T69">
        <v>0.44034106048494531</v>
      </c>
      <c r="U69">
        <v>0.71129217791411037</v>
      </c>
      <c r="V69">
        <v>0.3913899737040798</v>
      </c>
      <c r="W69">
        <v>0.3441646489104116</v>
      </c>
      <c r="X69">
        <v>0.44752304147465438</v>
      </c>
      <c r="Y69">
        <v>0.68461538461538463</v>
      </c>
      <c r="Z69">
        <v>0.46923076923076917</v>
      </c>
      <c r="AA69">
        <v>0.87692307692307692</v>
      </c>
      <c r="AB69">
        <v>0.16087240721690049</v>
      </c>
      <c r="AC69">
        <v>1.5542860515386E-3</v>
      </c>
      <c r="AD69">
        <v>0.45762984194168532</v>
      </c>
    </row>
    <row r="70" spans="1:30">
      <c r="A70" t="s">
        <v>78</v>
      </c>
      <c r="B70" t="s">
        <v>72</v>
      </c>
      <c r="C70" t="s">
        <v>70</v>
      </c>
      <c r="D70">
        <v>7</v>
      </c>
      <c r="E70">
        <v>5.0724637681159403E-2</v>
      </c>
      <c r="F70">
        <v>5</v>
      </c>
      <c r="G70">
        <v>0.14391609274123679</v>
      </c>
      <c r="H70">
        <v>8.42779461127241E-2</v>
      </c>
      <c r="I70">
        <v>0.32393427456274781</v>
      </c>
      <c r="J70">
        <v>2.8372029711843831</v>
      </c>
      <c r="K70">
        <v>1.661479509079419</v>
      </c>
      <c r="L70">
        <v>6.3861328413798866</v>
      </c>
      <c r="M70">
        <v>0.69356597600872405</v>
      </c>
      <c r="N70">
        <v>0.64296619411123224</v>
      </c>
      <c r="O70">
        <v>0.76510359869138489</v>
      </c>
      <c r="P70">
        <v>9.0873256876832897E-2</v>
      </c>
      <c r="Q70">
        <v>-6.4152752368755298E-2</v>
      </c>
      <c r="R70">
        <v>0.21263561689863009</v>
      </c>
      <c r="S70">
        <v>0.2145976949103475</v>
      </c>
      <c r="T70">
        <v>1.85185185185185E-2</v>
      </c>
      <c r="U70">
        <v>0.33670411985018728</v>
      </c>
      <c r="V70">
        <v>8.4985010520678597E-2</v>
      </c>
      <c r="W70">
        <v>7.3170731707316999E-3</v>
      </c>
      <c r="X70">
        <v>0.16865959498553521</v>
      </c>
      <c r="Y70">
        <v>0.4</v>
      </c>
      <c r="Z70">
        <v>2.8571428571428501E-2</v>
      </c>
      <c r="AA70">
        <v>0.81428571428571417</v>
      </c>
      <c r="AB70">
        <v>0.117500160865979</v>
      </c>
      <c r="AC70">
        <v>1.369310689434E-4</v>
      </c>
      <c r="AD70">
        <v>0.37341889916989413</v>
      </c>
    </row>
    <row r="71" spans="1:30">
      <c r="A71" t="s">
        <v>78</v>
      </c>
      <c r="B71" t="s">
        <v>72</v>
      </c>
      <c r="C71" t="s">
        <v>71</v>
      </c>
      <c r="D71">
        <v>9</v>
      </c>
      <c r="E71">
        <v>6.5217391304347797E-2</v>
      </c>
      <c r="F71">
        <v>5</v>
      </c>
      <c r="G71">
        <v>0.106206508276523</v>
      </c>
      <c r="H71">
        <v>6.2570969384481007E-2</v>
      </c>
      <c r="I71">
        <v>0.19146975623860091</v>
      </c>
      <c r="J71">
        <v>1.6284997935733529</v>
      </c>
      <c r="K71">
        <v>0.95942153056204316</v>
      </c>
      <c r="L71">
        <v>2.9358695956585481</v>
      </c>
      <c r="M71">
        <v>0.49681309216192943</v>
      </c>
      <c r="N71">
        <v>0.3702842377260982</v>
      </c>
      <c r="O71">
        <v>0.56597760551248932</v>
      </c>
      <c r="P71">
        <v>-1.37293528683901E-2</v>
      </c>
      <c r="Q71">
        <v>-0.11886522038248259</v>
      </c>
      <c r="R71">
        <v>8.3478719290917103E-2</v>
      </c>
      <c r="S71">
        <v>0.14440376793317969</v>
      </c>
      <c r="T71">
        <v>1.2987012987012899E-2</v>
      </c>
      <c r="U71">
        <v>0.25746606334841621</v>
      </c>
      <c r="V71">
        <v>5.8715249171344797E-2</v>
      </c>
      <c r="W71">
        <v>4.8780487804877997E-3</v>
      </c>
      <c r="X71">
        <v>0.11921641791044769</v>
      </c>
      <c r="Y71">
        <v>0.33333333333333331</v>
      </c>
      <c r="Z71">
        <v>2.2222222222222199E-2</v>
      </c>
      <c r="AA71">
        <v>0.92222222222222217</v>
      </c>
      <c r="AB71">
        <v>6.2556566987970394E-2</v>
      </c>
      <c r="AC71">
        <v>1.1219215197095821E-5</v>
      </c>
      <c r="AD71">
        <v>0.22820515936732921</v>
      </c>
    </row>
    <row r="72" spans="1:30">
      <c r="A72" t="s">
        <v>78</v>
      </c>
      <c r="B72" t="s">
        <v>73</v>
      </c>
      <c r="C72" t="s">
        <v>67</v>
      </c>
      <c r="D72">
        <v>4</v>
      </c>
      <c r="E72">
        <v>2.8985507246376802E-2</v>
      </c>
      <c r="F72">
        <v>5</v>
      </c>
      <c r="G72">
        <v>6.00433424523956E-2</v>
      </c>
      <c r="H72">
        <v>4.7002787010884998E-2</v>
      </c>
      <c r="I72">
        <v>8.0069463194463106E-2</v>
      </c>
      <c r="J72">
        <v>2.071495314607648</v>
      </c>
      <c r="K72">
        <v>1.6215961518755331</v>
      </c>
      <c r="L72">
        <v>2.76239648020898</v>
      </c>
      <c r="M72">
        <v>0.69216417910447769</v>
      </c>
      <c r="N72">
        <v>0.64085820895522394</v>
      </c>
      <c r="O72">
        <v>0.73283582089552246</v>
      </c>
      <c r="P72">
        <v>0.15957805213997139</v>
      </c>
      <c r="Q72">
        <v>0.1281978179608943</v>
      </c>
      <c r="R72">
        <v>0.1849893714154543</v>
      </c>
      <c r="S72">
        <v>0.22257601835915089</v>
      </c>
      <c r="T72">
        <v>0.19047619047619041</v>
      </c>
      <c r="U72">
        <v>0.24909638554216859</v>
      </c>
      <c r="V72">
        <v>5.4358125104812999E-2</v>
      </c>
      <c r="W72">
        <v>4.49438202247191E-2</v>
      </c>
      <c r="X72">
        <v>6.2220149253731302E-2</v>
      </c>
      <c r="Y72">
        <v>1</v>
      </c>
      <c r="Z72">
        <v>1</v>
      </c>
      <c r="AA72">
        <v>1</v>
      </c>
      <c r="AB72">
        <v>1.55741427311809E-2</v>
      </c>
      <c r="AC72">
        <v>2.1401920451363E-3</v>
      </c>
      <c r="AD72">
        <v>3.0943264246277101E-2</v>
      </c>
    </row>
    <row r="73" spans="1:30">
      <c r="A73" t="s">
        <v>78</v>
      </c>
      <c r="B73" t="s">
        <v>73</v>
      </c>
      <c r="C73" t="s">
        <v>68</v>
      </c>
      <c r="D73">
        <v>20</v>
      </c>
      <c r="E73">
        <v>0.14492753623188401</v>
      </c>
      <c r="F73">
        <v>5</v>
      </c>
      <c r="G73">
        <v>0.32762517404119601</v>
      </c>
      <c r="H73">
        <v>0.25811434323037757</v>
      </c>
      <c r="I73">
        <v>0.49440176553126147</v>
      </c>
      <c r="J73">
        <v>2.2606137008842522</v>
      </c>
      <c r="K73">
        <v>1.780988968289605</v>
      </c>
      <c r="L73">
        <v>3.4113721821657039</v>
      </c>
      <c r="M73">
        <v>0.76525423728813557</v>
      </c>
      <c r="N73">
        <v>0.73008474576271187</v>
      </c>
      <c r="O73">
        <v>0.82427966101694905</v>
      </c>
      <c r="P73">
        <v>0.31782197948522511</v>
      </c>
      <c r="Q73">
        <v>0.25067526871364298</v>
      </c>
      <c r="R73">
        <v>0.3789874893134289</v>
      </c>
      <c r="S73">
        <v>0.57748118796846803</v>
      </c>
      <c r="T73">
        <v>0.49065628476084538</v>
      </c>
      <c r="U73">
        <v>0.6378483667965239</v>
      </c>
      <c r="V73">
        <v>0.27602954714098238</v>
      </c>
      <c r="W73">
        <v>0.2488111888111888</v>
      </c>
      <c r="X73">
        <v>0.2946060285563194</v>
      </c>
      <c r="Y73">
        <v>0.8</v>
      </c>
      <c r="Z73">
        <v>0.62</v>
      </c>
      <c r="AA73">
        <v>0.9</v>
      </c>
      <c r="AB73">
        <v>0.3245888023165302</v>
      </c>
      <c r="AC73">
        <v>0.2045116814188471</v>
      </c>
      <c r="AD73">
        <v>0.54241901777707147</v>
      </c>
    </row>
    <row r="74" spans="1:30">
      <c r="A74" t="s">
        <v>78</v>
      </c>
      <c r="B74" t="s">
        <v>73</v>
      </c>
      <c r="C74" t="s">
        <v>69</v>
      </c>
      <c r="D74">
        <v>26</v>
      </c>
      <c r="E74">
        <v>0.1884057971014492</v>
      </c>
      <c r="F74">
        <v>5</v>
      </c>
      <c r="G74">
        <v>0.56640214195500771</v>
      </c>
      <c r="H74">
        <v>0.51029894917835694</v>
      </c>
      <c r="I74">
        <v>0.61634288976507334</v>
      </c>
      <c r="J74">
        <v>3.0062882919150411</v>
      </c>
      <c r="K74">
        <v>2.7085098071774332</v>
      </c>
      <c r="L74">
        <v>3.2713584149069281</v>
      </c>
      <c r="M74">
        <v>0.91043956043956042</v>
      </c>
      <c r="N74">
        <v>0.89285714285714279</v>
      </c>
      <c r="O74">
        <v>0.92754120879120883</v>
      </c>
      <c r="P74">
        <v>0.62256923945283416</v>
      </c>
      <c r="Q74">
        <v>0.59078716075430981</v>
      </c>
      <c r="R74">
        <v>0.66333197773916464</v>
      </c>
      <c r="S74">
        <v>0.81184607968002642</v>
      </c>
      <c r="T74">
        <v>0.76803691275167785</v>
      </c>
      <c r="U74">
        <v>0.84402775258479956</v>
      </c>
      <c r="V74">
        <v>0.53945335710041598</v>
      </c>
      <c r="W74">
        <v>0.49450980392156862</v>
      </c>
      <c r="X74">
        <v>0.56691919191919193</v>
      </c>
      <c r="Y74">
        <v>0.93076923076923079</v>
      </c>
      <c r="Z74">
        <v>0.85384615384615381</v>
      </c>
      <c r="AA74">
        <v>0.96153846153846156</v>
      </c>
      <c r="AB74">
        <v>0.46023576100043301</v>
      </c>
      <c r="AC74">
        <v>0.22790418447748731</v>
      </c>
      <c r="AD74">
        <v>0.66786633514878746</v>
      </c>
    </row>
    <row r="75" spans="1:30">
      <c r="A75" t="s">
        <v>78</v>
      </c>
      <c r="B75" t="s">
        <v>73</v>
      </c>
      <c r="C75" t="s">
        <v>70</v>
      </c>
      <c r="D75">
        <v>7</v>
      </c>
      <c r="E75">
        <v>5.0724637681159403E-2</v>
      </c>
      <c r="F75">
        <v>5</v>
      </c>
      <c r="G75">
        <v>5.66250373030069E-2</v>
      </c>
      <c r="H75">
        <v>5.0559722310683397E-2</v>
      </c>
      <c r="I75">
        <v>6.7131051621453303E-2</v>
      </c>
      <c r="J75">
        <v>1.1163221639735641</v>
      </c>
      <c r="K75">
        <v>0.99674881126775916</v>
      </c>
      <c r="L75">
        <v>1.3234407319657959</v>
      </c>
      <c r="M75">
        <v>0.49116684841875691</v>
      </c>
      <c r="N75">
        <v>0.44122137404580147</v>
      </c>
      <c r="O75">
        <v>0.5671755725190839</v>
      </c>
      <c r="P75">
        <v>-7.2669713659328002E-3</v>
      </c>
      <c r="Q75">
        <v>-0.10904388548154401</v>
      </c>
      <c r="R75">
        <v>5.6926781638670203E-2</v>
      </c>
      <c r="S75">
        <v>0.18591184806389291</v>
      </c>
      <c r="T75">
        <v>0.10698648391395391</v>
      </c>
      <c r="U75">
        <v>0.2218490638872804</v>
      </c>
      <c r="V75">
        <v>4.7133190796529299E-2</v>
      </c>
      <c r="W75">
        <v>2.8958677685950399E-2</v>
      </c>
      <c r="X75">
        <v>5.4242614707730903E-2</v>
      </c>
      <c r="Y75">
        <v>0.74285714285714288</v>
      </c>
      <c r="Z75">
        <v>0.31428571428571428</v>
      </c>
      <c r="AA75">
        <v>1</v>
      </c>
      <c r="AB75">
        <v>4.17870293078106E-2</v>
      </c>
      <c r="AC75">
        <v>1.174982829685E-4</v>
      </c>
      <c r="AD75">
        <v>0.13790661676265481</v>
      </c>
    </row>
    <row r="76" spans="1:30">
      <c r="A76" t="s">
        <v>78</v>
      </c>
      <c r="B76" t="s">
        <v>73</v>
      </c>
      <c r="C76" t="s">
        <v>71</v>
      </c>
      <c r="D76">
        <v>9</v>
      </c>
      <c r="E76">
        <v>6.5217391304347797E-2</v>
      </c>
      <c r="F76">
        <v>5</v>
      </c>
      <c r="G76">
        <v>5.3302310692446203E-2</v>
      </c>
      <c r="H76">
        <v>4.4557365111793597E-2</v>
      </c>
      <c r="I76">
        <v>6.7213799026805798E-2</v>
      </c>
      <c r="J76">
        <v>0.81730209728417547</v>
      </c>
      <c r="K76">
        <v>0.68321293171416964</v>
      </c>
      <c r="L76">
        <v>1.03061158507769</v>
      </c>
      <c r="M76">
        <v>0.33023255813953478</v>
      </c>
      <c r="N76">
        <v>0.22592592592592589</v>
      </c>
      <c r="O76">
        <v>0.46666666666666662</v>
      </c>
      <c r="P76">
        <v>-0.10540960290521301</v>
      </c>
      <c r="Q76">
        <v>-0.18526072182035891</v>
      </c>
      <c r="R76">
        <v>3.4236804788122799E-2</v>
      </c>
      <c r="S76">
        <v>0.19935844788384069</v>
      </c>
      <c r="T76">
        <v>0.12354059190876999</v>
      </c>
      <c r="U76">
        <v>0.26287581699346402</v>
      </c>
      <c r="V76">
        <v>5.2537848974352999E-2</v>
      </c>
      <c r="W76">
        <v>3.4257485633632401E-2</v>
      </c>
      <c r="X76">
        <v>6.9140800719748E-2</v>
      </c>
      <c r="Y76">
        <v>0.66666666666666674</v>
      </c>
      <c r="Z76">
        <v>0.35555555555555551</v>
      </c>
      <c r="AA76">
        <v>0.87777777777777777</v>
      </c>
      <c r="AB76">
        <v>4.3152409921039803E-2</v>
      </c>
      <c r="AC76">
        <v>1.5042066908998401E-2</v>
      </c>
      <c r="AD76">
        <v>7.8561299497720199E-2</v>
      </c>
    </row>
    <row r="77" spans="1:30">
      <c r="A77" t="s">
        <v>78</v>
      </c>
      <c r="B77" t="s">
        <v>74</v>
      </c>
      <c r="C77" t="s">
        <v>67</v>
      </c>
      <c r="D77">
        <v>4</v>
      </c>
      <c r="E77">
        <v>2.8985507246376802E-2</v>
      </c>
      <c r="F77">
        <v>5</v>
      </c>
      <c r="G77">
        <v>5.3488880143233601E-2</v>
      </c>
      <c r="H77">
        <v>4.6076973725347303E-2</v>
      </c>
      <c r="I77">
        <v>6.3157079722574394E-2</v>
      </c>
      <c r="J77">
        <v>1.845366364941561</v>
      </c>
      <c r="K77">
        <v>1.589655593524482</v>
      </c>
      <c r="L77">
        <v>2.1789192504288168</v>
      </c>
      <c r="M77">
        <v>0.6130597014925373</v>
      </c>
      <c r="N77">
        <v>0.55652985074626871</v>
      </c>
      <c r="O77">
        <v>0.68264925373134322</v>
      </c>
      <c r="P77">
        <v>6.4579444589532103E-2</v>
      </c>
      <c r="Q77">
        <v>-7.6100298486840004E-4</v>
      </c>
      <c r="R77">
        <v>0.1094361457897583</v>
      </c>
      <c r="S77">
        <v>0.15548472413485029</v>
      </c>
      <c r="T77">
        <v>9.8733583489681004E-2</v>
      </c>
      <c r="U77">
        <v>0.20535714285714279</v>
      </c>
      <c r="V77">
        <v>4.4055555555555501E-2</v>
      </c>
      <c r="W77">
        <v>2.8999999999999901E-2</v>
      </c>
      <c r="X77">
        <v>6.1249999999999999E-2</v>
      </c>
      <c r="Y77">
        <v>0.5</v>
      </c>
      <c r="Z77">
        <v>0.25</v>
      </c>
      <c r="AA77">
        <v>0.95</v>
      </c>
      <c r="AB77">
        <v>7.0338964312828697E-2</v>
      </c>
      <c r="AC77">
        <v>9.1455915352404004E-3</v>
      </c>
      <c r="AD77">
        <v>0.13450046212566849</v>
      </c>
    </row>
    <row r="78" spans="1:30">
      <c r="A78" t="s">
        <v>78</v>
      </c>
      <c r="B78" t="s">
        <v>74</v>
      </c>
      <c r="C78" t="s">
        <v>68</v>
      </c>
      <c r="D78">
        <v>20</v>
      </c>
      <c r="E78">
        <v>0.14492753623188401</v>
      </c>
      <c r="F78">
        <v>5</v>
      </c>
      <c r="G78">
        <v>0.36051157011691348</v>
      </c>
      <c r="H78">
        <v>0.281816603776949</v>
      </c>
      <c r="I78">
        <v>0.42545352210749149</v>
      </c>
      <c r="J78">
        <v>2.4875298338067031</v>
      </c>
      <c r="K78">
        <v>1.9445345660609481</v>
      </c>
      <c r="L78">
        <v>2.9356293025416922</v>
      </c>
      <c r="M78">
        <v>0.75033898305084756</v>
      </c>
      <c r="N78">
        <v>0.71995762711864408</v>
      </c>
      <c r="O78">
        <v>0.78762711864406776</v>
      </c>
      <c r="P78">
        <v>0.38010350927102837</v>
      </c>
      <c r="Q78">
        <v>0.32364871664502209</v>
      </c>
      <c r="R78">
        <v>0.42312756165546989</v>
      </c>
      <c r="S78">
        <v>0.60832340439586807</v>
      </c>
      <c r="T78">
        <v>0.52705570291777193</v>
      </c>
      <c r="U78">
        <v>0.6560153817982054</v>
      </c>
      <c r="V78">
        <v>0.33344565060066578</v>
      </c>
      <c r="W78">
        <v>0.32065306122448978</v>
      </c>
      <c r="X78">
        <v>0.346287451150673</v>
      </c>
      <c r="Y78">
        <v>0.76999999999999991</v>
      </c>
      <c r="Z78">
        <v>0.62</v>
      </c>
      <c r="AA78">
        <v>0.84499999999999997</v>
      </c>
      <c r="AB78">
        <v>0.37983045134172971</v>
      </c>
      <c r="AC78">
        <v>0.27979149669783199</v>
      </c>
      <c r="AD78">
        <v>0.51115350683070915</v>
      </c>
    </row>
    <row r="79" spans="1:30">
      <c r="A79" t="s">
        <v>78</v>
      </c>
      <c r="B79" t="s">
        <v>74</v>
      </c>
      <c r="C79" t="s">
        <v>69</v>
      </c>
      <c r="D79">
        <v>26</v>
      </c>
      <c r="E79">
        <v>0.1884057971014492</v>
      </c>
      <c r="F79">
        <v>5</v>
      </c>
      <c r="G79">
        <v>0.5649804413614824</v>
      </c>
      <c r="H79">
        <v>0.52326926690948328</v>
      </c>
      <c r="I79">
        <v>0.62785385400145777</v>
      </c>
      <c r="J79">
        <v>2.998742342610945</v>
      </c>
      <c r="K79">
        <v>2.7773522628272569</v>
      </c>
      <c r="L79">
        <v>3.332455071238507</v>
      </c>
      <c r="M79">
        <v>0.88791208791208798</v>
      </c>
      <c r="N79">
        <v>0.87565247252747258</v>
      </c>
      <c r="O79">
        <v>0.89831730769230766</v>
      </c>
      <c r="P79">
        <v>0.53654385012449213</v>
      </c>
      <c r="Q79">
        <v>0.48269688496458218</v>
      </c>
      <c r="R79">
        <v>0.57843284788303984</v>
      </c>
      <c r="S79">
        <v>0.73829246091240097</v>
      </c>
      <c r="T79">
        <v>0.65987318840579712</v>
      </c>
      <c r="U79">
        <v>0.8025701434996787</v>
      </c>
      <c r="V79">
        <v>0.4875524962873467</v>
      </c>
      <c r="W79">
        <v>0.39717653508771927</v>
      </c>
      <c r="X79">
        <v>0.53586800573888094</v>
      </c>
      <c r="Y79">
        <v>0.86153846153846148</v>
      </c>
      <c r="Z79">
        <v>0.70384615384615379</v>
      </c>
      <c r="AA79">
        <v>0.99615384615384617</v>
      </c>
      <c r="AB79">
        <v>0.31733045057533082</v>
      </c>
      <c r="AC79">
        <v>5.9089382079865298E-2</v>
      </c>
      <c r="AD79">
        <v>0.6248940527729655</v>
      </c>
    </row>
    <row r="80" spans="1:30">
      <c r="A80" t="s">
        <v>78</v>
      </c>
      <c r="B80" t="s">
        <v>74</v>
      </c>
      <c r="C80" t="s">
        <v>70</v>
      </c>
      <c r="D80">
        <v>7</v>
      </c>
      <c r="E80">
        <v>5.0724637681159403E-2</v>
      </c>
      <c r="F80">
        <v>5</v>
      </c>
      <c r="G80">
        <v>0.1508813651521474</v>
      </c>
      <c r="H80">
        <v>0.11069006888297279</v>
      </c>
      <c r="I80">
        <v>0.2405994030540691</v>
      </c>
      <c r="J80">
        <v>2.9745183415709069</v>
      </c>
      <c r="K80">
        <v>2.1821756436928941</v>
      </c>
      <c r="L80">
        <v>4.7432453744945056</v>
      </c>
      <c r="M80">
        <v>0.76859323882224651</v>
      </c>
      <c r="N80">
        <v>0.72006543075245366</v>
      </c>
      <c r="O80">
        <v>0.80414394765539798</v>
      </c>
      <c r="P80">
        <v>0.1133115677139481</v>
      </c>
      <c r="Q80">
        <v>-4.7884161790407102E-2</v>
      </c>
      <c r="R80">
        <v>0.2452767804267319</v>
      </c>
      <c r="S80">
        <v>0.2437281908051368</v>
      </c>
      <c r="T80">
        <v>2.20588235294117E-2</v>
      </c>
      <c r="U80">
        <v>0.3866490416391275</v>
      </c>
      <c r="V80">
        <v>8.4839355227808499E-2</v>
      </c>
      <c r="W80">
        <v>7.4999999999999997E-3</v>
      </c>
      <c r="X80">
        <v>0.16635780470420519</v>
      </c>
      <c r="Y80">
        <v>0.51428571428571423</v>
      </c>
      <c r="Z80">
        <v>4.2857142857142802E-2</v>
      </c>
      <c r="AA80">
        <v>0.84285714285714275</v>
      </c>
      <c r="AB80">
        <v>0.15847285564640659</v>
      </c>
      <c r="AC80">
        <v>6.8121656598981895E-2</v>
      </c>
      <c r="AD80">
        <v>0.2882040482415027</v>
      </c>
    </row>
    <row r="81" spans="1:30">
      <c r="A81" t="s">
        <v>78</v>
      </c>
      <c r="B81" t="s">
        <v>74</v>
      </c>
      <c r="C81" t="s">
        <v>71</v>
      </c>
      <c r="D81">
        <v>9</v>
      </c>
      <c r="E81">
        <v>6.5217391304347797E-2</v>
      </c>
      <c r="F81">
        <v>5</v>
      </c>
      <c r="G81">
        <v>8.8111977440462105E-2</v>
      </c>
      <c r="H81">
        <v>6.8489975145382506E-2</v>
      </c>
      <c r="I81">
        <v>0.1102578067330437</v>
      </c>
      <c r="J81">
        <v>1.3510503207537521</v>
      </c>
      <c r="K81">
        <v>1.050179618895865</v>
      </c>
      <c r="L81">
        <v>1.690619703240003</v>
      </c>
      <c r="M81">
        <v>0.51610680447889745</v>
      </c>
      <c r="N81">
        <v>0.45073212747631353</v>
      </c>
      <c r="O81">
        <v>0.56925064599483199</v>
      </c>
      <c r="P81">
        <v>4.3814197611345897E-2</v>
      </c>
      <c r="Q81">
        <v>-1.8391383710557801E-2</v>
      </c>
      <c r="R81">
        <v>9.8418545562170001E-2</v>
      </c>
      <c r="S81">
        <v>0.22231585460925779</v>
      </c>
      <c r="T81">
        <v>0.14473684210526311</v>
      </c>
      <c r="U81">
        <v>0.28624260355029579</v>
      </c>
      <c r="V81">
        <v>7.3394945697577194E-2</v>
      </c>
      <c r="W81">
        <v>5.6766917293233E-2</v>
      </c>
      <c r="X81">
        <v>9.1874999999999998E-2</v>
      </c>
      <c r="Y81">
        <v>0.57777777777777772</v>
      </c>
      <c r="Z81">
        <v>0.23333333333333331</v>
      </c>
      <c r="AA81">
        <v>1</v>
      </c>
      <c r="AB81">
        <v>0.115969499993059</v>
      </c>
      <c r="AC81">
        <v>7.4968671354360002E-4</v>
      </c>
      <c r="AD81">
        <v>0.223343079449768</v>
      </c>
    </row>
    <row r="82" spans="1:30">
      <c r="A82" t="s">
        <v>78</v>
      </c>
      <c r="B82" t="s">
        <v>75</v>
      </c>
      <c r="C82" t="s">
        <v>67</v>
      </c>
      <c r="D82">
        <v>4</v>
      </c>
      <c r="E82">
        <v>2.8985507246376802E-2</v>
      </c>
      <c r="F82">
        <v>5</v>
      </c>
      <c r="G82">
        <v>5.4898440464819398E-2</v>
      </c>
      <c r="H82">
        <v>2.9810432835748898E-2</v>
      </c>
      <c r="I82">
        <v>7.9257297551788994E-2</v>
      </c>
      <c r="J82">
        <v>1.893996196036271</v>
      </c>
      <c r="K82">
        <v>1.0284599328333379</v>
      </c>
      <c r="L82">
        <v>2.734376765536723</v>
      </c>
      <c r="M82">
        <v>0.53208955223880605</v>
      </c>
      <c r="N82">
        <v>0.3979477611940298</v>
      </c>
      <c r="O82">
        <v>0.65354477611940287</v>
      </c>
      <c r="P82">
        <v>-1.0550946190508E-2</v>
      </c>
      <c r="Q82">
        <v>-5.0972279744591099E-2</v>
      </c>
      <c r="R82">
        <v>1.9617514868450699E-2</v>
      </c>
      <c r="S82">
        <v>7.6128484760941695E-2</v>
      </c>
      <c r="T82">
        <v>0</v>
      </c>
      <c r="U82">
        <v>0.13357919254658379</v>
      </c>
      <c r="V82">
        <v>1.8024891774891701E-2</v>
      </c>
      <c r="W82">
        <v>0</v>
      </c>
      <c r="X82">
        <v>3.1155303030302998E-2</v>
      </c>
      <c r="Y82">
        <v>0.4</v>
      </c>
      <c r="Z82">
        <v>0</v>
      </c>
      <c r="AA82">
        <v>0.75</v>
      </c>
      <c r="AB82">
        <v>0.36323220347279878</v>
      </c>
      <c r="AC82">
        <v>0.28096919099664569</v>
      </c>
      <c r="AD82">
        <v>0.46545156215378392</v>
      </c>
    </row>
    <row r="83" spans="1:30">
      <c r="A83" t="s">
        <v>78</v>
      </c>
      <c r="B83" t="s">
        <v>75</v>
      </c>
      <c r="C83" t="s">
        <v>68</v>
      </c>
      <c r="D83">
        <v>20</v>
      </c>
      <c r="E83">
        <v>0.14492753623188401</v>
      </c>
      <c r="F83">
        <v>5</v>
      </c>
      <c r="G83">
        <v>0.39097380471190601</v>
      </c>
      <c r="H83">
        <v>0.2876364963039354</v>
      </c>
      <c r="I83">
        <v>0.54477359229528444</v>
      </c>
      <c r="J83">
        <v>2.6977192525121518</v>
      </c>
      <c r="K83">
        <v>1.9846918244971541</v>
      </c>
      <c r="L83">
        <v>3.7589377868374632</v>
      </c>
      <c r="M83">
        <v>0.74449152542372876</v>
      </c>
      <c r="N83">
        <v>0.70271186440677968</v>
      </c>
      <c r="O83">
        <v>0.77783898305084753</v>
      </c>
      <c r="P83">
        <v>0.37469588221812611</v>
      </c>
      <c r="Q83">
        <v>0.28283448345583678</v>
      </c>
      <c r="R83">
        <v>0.43164527294714611</v>
      </c>
      <c r="S83">
        <v>0.56284400260715972</v>
      </c>
      <c r="T83">
        <v>0.39197808120733019</v>
      </c>
      <c r="U83">
        <v>0.66254174618320605</v>
      </c>
      <c r="V83">
        <v>0.37341753774680603</v>
      </c>
      <c r="W83">
        <v>0.29377177700348428</v>
      </c>
      <c r="X83">
        <v>0.56041666666666667</v>
      </c>
      <c r="Y83">
        <v>0.7</v>
      </c>
      <c r="Z83">
        <v>0.375</v>
      </c>
      <c r="AA83">
        <v>0.85</v>
      </c>
      <c r="AB83">
        <v>0.53265502229887041</v>
      </c>
      <c r="AC83">
        <v>0.48308864554628062</v>
      </c>
      <c r="AD83">
        <v>0.61207525777008065</v>
      </c>
    </row>
    <row r="84" spans="1:30">
      <c r="A84" t="s">
        <v>78</v>
      </c>
      <c r="B84" t="s">
        <v>75</v>
      </c>
      <c r="C84" t="s">
        <v>69</v>
      </c>
      <c r="D84">
        <v>26</v>
      </c>
      <c r="E84">
        <v>0.1884057971014492</v>
      </c>
      <c r="F84">
        <v>5</v>
      </c>
      <c r="G84">
        <v>0.58566836533529909</v>
      </c>
      <c r="H84">
        <v>0.50699051907286308</v>
      </c>
      <c r="I84">
        <v>0.66000469275604434</v>
      </c>
      <c r="J84">
        <v>3.1085474775488962</v>
      </c>
      <c r="K84">
        <v>2.6909496781559659</v>
      </c>
      <c r="L84">
        <v>3.5031018307820809</v>
      </c>
      <c r="M84">
        <v>0.90206043956043958</v>
      </c>
      <c r="N84">
        <v>0.88447802197802194</v>
      </c>
      <c r="O84">
        <v>0.91380494505494525</v>
      </c>
      <c r="P84">
        <v>0.57126248800364121</v>
      </c>
      <c r="Q84">
        <v>0.46133573434805769</v>
      </c>
      <c r="R84">
        <v>0.64099906395352313</v>
      </c>
      <c r="S84">
        <v>0.77016890262157633</v>
      </c>
      <c r="T84">
        <v>0.64576500096469225</v>
      </c>
      <c r="U84">
        <v>0.83278145695364236</v>
      </c>
      <c r="V84">
        <v>0.50423255017827828</v>
      </c>
      <c r="W84">
        <v>0.4508166969147005</v>
      </c>
      <c r="X84">
        <v>0.5423219241443108</v>
      </c>
      <c r="Y84">
        <v>0.89230769230769236</v>
      </c>
      <c r="Z84">
        <v>0.70769230769230762</v>
      </c>
      <c r="AA84">
        <v>0.99615384615384617</v>
      </c>
      <c r="AB84">
        <v>0.5419924349533255</v>
      </c>
      <c r="AC84">
        <v>0.3784074863950217</v>
      </c>
      <c r="AD84">
        <v>0.62273160703547636</v>
      </c>
    </row>
    <row r="85" spans="1:30">
      <c r="A85" t="s">
        <v>78</v>
      </c>
      <c r="B85" t="s">
        <v>75</v>
      </c>
      <c r="C85" t="s">
        <v>70</v>
      </c>
      <c r="D85">
        <v>7</v>
      </c>
      <c r="E85">
        <v>5.0724637681159403E-2</v>
      </c>
      <c r="F85">
        <v>5</v>
      </c>
      <c r="G85">
        <v>9.0533781729550303E-2</v>
      </c>
      <c r="H85">
        <v>6.4970015589410596E-2</v>
      </c>
      <c r="I85">
        <v>0.1278439301050967</v>
      </c>
      <c r="J85">
        <v>1.7848088398111359</v>
      </c>
      <c r="K85">
        <v>1.280837450191239</v>
      </c>
      <c r="L85">
        <v>2.5203517649290492</v>
      </c>
      <c r="M85">
        <v>0.61766630316248627</v>
      </c>
      <c r="N85">
        <v>0.57393675027262814</v>
      </c>
      <c r="O85">
        <v>0.70425299890948745</v>
      </c>
      <c r="P85">
        <v>0.1074382213188757</v>
      </c>
      <c r="Q85">
        <v>5.4197363648522602E-2</v>
      </c>
      <c r="R85">
        <v>0.1887724242042666</v>
      </c>
      <c r="S85">
        <v>0.261208020136734</v>
      </c>
      <c r="T85">
        <v>0.22040620117774301</v>
      </c>
      <c r="U85">
        <v>0.3327825512227362</v>
      </c>
      <c r="V85">
        <v>6.8810197263953293E-2</v>
      </c>
      <c r="W85">
        <v>5.3517959642582401E-2</v>
      </c>
      <c r="X85">
        <v>9.6632698272042503E-2</v>
      </c>
      <c r="Y85">
        <v>0.94285714285714284</v>
      </c>
      <c r="Z85">
        <v>0.8571428571428571</v>
      </c>
      <c r="AA85">
        <v>1</v>
      </c>
      <c r="AB85">
        <v>0.34814929363805441</v>
      </c>
      <c r="AC85">
        <v>0.2739945984108364</v>
      </c>
      <c r="AD85">
        <v>0.4523536127784743</v>
      </c>
    </row>
    <row r="86" spans="1:30">
      <c r="A86" t="s">
        <v>78</v>
      </c>
      <c r="B86" t="s">
        <v>75</v>
      </c>
      <c r="C86" t="s">
        <v>71</v>
      </c>
      <c r="D86">
        <v>9</v>
      </c>
      <c r="E86">
        <v>6.5217391304347797E-2</v>
      </c>
      <c r="F86">
        <v>5</v>
      </c>
      <c r="G86">
        <v>6.01253221878746E-2</v>
      </c>
      <c r="H86">
        <v>5.0388228249798703E-2</v>
      </c>
      <c r="I86">
        <v>7.7002265298954695E-2</v>
      </c>
      <c r="J86">
        <v>0.92192160688074398</v>
      </c>
      <c r="K86">
        <v>0.77261949983024736</v>
      </c>
      <c r="L86">
        <v>1.18070140125064</v>
      </c>
      <c r="M86">
        <v>0.36744186046511629</v>
      </c>
      <c r="N86">
        <v>0.3207579672695951</v>
      </c>
      <c r="O86">
        <v>0.42282515073212751</v>
      </c>
      <c r="P86">
        <v>-7.6167816664092405E-2</v>
      </c>
      <c r="Q86">
        <v>-0.1086065021872628</v>
      </c>
      <c r="R86">
        <v>-2.68623289687955E-2</v>
      </c>
      <c r="S86">
        <v>5.0120772946859897E-2</v>
      </c>
      <c r="T86">
        <v>0</v>
      </c>
      <c r="U86">
        <v>0.16998792270531399</v>
      </c>
      <c r="V86">
        <v>1.5359477124183001E-2</v>
      </c>
      <c r="W86">
        <v>0</v>
      </c>
      <c r="X86">
        <v>4.68954248366013E-2</v>
      </c>
      <c r="Y86">
        <v>0.1333333333333333</v>
      </c>
      <c r="Z86">
        <v>0</v>
      </c>
      <c r="AA86">
        <v>0.51111111111111107</v>
      </c>
      <c r="AB86">
        <v>0.51478762463528904</v>
      </c>
      <c r="AC86">
        <v>0.39953881687944259</v>
      </c>
      <c r="AD86">
        <v>0.62107384347136907</v>
      </c>
    </row>
    <row r="87" spans="1:30">
      <c r="A87" t="s">
        <v>78</v>
      </c>
      <c r="B87" t="s">
        <v>76</v>
      </c>
      <c r="C87" t="s">
        <v>67</v>
      </c>
      <c r="D87">
        <v>4</v>
      </c>
      <c r="E87">
        <v>2.8985507246376802E-2</v>
      </c>
      <c r="F87">
        <v>5</v>
      </c>
      <c r="G87">
        <v>9.3744870867332797E-2</v>
      </c>
      <c r="H87">
        <v>4.7741066846599303E-2</v>
      </c>
      <c r="I87">
        <v>0.20903625081372351</v>
      </c>
      <c r="J87">
        <v>3.234198044922985</v>
      </c>
      <c r="K87">
        <v>1.6470668062076761</v>
      </c>
      <c r="L87">
        <v>7.2117506530734596</v>
      </c>
      <c r="M87">
        <v>0.54141791044776122</v>
      </c>
      <c r="N87">
        <v>0.47201492537313428</v>
      </c>
      <c r="O87">
        <v>0.58059701492537319</v>
      </c>
      <c r="P87">
        <v>0.10440913993225839</v>
      </c>
      <c r="Q87">
        <v>2.3131807979448301E-2</v>
      </c>
      <c r="R87">
        <v>0.30245034592667858</v>
      </c>
      <c r="S87">
        <v>0.1949926900584795</v>
      </c>
      <c r="T87">
        <v>0.13157894736842099</v>
      </c>
      <c r="U87">
        <v>0.390625</v>
      </c>
      <c r="V87">
        <v>7.8366119174942697E-2</v>
      </c>
      <c r="W87">
        <v>2.9595588235294099E-2</v>
      </c>
      <c r="X87">
        <v>0.2295454545454545</v>
      </c>
      <c r="Y87">
        <v>0.75</v>
      </c>
      <c r="Z87">
        <v>0.27500000000000002</v>
      </c>
      <c r="AA87">
        <v>1</v>
      </c>
      <c r="AB87">
        <v>4.0739097720700002E-2</v>
      </c>
      <c r="AC87">
        <v>2.0241338721502999E-3</v>
      </c>
      <c r="AD87">
        <v>9.75601082262786E-2</v>
      </c>
    </row>
    <row r="88" spans="1:30">
      <c r="A88" t="s">
        <v>78</v>
      </c>
      <c r="B88" t="s">
        <v>76</v>
      </c>
      <c r="C88" t="s">
        <v>68</v>
      </c>
      <c r="D88">
        <v>20</v>
      </c>
      <c r="E88">
        <v>0.14492753623188401</v>
      </c>
      <c r="F88">
        <v>5</v>
      </c>
      <c r="G88">
        <v>0.29381230859312552</v>
      </c>
      <c r="H88">
        <v>0.2706738674654392</v>
      </c>
      <c r="I88">
        <v>0.31499530776598977</v>
      </c>
      <c r="J88">
        <v>2.027304929292566</v>
      </c>
      <c r="K88">
        <v>1.8676496855115301</v>
      </c>
      <c r="L88">
        <v>2.1734676235853301</v>
      </c>
      <c r="M88">
        <v>0.70194915254237278</v>
      </c>
      <c r="N88">
        <v>0.67555084745762717</v>
      </c>
      <c r="O88">
        <v>0.72423728813559318</v>
      </c>
      <c r="P88">
        <v>0.1082002719126422</v>
      </c>
      <c r="Q88">
        <v>3.2554025755506401E-2</v>
      </c>
      <c r="R88">
        <v>0.17081313608350049</v>
      </c>
      <c r="S88">
        <v>0.34600618087047919</v>
      </c>
      <c r="T88">
        <v>8.8339406559083802E-2</v>
      </c>
      <c r="U88">
        <v>0.48989898989898989</v>
      </c>
      <c r="V88">
        <v>0.20087485616216499</v>
      </c>
      <c r="W88">
        <v>0.15680033071517149</v>
      </c>
      <c r="X88">
        <v>0.23961038961038961</v>
      </c>
      <c r="Y88">
        <v>0.52</v>
      </c>
      <c r="Z88">
        <v>8.5000000000000006E-2</v>
      </c>
      <c r="AA88">
        <v>0.89</v>
      </c>
      <c r="AB88">
        <v>0.298878627404224</v>
      </c>
      <c r="AC88">
        <v>0.10848571910658859</v>
      </c>
      <c r="AD88">
        <v>0.48731376737729559</v>
      </c>
    </row>
    <row r="89" spans="1:30">
      <c r="A89" t="s">
        <v>78</v>
      </c>
      <c r="B89" t="s">
        <v>76</v>
      </c>
      <c r="C89" t="s">
        <v>69</v>
      </c>
      <c r="D89">
        <v>26</v>
      </c>
      <c r="E89">
        <v>0.1884057971014492</v>
      </c>
      <c r="F89">
        <v>5</v>
      </c>
      <c r="G89">
        <v>0.5841015252347882</v>
      </c>
      <c r="H89">
        <v>0.52962400818875222</v>
      </c>
      <c r="I89">
        <v>0.61482372615620118</v>
      </c>
      <c r="J89">
        <v>3.1002311724000302</v>
      </c>
      <c r="K89">
        <v>2.8110812742326079</v>
      </c>
      <c r="L89">
        <v>3.2632951619059911</v>
      </c>
      <c r="M89">
        <v>0.92273351648351642</v>
      </c>
      <c r="N89">
        <v>0.90803571428571439</v>
      </c>
      <c r="O89">
        <v>0.93166208791208804</v>
      </c>
      <c r="P89">
        <v>0.66150812660501002</v>
      </c>
      <c r="Q89">
        <v>0.60422120060888673</v>
      </c>
      <c r="R89">
        <v>0.71011753100382879</v>
      </c>
      <c r="S89">
        <v>0.81350759144237406</v>
      </c>
      <c r="T89">
        <v>0.75357142857142856</v>
      </c>
      <c r="U89">
        <v>0.86791666666666667</v>
      </c>
      <c r="V89">
        <v>0.60634413185564084</v>
      </c>
      <c r="W89">
        <v>0.56702898550724634</v>
      </c>
      <c r="X89">
        <v>0.64485294117647063</v>
      </c>
      <c r="Y89">
        <v>0.89230769230769236</v>
      </c>
      <c r="Z89">
        <v>0.81153846153846154</v>
      </c>
      <c r="AA89">
        <v>0.99615384615384617</v>
      </c>
      <c r="AB89">
        <v>0.39945896887589322</v>
      </c>
      <c r="AC89">
        <v>0.30049233320250701</v>
      </c>
      <c r="AD89">
        <v>0.46589121433122638</v>
      </c>
    </row>
    <row r="90" spans="1:30">
      <c r="A90" t="s">
        <v>78</v>
      </c>
      <c r="B90" t="s">
        <v>76</v>
      </c>
      <c r="C90" t="s">
        <v>70</v>
      </c>
      <c r="D90">
        <v>7</v>
      </c>
      <c r="E90">
        <v>5.0724637681159403E-2</v>
      </c>
      <c r="F90">
        <v>5</v>
      </c>
      <c r="G90">
        <v>7.4391770574346594E-2</v>
      </c>
      <c r="H90">
        <v>4.6435202161949997E-2</v>
      </c>
      <c r="I90">
        <v>9.6388118776027903E-2</v>
      </c>
      <c r="J90">
        <v>1.4665806198942619</v>
      </c>
      <c r="K90">
        <v>0.91543684262130043</v>
      </c>
      <c r="L90">
        <v>1.900222913013121</v>
      </c>
      <c r="M90">
        <v>0.45365321701199568</v>
      </c>
      <c r="N90">
        <v>0.40599781897491821</v>
      </c>
      <c r="O90">
        <v>0.52878953107960747</v>
      </c>
      <c r="P90">
        <v>-8.1206965197359992E-3</v>
      </c>
      <c r="Q90">
        <v>-9.2956392048277103E-2</v>
      </c>
      <c r="R90">
        <v>8.0537653885733307E-2</v>
      </c>
      <c r="S90">
        <v>0.19348804000080269</v>
      </c>
      <c r="T90">
        <v>0.1475044563279857</v>
      </c>
      <c r="U90">
        <v>0.24252359662195719</v>
      </c>
      <c r="V90">
        <v>4.8930278885645898E-2</v>
      </c>
      <c r="W90">
        <v>3.8669438669438602E-2</v>
      </c>
      <c r="X90">
        <v>6.2556297561733101E-2</v>
      </c>
      <c r="Y90">
        <v>0.77142857142857146</v>
      </c>
      <c r="Z90">
        <v>0.44285714285714278</v>
      </c>
      <c r="AA90">
        <v>1</v>
      </c>
      <c r="AB90">
        <v>4.3925343580836301E-2</v>
      </c>
      <c r="AC90">
        <v>6.3414622541457999E-3</v>
      </c>
      <c r="AD90">
        <v>7.5642740077517395E-2</v>
      </c>
    </row>
    <row r="91" spans="1:30">
      <c r="A91" t="s">
        <v>78</v>
      </c>
      <c r="B91" t="s">
        <v>76</v>
      </c>
      <c r="C91" t="s">
        <v>71</v>
      </c>
      <c r="D91">
        <v>9</v>
      </c>
      <c r="E91">
        <v>6.5217391304347797E-2</v>
      </c>
      <c r="F91">
        <v>5</v>
      </c>
      <c r="G91">
        <v>6.60476299237297E-2</v>
      </c>
      <c r="H91">
        <v>5.6040968000681902E-2</v>
      </c>
      <c r="I91">
        <v>7.3807672995485199E-2</v>
      </c>
      <c r="J91">
        <v>1.0127303254971891</v>
      </c>
      <c r="K91">
        <v>0.85929484267712342</v>
      </c>
      <c r="L91">
        <v>1.1317176525974411</v>
      </c>
      <c r="M91">
        <v>0.40103359173126601</v>
      </c>
      <c r="N91">
        <v>0.378380706287683</v>
      </c>
      <c r="O91">
        <v>0.43126614987080097</v>
      </c>
      <c r="P91">
        <v>-6.2270006193574402E-2</v>
      </c>
      <c r="Q91">
        <v>-0.1650610033830692</v>
      </c>
      <c r="R91">
        <v>4.3336337270843399E-2</v>
      </c>
      <c r="S91">
        <v>0.207047729121004</v>
      </c>
      <c r="T91">
        <v>0.1149621212121212</v>
      </c>
      <c r="U91">
        <v>0.2621873899260303</v>
      </c>
      <c r="V91">
        <v>6.4189578171116105E-2</v>
      </c>
      <c r="W91">
        <v>5.43490203259476E-2</v>
      </c>
      <c r="X91">
        <v>8.1716417910447703E-2</v>
      </c>
      <c r="Y91">
        <v>0.71111111111111103</v>
      </c>
      <c r="Z91">
        <v>0.1777777777777777</v>
      </c>
      <c r="AA91">
        <v>0.98888888888888882</v>
      </c>
      <c r="AB91">
        <v>5.6400490215804497E-2</v>
      </c>
      <c r="AC91">
        <v>1.5089073526854801E-2</v>
      </c>
      <c r="AD91">
        <v>0.17351856157807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"/>
  <sheetViews>
    <sheetView workbookViewId="0">
      <pane ySplit="1" topLeftCell="A2" activePane="bottomLeft" state="frozen"/>
      <selection pane="bottomLeft" activeCell="D20" sqref="D2:D20"/>
    </sheetView>
  </sheetViews>
  <sheetFormatPr defaultRowHeight="16.5"/>
  <cols>
    <col min="1" max="1" width="10" customWidth="1"/>
    <col min="2" max="2" width="11" customWidth="1"/>
    <col min="3" max="3" width="18" customWidth="1"/>
    <col min="4" max="13" width="20" customWidth="1"/>
    <col min="14" max="14" width="21" customWidth="1"/>
    <col min="15" max="24" width="20" customWidth="1"/>
  </cols>
  <sheetData>
    <row r="1" spans="1:24">
      <c r="A1" s="1" t="s">
        <v>24</v>
      </c>
      <c r="B1" s="1" t="s">
        <v>28</v>
      </c>
      <c r="C1" s="1" t="s">
        <v>34</v>
      </c>
      <c r="D1" s="1" t="s">
        <v>42</v>
      </c>
      <c r="E1" s="1" t="s">
        <v>43</v>
      </c>
      <c r="F1" s="1" t="s">
        <v>44</v>
      </c>
      <c r="G1" s="1" t="s">
        <v>38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</row>
    <row r="2" spans="1:24">
      <c r="A2" t="s">
        <v>65</v>
      </c>
      <c r="B2" t="s">
        <v>66</v>
      </c>
      <c r="C2">
        <v>5</v>
      </c>
      <c r="D2">
        <v>0.1588892737774007</v>
      </c>
      <c r="E2">
        <v>0.13956085021475609</v>
      </c>
      <c r="F2">
        <v>0.19648267261500379</v>
      </c>
      <c r="G2">
        <v>1.585627908698849</v>
      </c>
      <c r="H2">
        <v>1.2994582863052511</v>
      </c>
      <c r="I2">
        <v>2.360484632718133</v>
      </c>
      <c r="J2">
        <v>0.52998430404074026</v>
      </c>
      <c r="K2">
        <v>0.48500437741862329</v>
      </c>
      <c r="L2">
        <v>0.60503663974403954</v>
      </c>
      <c r="M2">
        <v>5.1511803820463699E-2</v>
      </c>
      <c r="N2">
        <v>2.7254105577549599E-2</v>
      </c>
      <c r="O2">
        <v>7.6712795230922198E-2</v>
      </c>
      <c r="P2">
        <v>0.26589765213263172</v>
      </c>
      <c r="Q2">
        <v>0.18707888184061791</v>
      </c>
      <c r="R2">
        <v>0.3571242018013337</v>
      </c>
      <c r="S2">
        <v>0.1354339364472936</v>
      </c>
      <c r="T2">
        <v>0.1068785133012683</v>
      </c>
      <c r="U2">
        <v>0.1650688500655294</v>
      </c>
      <c r="V2">
        <v>0.6641318681318682</v>
      </c>
      <c r="W2">
        <v>0.47672283272283261</v>
      </c>
      <c r="X2">
        <v>0.85057387057387068</v>
      </c>
    </row>
    <row r="3" spans="1:24">
      <c r="A3" t="s">
        <v>65</v>
      </c>
      <c r="B3" t="s">
        <v>72</v>
      </c>
      <c r="C3">
        <v>5</v>
      </c>
      <c r="D3">
        <v>0.11540152565928211</v>
      </c>
      <c r="E3">
        <v>0.10863115326937239</v>
      </c>
      <c r="F3">
        <v>0.123012221167954</v>
      </c>
      <c r="G3">
        <v>1.098949132649355</v>
      </c>
      <c r="H3">
        <v>1.0019234079848369</v>
      </c>
      <c r="I3">
        <v>1.2019010090507749</v>
      </c>
      <c r="J3">
        <v>0.477382673036783</v>
      </c>
      <c r="K3">
        <v>0.41316432601901931</v>
      </c>
      <c r="L3">
        <v>0.53081301624856592</v>
      </c>
      <c r="M3">
        <v>1.6522011173699599E-2</v>
      </c>
      <c r="N3">
        <v>-3.6662108960760401E-2</v>
      </c>
      <c r="O3">
        <v>6.6944090324063302E-2</v>
      </c>
      <c r="P3">
        <v>0.2097012645771634</v>
      </c>
      <c r="Q3">
        <v>0.1053704966696694</v>
      </c>
      <c r="R3">
        <v>0.27276593943956678</v>
      </c>
      <c r="S3">
        <v>0.1204967158949823</v>
      </c>
      <c r="T3">
        <v>9.9116179652847497E-2</v>
      </c>
      <c r="U3">
        <v>0.14879867948400979</v>
      </c>
      <c r="V3">
        <v>0.50204639804639817</v>
      </c>
      <c r="W3">
        <v>0.19159584859584861</v>
      </c>
      <c r="X3">
        <v>0.73557387057387047</v>
      </c>
    </row>
    <row r="4" spans="1:24">
      <c r="A4" t="s">
        <v>65</v>
      </c>
      <c r="B4" t="s">
        <v>73</v>
      </c>
      <c r="C4">
        <v>5</v>
      </c>
      <c r="D4">
        <v>0.21731221722642799</v>
      </c>
      <c r="E4">
        <v>0.2039176092222624</v>
      </c>
      <c r="F4">
        <v>0.23579961216822959</v>
      </c>
      <c r="G4">
        <v>2.214671343378662</v>
      </c>
      <c r="H4">
        <v>2.139687175401074</v>
      </c>
      <c r="I4">
        <v>2.3005459214003978</v>
      </c>
      <c r="J4">
        <v>0.69400357907180754</v>
      </c>
      <c r="K4">
        <v>0.64956604655196803</v>
      </c>
      <c r="L4">
        <v>0.71967972129328406</v>
      </c>
      <c r="M4">
        <v>0.19458481733371341</v>
      </c>
      <c r="N4">
        <v>0.16525298430887189</v>
      </c>
      <c r="O4">
        <v>0.21180305317125281</v>
      </c>
      <c r="P4">
        <v>0.37705877612062461</v>
      </c>
      <c r="Q4">
        <v>0.33867526673202791</v>
      </c>
      <c r="R4">
        <v>0.40658103070262208</v>
      </c>
      <c r="S4">
        <v>0.1842215107935154</v>
      </c>
      <c r="T4">
        <v>0.162391864101604</v>
      </c>
      <c r="U4">
        <v>0.2080258529959732</v>
      </c>
      <c r="V4">
        <v>0.67878876678876687</v>
      </c>
      <c r="W4">
        <v>0.54138705738705739</v>
      </c>
      <c r="X4">
        <v>0.78580341880341875</v>
      </c>
    </row>
    <row r="5" spans="1:24">
      <c r="A5" t="s">
        <v>65</v>
      </c>
      <c r="B5" t="s">
        <v>74</v>
      </c>
      <c r="C5">
        <v>5</v>
      </c>
      <c r="D5">
        <v>0.1856189714882038</v>
      </c>
      <c r="E5">
        <v>0.17994884454502699</v>
      </c>
      <c r="F5">
        <v>0.19031825519461559</v>
      </c>
      <c r="G5">
        <v>1.68390561925884</v>
      </c>
      <c r="H5">
        <v>1.587295762404807</v>
      </c>
      <c r="I5">
        <v>1.797507409803522</v>
      </c>
      <c r="J5">
        <v>0.62761442435820525</v>
      </c>
      <c r="K5">
        <v>0.59133094172480849</v>
      </c>
      <c r="L5">
        <v>0.66192508860446364</v>
      </c>
      <c r="M5">
        <v>0.14995261153912179</v>
      </c>
      <c r="N5">
        <v>8.5996533498715E-2</v>
      </c>
      <c r="O5">
        <v>0.20392394246212289</v>
      </c>
      <c r="P5">
        <v>0.32593155845014748</v>
      </c>
      <c r="Q5">
        <v>0.25993840694611797</v>
      </c>
      <c r="R5">
        <v>0.37758531292370823</v>
      </c>
      <c r="S5">
        <v>0.17523670232650931</v>
      </c>
      <c r="T5">
        <v>0.1373459189505864</v>
      </c>
      <c r="U5">
        <v>0.20328762070908291</v>
      </c>
      <c r="V5">
        <v>0.68932356532356531</v>
      </c>
      <c r="W5">
        <v>0.6487643467643468</v>
      </c>
      <c r="X5">
        <v>0.80022832722832726</v>
      </c>
    </row>
    <row r="6" spans="1:24">
      <c r="A6" t="s">
        <v>65</v>
      </c>
      <c r="B6" t="s">
        <v>75</v>
      </c>
      <c r="C6">
        <v>5</v>
      </c>
      <c r="D6">
        <v>0.1813519354990184</v>
      </c>
      <c r="E6">
        <v>0.1531245214711178</v>
      </c>
      <c r="F6">
        <v>0.20716026252376379</v>
      </c>
      <c r="G6">
        <v>1.5851214129011431</v>
      </c>
      <c r="H6">
        <v>1.342293839461816</v>
      </c>
      <c r="I6">
        <v>1.781948462166498</v>
      </c>
      <c r="J6">
        <v>0.58195093478587068</v>
      </c>
      <c r="K6">
        <v>0.54364014411980799</v>
      </c>
      <c r="L6">
        <v>0.62092319353614933</v>
      </c>
      <c r="M6">
        <v>0.12863730321828709</v>
      </c>
      <c r="N6">
        <v>0.10796980361034079</v>
      </c>
      <c r="O6">
        <v>0.16052361099227699</v>
      </c>
      <c r="P6">
        <v>0.33686583510508578</v>
      </c>
      <c r="Q6">
        <v>0.31624522322762388</v>
      </c>
      <c r="R6">
        <v>0.36427368750471062</v>
      </c>
      <c r="S6">
        <v>0.16847055562406921</v>
      </c>
      <c r="T6">
        <v>0.154610667580978</v>
      </c>
      <c r="U6">
        <v>0.190516819073973</v>
      </c>
      <c r="V6">
        <v>0.72052503052503059</v>
      </c>
      <c r="W6">
        <v>0.59308058608058611</v>
      </c>
      <c r="X6">
        <v>0.7805592185592185</v>
      </c>
    </row>
    <row r="7" spans="1:24">
      <c r="A7" t="s">
        <v>65</v>
      </c>
      <c r="B7" t="s">
        <v>76</v>
      </c>
      <c r="C7">
        <v>5</v>
      </c>
      <c r="D7">
        <v>0.20932504673586949</v>
      </c>
      <c r="E7">
        <v>0.17092051058296459</v>
      </c>
      <c r="F7">
        <v>0.2261163757313899</v>
      </c>
      <c r="G7">
        <v>2.1740125433096611</v>
      </c>
      <c r="H7">
        <v>1.8303866377327209</v>
      </c>
      <c r="I7">
        <v>2.5569807517412859</v>
      </c>
      <c r="J7">
        <v>0.62799846704692874</v>
      </c>
      <c r="K7">
        <v>0.6135184987539799</v>
      </c>
      <c r="L7">
        <v>0.64590215726893174</v>
      </c>
      <c r="M7">
        <v>0.12760189719421719</v>
      </c>
      <c r="N7">
        <v>5.8876979724766902E-2</v>
      </c>
      <c r="O7">
        <v>0.1915792745944907</v>
      </c>
      <c r="P7">
        <v>0.31983798357256499</v>
      </c>
      <c r="Q7">
        <v>0.28235046610663439</v>
      </c>
      <c r="R7">
        <v>0.3713561837127608</v>
      </c>
      <c r="S7">
        <v>0.1894979476349119</v>
      </c>
      <c r="T7">
        <v>0.15326241887319381</v>
      </c>
      <c r="U7">
        <v>0.21399505350718639</v>
      </c>
      <c r="V7">
        <v>0.62011965811965819</v>
      </c>
      <c r="W7">
        <v>0.48310989010989008</v>
      </c>
      <c r="X7">
        <v>0.74335775335775334</v>
      </c>
    </row>
    <row r="8" spans="1:24">
      <c r="A8" t="s">
        <v>77</v>
      </c>
      <c r="B8" t="s">
        <v>66</v>
      </c>
      <c r="C8">
        <v>5</v>
      </c>
      <c r="D8">
        <v>0.1973321049570449</v>
      </c>
      <c r="E8">
        <v>0.182085150256734</v>
      </c>
      <c r="F8">
        <v>0.20792783794860881</v>
      </c>
      <c r="G8">
        <v>1.7461418472907551</v>
      </c>
      <c r="H8">
        <v>1.6721358317288051</v>
      </c>
      <c r="I8">
        <v>1.8490522514026499</v>
      </c>
      <c r="J8">
        <v>0.62989434535133093</v>
      </c>
      <c r="K8">
        <v>0.60680226985149743</v>
      </c>
      <c r="L8">
        <v>0.65579072023468976</v>
      </c>
      <c r="M8">
        <v>0.1830443757812816</v>
      </c>
      <c r="N8">
        <v>0.1723918646697323</v>
      </c>
      <c r="O8">
        <v>0.19169099627853031</v>
      </c>
      <c r="P8">
        <v>0.37812439398305803</v>
      </c>
      <c r="Q8">
        <v>0.3677327488510389</v>
      </c>
      <c r="R8">
        <v>0.39500246687919471</v>
      </c>
      <c r="S8">
        <v>0.1777713307883837</v>
      </c>
      <c r="T8">
        <v>0.16109762826271939</v>
      </c>
      <c r="U8">
        <v>0.1959074333407628</v>
      </c>
      <c r="V8">
        <v>0.82522588522588514</v>
      </c>
      <c r="W8">
        <v>0.70365689865689862</v>
      </c>
      <c r="X8">
        <v>0.92082417582417597</v>
      </c>
    </row>
    <row r="9" spans="1:24">
      <c r="A9" t="s">
        <v>77</v>
      </c>
      <c r="B9" t="s">
        <v>72</v>
      </c>
      <c r="C9">
        <v>5</v>
      </c>
      <c r="D9">
        <v>0.18037591688233309</v>
      </c>
      <c r="E9">
        <v>0.15284457398271839</v>
      </c>
      <c r="F9">
        <v>0.20648614008691751</v>
      </c>
      <c r="G9">
        <v>1.6807667179950949</v>
      </c>
      <c r="H9">
        <v>1.4276491193229901</v>
      </c>
      <c r="I9">
        <v>1.8138595030051829</v>
      </c>
      <c r="J9">
        <v>0.64704349281769546</v>
      </c>
      <c r="K9">
        <v>0.59855211624213511</v>
      </c>
      <c r="L9">
        <v>0.69688243900567304</v>
      </c>
      <c r="M9">
        <v>0.14876424109172401</v>
      </c>
      <c r="N9">
        <v>0.1194845787360054</v>
      </c>
      <c r="O9">
        <v>0.18081671732614699</v>
      </c>
      <c r="P9">
        <v>0.3112090842637133</v>
      </c>
      <c r="Q9">
        <v>0.2228810304473571</v>
      </c>
      <c r="R9">
        <v>0.35511032308593388</v>
      </c>
      <c r="S9">
        <v>0.17547044735201431</v>
      </c>
      <c r="T9">
        <v>0.1116837188654948</v>
      </c>
      <c r="U9">
        <v>0.2788447047539992</v>
      </c>
      <c r="V9">
        <v>0.62796092796092784</v>
      </c>
      <c r="W9">
        <v>0.42912698412698408</v>
      </c>
      <c r="X9">
        <v>0.76691086691086696</v>
      </c>
    </row>
    <row r="10" spans="1:24">
      <c r="A10" t="s">
        <v>77</v>
      </c>
      <c r="B10" t="s">
        <v>73</v>
      </c>
      <c r="C10">
        <v>5</v>
      </c>
      <c r="D10">
        <v>0.23583655078445809</v>
      </c>
      <c r="E10">
        <v>0.2030848531343902</v>
      </c>
      <c r="F10">
        <v>0.2565045992892348</v>
      </c>
      <c r="G10">
        <v>2.1618975042869799</v>
      </c>
      <c r="H10">
        <v>1.8250819896369801</v>
      </c>
      <c r="I10">
        <v>2.4627080706812379</v>
      </c>
      <c r="J10">
        <v>0.70109542635444844</v>
      </c>
      <c r="K10">
        <v>0.68091944631382451</v>
      </c>
      <c r="L10">
        <v>0.72605027525994281</v>
      </c>
      <c r="M10">
        <v>0.21281373808986201</v>
      </c>
      <c r="N10">
        <v>0.1846777194180283</v>
      </c>
      <c r="O10">
        <v>0.26783370382005811</v>
      </c>
      <c r="P10">
        <v>0.37748414845806633</v>
      </c>
      <c r="Q10">
        <v>0.35356968594811361</v>
      </c>
      <c r="R10">
        <v>0.4239746017663355</v>
      </c>
      <c r="S10">
        <v>0.2091335934897296</v>
      </c>
      <c r="T10">
        <v>0.1978129024937908</v>
      </c>
      <c r="U10">
        <v>0.23581923344767761</v>
      </c>
      <c r="V10">
        <v>0.64190476190476198</v>
      </c>
      <c r="W10">
        <v>0.5043406593406593</v>
      </c>
      <c r="X10">
        <v>0.76203296703296708</v>
      </c>
    </row>
    <row r="11" spans="1:24">
      <c r="A11" t="s">
        <v>77</v>
      </c>
      <c r="B11" t="s">
        <v>74</v>
      </c>
      <c r="C11">
        <v>5</v>
      </c>
      <c r="D11">
        <v>0.27434261461693082</v>
      </c>
      <c r="E11">
        <v>0.26727186700974831</v>
      </c>
      <c r="F11">
        <v>0.27964296090669621</v>
      </c>
      <c r="G11">
        <v>2.513408545833101</v>
      </c>
      <c r="H11">
        <v>2.3781034112400419</v>
      </c>
      <c r="I11">
        <v>2.642392634698473</v>
      </c>
      <c r="J11">
        <v>0.70279657547621033</v>
      </c>
      <c r="K11">
        <v>0.68303622162260247</v>
      </c>
      <c r="L11">
        <v>0.71537034929402743</v>
      </c>
      <c r="M11">
        <v>0.23738783325636889</v>
      </c>
      <c r="N11">
        <v>0.2024829620064473</v>
      </c>
      <c r="O11">
        <v>0.26986781095476309</v>
      </c>
      <c r="P11">
        <v>0.38899337229421349</v>
      </c>
      <c r="Q11">
        <v>0.340656405717982</v>
      </c>
      <c r="R11">
        <v>0.42950738277860151</v>
      </c>
      <c r="S11">
        <v>0.2140317440901785</v>
      </c>
      <c r="T11">
        <v>0.19625768234260671</v>
      </c>
      <c r="U11">
        <v>0.22714663571383051</v>
      </c>
      <c r="V11">
        <v>0.67503052503052507</v>
      </c>
      <c r="W11">
        <v>0.4201709401709402</v>
      </c>
      <c r="X11">
        <v>0.83724053724053726</v>
      </c>
    </row>
    <row r="12" spans="1:24">
      <c r="A12" t="s">
        <v>77</v>
      </c>
      <c r="B12" t="s">
        <v>75</v>
      </c>
      <c r="C12">
        <v>5</v>
      </c>
      <c r="D12">
        <v>0.2307953389017964</v>
      </c>
      <c r="E12">
        <v>0.19480607290949409</v>
      </c>
      <c r="F12">
        <v>0.26204414879193422</v>
      </c>
      <c r="G12">
        <v>2.078149596213001</v>
      </c>
      <c r="H12">
        <v>1.7916458785788241</v>
      </c>
      <c r="I12">
        <v>2.3516284656444291</v>
      </c>
      <c r="J12">
        <v>0.61226326832512112</v>
      </c>
      <c r="K12">
        <v>0.57564698901369316</v>
      </c>
      <c r="L12">
        <v>0.63214189522993214</v>
      </c>
      <c r="M12">
        <v>0.17409725891304731</v>
      </c>
      <c r="N12">
        <v>0.1248439023028597</v>
      </c>
      <c r="O12">
        <v>0.205341134103355</v>
      </c>
      <c r="P12">
        <v>0.31857637002713429</v>
      </c>
      <c r="Q12">
        <v>0.29118389049680621</v>
      </c>
      <c r="R12">
        <v>0.3799794965001731</v>
      </c>
      <c r="S12">
        <v>0.2212126045007837</v>
      </c>
      <c r="T12">
        <v>0.17441106394356881</v>
      </c>
      <c r="U12">
        <v>0.27373314287478878</v>
      </c>
      <c r="V12">
        <v>0.61758241758241761</v>
      </c>
      <c r="W12">
        <v>0.49260683760683749</v>
      </c>
      <c r="X12">
        <v>0.72467032967032974</v>
      </c>
    </row>
    <row r="13" spans="1:24">
      <c r="A13" t="s">
        <v>77</v>
      </c>
      <c r="B13" t="s">
        <v>76</v>
      </c>
      <c r="C13">
        <v>5</v>
      </c>
      <c r="D13">
        <v>0.2244718451974595</v>
      </c>
      <c r="E13">
        <v>0.2052576876427161</v>
      </c>
      <c r="F13">
        <v>0.24908099541303011</v>
      </c>
      <c r="G13">
        <v>2.1144864379682291</v>
      </c>
      <c r="H13">
        <v>1.695660426314745</v>
      </c>
      <c r="I13">
        <v>2.8594104817276169</v>
      </c>
      <c r="J13">
        <v>0.6380490460186713</v>
      </c>
      <c r="K13">
        <v>0.59591822625198254</v>
      </c>
      <c r="L13">
        <v>0.67069363656548331</v>
      </c>
      <c r="M13">
        <v>0.18265340801366931</v>
      </c>
      <c r="N13">
        <v>0.14667505293685501</v>
      </c>
      <c r="O13">
        <v>0.2380664509892636</v>
      </c>
      <c r="P13">
        <v>0.35964657600347277</v>
      </c>
      <c r="Q13">
        <v>0.3185345785294485</v>
      </c>
      <c r="R13">
        <v>0.40364369124306632</v>
      </c>
      <c r="S13">
        <v>0.19582071555547789</v>
      </c>
      <c r="T13">
        <v>0.1802356535096602</v>
      </c>
      <c r="U13">
        <v>0.23268704275852739</v>
      </c>
      <c r="V13">
        <v>0.69557997557997564</v>
      </c>
      <c r="W13">
        <v>0.49874236874236882</v>
      </c>
      <c r="X13">
        <v>0.80913308913308912</v>
      </c>
    </row>
    <row r="14" spans="1:24">
      <c r="A14" t="s">
        <v>78</v>
      </c>
      <c r="B14" t="s">
        <v>66</v>
      </c>
      <c r="C14">
        <v>5</v>
      </c>
      <c r="D14">
        <v>0.2408312614175821</v>
      </c>
      <c r="E14">
        <v>0.20856960954555809</v>
      </c>
      <c r="F14">
        <v>0.2751729267923938</v>
      </c>
      <c r="G14">
        <v>2.0339252458444368</v>
      </c>
      <c r="H14">
        <v>1.851504679978982</v>
      </c>
      <c r="I14">
        <v>2.3381702813666809</v>
      </c>
      <c r="J14">
        <v>0.64199368053635575</v>
      </c>
      <c r="K14">
        <v>0.61463491429086559</v>
      </c>
      <c r="L14">
        <v>0.6809756811897324</v>
      </c>
      <c r="M14">
        <v>0.18262557778263441</v>
      </c>
      <c r="N14">
        <v>0.13607254819593231</v>
      </c>
      <c r="O14">
        <v>0.21659003414515801</v>
      </c>
      <c r="P14">
        <v>0.33409170550594819</v>
      </c>
      <c r="Q14">
        <v>0.28617865958459432</v>
      </c>
      <c r="R14">
        <v>0.38608488527779039</v>
      </c>
      <c r="S14">
        <v>0.18945343079076499</v>
      </c>
      <c r="T14">
        <v>0.1756621623734585</v>
      </c>
      <c r="U14">
        <v>0.20558940306108869</v>
      </c>
      <c r="V14">
        <v>0.65638095238095229</v>
      </c>
      <c r="W14">
        <v>0.57206593406593409</v>
      </c>
      <c r="X14">
        <v>0.78382417582417574</v>
      </c>
    </row>
    <row r="15" spans="1:24">
      <c r="A15" t="s">
        <v>78</v>
      </c>
      <c r="B15" t="s">
        <v>72</v>
      </c>
      <c r="C15">
        <v>5</v>
      </c>
      <c r="D15">
        <v>0.21827960008304259</v>
      </c>
      <c r="E15">
        <v>0.17317241523427759</v>
      </c>
      <c r="F15">
        <v>0.28324141318525897</v>
      </c>
      <c r="G15">
        <v>2.6521590100049441</v>
      </c>
      <c r="H15">
        <v>1.849427388711095</v>
      </c>
      <c r="I15">
        <v>3.6551246558430259</v>
      </c>
      <c r="J15">
        <v>0.67918523115817009</v>
      </c>
      <c r="K15">
        <v>0.60066145736422649</v>
      </c>
      <c r="L15">
        <v>0.73264547097699095</v>
      </c>
      <c r="M15">
        <v>0.15606878581180089</v>
      </c>
      <c r="N15">
        <v>0.1222701505490304</v>
      </c>
      <c r="O15">
        <v>0.2028475670467548</v>
      </c>
      <c r="P15">
        <v>0.32402598299907542</v>
      </c>
      <c r="Q15">
        <v>0.26973161665354273</v>
      </c>
      <c r="R15">
        <v>0.39992289798678471</v>
      </c>
      <c r="S15">
        <v>0.17006991411003539</v>
      </c>
      <c r="T15">
        <v>0.15675219734739609</v>
      </c>
      <c r="U15">
        <v>0.17886482801413969</v>
      </c>
      <c r="V15">
        <v>0.4915897435897435</v>
      </c>
      <c r="W15">
        <v>0.33774114774114772</v>
      </c>
      <c r="X15">
        <v>0.73130158730158734</v>
      </c>
    </row>
    <row r="16" spans="1:24">
      <c r="A16" t="s">
        <v>78</v>
      </c>
      <c r="B16" t="s">
        <v>73</v>
      </c>
      <c r="C16">
        <v>5</v>
      </c>
      <c r="D16">
        <v>0.21279960128881051</v>
      </c>
      <c r="E16">
        <v>0.1971873974189621</v>
      </c>
      <c r="F16">
        <v>0.23386561479160081</v>
      </c>
      <c r="G16">
        <v>1.854404313732936</v>
      </c>
      <c r="H16">
        <v>1.7807525148779779</v>
      </c>
      <c r="I16">
        <v>1.9652191294944701</v>
      </c>
      <c r="J16">
        <v>0.63785147667809317</v>
      </c>
      <c r="K16">
        <v>0.60505529285806814</v>
      </c>
      <c r="L16">
        <v>0.66307737260198141</v>
      </c>
      <c r="M16">
        <v>0.19745853936137689</v>
      </c>
      <c r="N16">
        <v>0.1533087231406377</v>
      </c>
      <c r="O16">
        <v>0.2472442276080449</v>
      </c>
      <c r="P16">
        <v>0.39943471639107581</v>
      </c>
      <c r="Q16">
        <v>0.36144975373743221</v>
      </c>
      <c r="R16">
        <v>0.42630679256593729</v>
      </c>
      <c r="S16">
        <v>0.19390241382341869</v>
      </c>
      <c r="T16">
        <v>0.18097685510154291</v>
      </c>
      <c r="U16">
        <v>0.20552964029567539</v>
      </c>
      <c r="V16">
        <v>0.82805860805860809</v>
      </c>
      <c r="W16">
        <v>0.68799023199023202</v>
      </c>
      <c r="X16">
        <v>0.92432478632478643</v>
      </c>
    </row>
    <row r="17" spans="1:24">
      <c r="A17" t="s">
        <v>78</v>
      </c>
      <c r="B17" t="s">
        <v>74</v>
      </c>
      <c r="C17">
        <v>5</v>
      </c>
      <c r="D17">
        <v>0.2435948468428478</v>
      </c>
      <c r="E17">
        <v>0.21513095902678531</v>
      </c>
      <c r="F17">
        <v>0.2620539368192264</v>
      </c>
      <c r="G17">
        <v>2.3314414407367741</v>
      </c>
      <c r="H17">
        <v>2.09694090212089</v>
      </c>
      <c r="I17">
        <v>2.628699317713465</v>
      </c>
      <c r="J17">
        <v>0.70720216315132345</v>
      </c>
      <c r="K17">
        <v>0.69676529660543574</v>
      </c>
      <c r="L17">
        <v>0.72573440238590747</v>
      </c>
      <c r="M17">
        <v>0.2276705138620693</v>
      </c>
      <c r="N17">
        <v>0.19175391649807999</v>
      </c>
      <c r="O17">
        <v>0.25076745015704649</v>
      </c>
      <c r="P17">
        <v>0.39362892697150281</v>
      </c>
      <c r="Q17">
        <v>0.33977756264239789</v>
      </c>
      <c r="R17">
        <v>0.42937743445555859</v>
      </c>
      <c r="S17">
        <v>0.2046576006737908</v>
      </c>
      <c r="T17">
        <v>0.19610453096735289</v>
      </c>
      <c r="U17">
        <v>0.2122767075672205</v>
      </c>
      <c r="V17">
        <v>0.64472039072039078</v>
      </c>
      <c r="W17">
        <v>0.45181807081807079</v>
      </c>
      <c r="X17">
        <v>0.84806593406593411</v>
      </c>
    </row>
    <row r="18" spans="1:24">
      <c r="A18" t="s">
        <v>78</v>
      </c>
      <c r="B18" t="s">
        <v>75</v>
      </c>
      <c r="C18">
        <v>5</v>
      </c>
      <c r="D18">
        <v>0.2364399428858899</v>
      </c>
      <c r="E18">
        <v>0.20504208090814291</v>
      </c>
      <c r="F18">
        <v>0.27550672039909241</v>
      </c>
      <c r="G18">
        <v>2.081398674557839</v>
      </c>
      <c r="H18">
        <v>1.746736005122538</v>
      </c>
      <c r="I18">
        <v>2.3355522294650441</v>
      </c>
      <c r="J18">
        <v>0.63274993617011543</v>
      </c>
      <c r="K18">
        <v>0.60815311994630572</v>
      </c>
      <c r="L18">
        <v>0.66270844777055571</v>
      </c>
      <c r="M18">
        <v>0.1933355657372085</v>
      </c>
      <c r="N18">
        <v>0.1623496845581627</v>
      </c>
      <c r="O18">
        <v>0.21888526170430969</v>
      </c>
      <c r="P18">
        <v>0.34409403661465432</v>
      </c>
      <c r="Q18">
        <v>0.30018663790368799</v>
      </c>
      <c r="R18">
        <v>0.39914026769497202</v>
      </c>
      <c r="S18">
        <v>0.19596893081762251</v>
      </c>
      <c r="T18">
        <v>0.16739852991232629</v>
      </c>
      <c r="U18">
        <v>0.24126397114874529</v>
      </c>
      <c r="V18">
        <v>0.61369963369963376</v>
      </c>
      <c r="W18">
        <v>0.44736263736263732</v>
      </c>
      <c r="X18">
        <v>0.73325396825396827</v>
      </c>
    </row>
    <row r="19" spans="1:24">
      <c r="A19" t="s">
        <v>78</v>
      </c>
      <c r="B19" t="s">
        <v>76</v>
      </c>
      <c r="C19">
        <v>5</v>
      </c>
      <c r="D19">
        <v>0.2224196210386645</v>
      </c>
      <c r="E19">
        <v>0.2044864335414508</v>
      </c>
      <c r="F19">
        <v>0.25423860625573191</v>
      </c>
      <c r="G19">
        <v>2.1682090184014058</v>
      </c>
      <c r="H19">
        <v>1.741651075814501</v>
      </c>
      <c r="I19">
        <v>3.0411145399584689</v>
      </c>
      <c r="J19">
        <v>0.60415747764338246</v>
      </c>
      <c r="K19">
        <v>0.58551543187465604</v>
      </c>
      <c r="L19">
        <v>0.62785302027323686</v>
      </c>
      <c r="M19">
        <v>0.16074536714731999</v>
      </c>
      <c r="N19">
        <v>0.1240280276796252</v>
      </c>
      <c r="O19">
        <v>0.187850643663451</v>
      </c>
      <c r="P19">
        <v>0.35100844629862787</v>
      </c>
      <c r="Q19">
        <v>0.29286076164742769</v>
      </c>
      <c r="R19">
        <v>0.38760993229536311</v>
      </c>
      <c r="S19">
        <v>0.1997409928499021</v>
      </c>
      <c r="T19">
        <v>0.18494946033733611</v>
      </c>
      <c r="U19">
        <v>0.2364735671374692</v>
      </c>
      <c r="V19">
        <v>0.72896947496947495</v>
      </c>
      <c r="W19">
        <v>0.63474481074481071</v>
      </c>
      <c r="X19">
        <v>0.83560683760683763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E451"/>
  <sheetViews>
    <sheetView workbookViewId="0">
      <pane ySplit="1" topLeftCell="A2" activePane="bottomLeft" state="frozen"/>
      <selection pane="bottomLeft" activeCell="AH36" sqref="AH36"/>
    </sheetView>
  </sheetViews>
  <sheetFormatPr defaultRowHeight="16.5"/>
  <cols>
    <col min="1" max="3" width="10" customWidth="1"/>
    <col min="4" max="4" width="19" customWidth="1"/>
    <col min="5" max="5" width="10" customWidth="1"/>
    <col min="6" max="6" width="20" customWidth="1"/>
    <col min="7" max="7" width="18" customWidth="1"/>
    <col min="8" max="8" width="20" customWidth="1"/>
    <col min="9" max="16" width="20" hidden="1" customWidth="1"/>
    <col min="17" max="17" width="21" customWidth="1"/>
    <col min="18" max="18" width="24" hidden="1" customWidth="1"/>
    <col min="19" max="19" width="21" hidden="1" customWidth="1"/>
    <col min="20" max="20" width="20" customWidth="1"/>
    <col min="21" max="22" width="20" hidden="1" customWidth="1"/>
    <col min="23" max="23" width="20" customWidth="1"/>
    <col min="24" max="25" width="20" hidden="1" customWidth="1"/>
    <col min="26" max="26" width="20" customWidth="1"/>
    <col min="27" max="28" width="20" hidden="1" customWidth="1"/>
    <col min="29" max="29" width="23" customWidth="1"/>
    <col min="30" max="30" width="24" hidden="1" customWidth="1"/>
    <col min="31" max="31" width="20" hidden="1" customWidth="1"/>
    <col min="32" max="32" width="0" hidden="1" customWidth="1"/>
  </cols>
  <sheetData>
    <row r="1" spans="1:31">
      <c r="A1" s="1" t="s">
        <v>30</v>
      </c>
      <c r="B1" s="1" t="s">
        <v>24</v>
      </c>
      <c r="C1" s="1" t="s">
        <v>28</v>
      </c>
      <c r="D1" s="1" t="s">
        <v>26</v>
      </c>
      <c r="E1" s="1" t="s">
        <v>40</v>
      </c>
      <c r="F1" s="1" t="s">
        <v>41</v>
      </c>
      <c r="G1" s="1" t="s">
        <v>34</v>
      </c>
      <c r="H1" s="1" t="s">
        <v>42</v>
      </c>
      <c r="I1" s="1" t="s">
        <v>43</v>
      </c>
      <c r="J1" s="1" t="s">
        <v>44</v>
      </c>
      <c r="K1" s="1" t="s">
        <v>38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</row>
    <row r="2" spans="1:31">
      <c r="A2" t="s">
        <v>79</v>
      </c>
      <c r="B2" t="s">
        <v>65</v>
      </c>
      <c r="C2" t="s">
        <v>80</v>
      </c>
      <c r="D2" t="s">
        <v>67</v>
      </c>
      <c r="E2">
        <v>4</v>
      </c>
      <c r="F2">
        <v>2.8985507246376802E-2</v>
      </c>
      <c r="G2">
        <v>5</v>
      </c>
      <c r="H2" s="10">
        <v>6.2770049152978999E-2</v>
      </c>
      <c r="I2" s="10">
        <v>5.4528263547167298E-2</v>
      </c>
      <c r="J2" s="10">
        <v>7.5306829276298795E-2</v>
      </c>
      <c r="K2" s="10">
        <v>2.1655666957777782</v>
      </c>
      <c r="L2" s="10">
        <v>1.8812250923772751</v>
      </c>
      <c r="M2" s="10">
        <v>2.5980856100323089</v>
      </c>
      <c r="N2" s="10">
        <v>0.69776119402985071</v>
      </c>
      <c r="O2" s="10">
        <v>0.67052238805970155</v>
      </c>
      <c r="P2" s="10">
        <v>0.73582089552238805</v>
      </c>
      <c r="Q2" s="10">
        <v>0.1062071383947838</v>
      </c>
      <c r="R2" s="10">
        <v>5.4256514705965E-2</v>
      </c>
      <c r="S2" s="10">
        <v>0.1545102862299767</v>
      </c>
      <c r="T2" s="10">
        <v>0.18270628430811489</v>
      </c>
      <c r="U2" s="10">
        <v>0.15494505494505489</v>
      </c>
      <c r="V2" s="10">
        <v>0.2158541941150636</v>
      </c>
      <c r="W2" s="10">
        <v>4.4491400618586002E-2</v>
      </c>
      <c r="X2" s="10">
        <v>4.0081632653061201E-2</v>
      </c>
      <c r="Y2" s="10">
        <v>5.2187698161065298E-2</v>
      </c>
      <c r="Z2" s="10">
        <v>0.85</v>
      </c>
      <c r="AA2" s="10">
        <v>0.52500000000000002</v>
      </c>
      <c r="AB2" s="10">
        <v>1</v>
      </c>
      <c r="AC2" s="10">
        <v>1.8170135867136099E-2</v>
      </c>
      <c r="AD2">
        <v>3.3904516040661999E-3</v>
      </c>
      <c r="AE2">
        <v>4.6249434268336102E-2</v>
      </c>
    </row>
    <row r="3" spans="1:31">
      <c r="A3" t="s">
        <v>79</v>
      </c>
      <c r="B3" t="s">
        <v>65</v>
      </c>
      <c r="C3" t="s">
        <v>80</v>
      </c>
      <c r="D3" t="s">
        <v>68</v>
      </c>
      <c r="E3">
        <v>20</v>
      </c>
      <c r="F3">
        <v>0.14492753623188401</v>
      </c>
      <c r="G3">
        <v>5</v>
      </c>
      <c r="H3" s="10">
        <v>0.2131208952631988</v>
      </c>
      <c r="I3" s="10">
        <v>0.18530056924139171</v>
      </c>
      <c r="J3" s="10">
        <v>0.26543038236344169</v>
      </c>
      <c r="K3" s="10">
        <v>1.4705341773160721</v>
      </c>
      <c r="L3" s="10">
        <v>1.278573927765603</v>
      </c>
      <c r="M3" s="10">
        <v>1.831469638307748</v>
      </c>
      <c r="N3" s="10">
        <v>0.64237288135593218</v>
      </c>
      <c r="O3" s="10">
        <v>0.60885593220338985</v>
      </c>
      <c r="P3" s="10">
        <v>0.67567796610169495</v>
      </c>
      <c r="Q3" s="10">
        <v>0.14972069450293291</v>
      </c>
      <c r="R3" s="10">
        <v>8.1608538666115393E-2</v>
      </c>
      <c r="S3" s="10">
        <v>0.22906927682835049</v>
      </c>
      <c r="T3" s="10">
        <v>0.42589095593289777</v>
      </c>
      <c r="U3" s="10">
        <v>0.32868292682926831</v>
      </c>
      <c r="V3" s="10">
        <v>0.51313628899835795</v>
      </c>
      <c r="W3" s="10">
        <v>0.20877162379615971</v>
      </c>
      <c r="X3" s="10">
        <v>0.1672285043737998</v>
      </c>
      <c r="Y3" s="10">
        <v>0.25879120879120882</v>
      </c>
      <c r="Z3" s="10">
        <v>0.6100000000000001</v>
      </c>
      <c r="AA3" s="10">
        <v>0.40500000000000003</v>
      </c>
      <c r="AB3" s="10">
        <v>0.88500000000000001</v>
      </c>
      <c r="AC3" s="10">
        <v>0.4207613119531301</v>
      </c>
      <c r="AD3">
        <v>7.4851225391967702E-2</v>
      </c>
      <c r="AE3">
        <v>0.60786684615823727</v>
      </c>
    </row>
    <row r="4" spans="1:31">
      <c r="A4" t="s">
        <v>79</v>
      </c>
      <c r="B4" t="s">
        <v>65</v>
      </c>
      <c r="C4" t="s">
        <v>80</v>
      </c>
      <c r="D4" t="s">
        <v>69</v>
      </c>
      <c r="E4">
        <v>26</v>
      </c>
      <c r="F4">
        <v>0.1884057971014492</v>
      </c>
      <c r="G4">
        <v>5</v>
      </c>
      <c r="H4" s="10">
        <v>0.4400448136236878</v>
      </c>
      <c r="I4" s="10">
        <v>0.3785545082120097</v>
      </c>
      <c r="J4" s="10">
        <v>0.49456323151907178</v>
      </c>
      <c r="K4" s="10">
        <v>2.3356224723103431</v>
      </c>
      <c r="L4" s="10">
        <v>2.0092508512791292</v>
      </c>
      <c r="M4" s="10">
        <v>2.6249894596012271</v>
      </c>
      <c r="N4" s="10">
        <v>0.81737637362637372</v>
      </c>
      <c r="O4" s="10">
        <v>0.7898351648351648</v>
      </c>
      <c r="P4" s="10">
        <v>0.83224587912087922</v>
      </c>
      <c r="Q4" s="10">
        <v>0.50886909634770494</v>
      </c>
      <c r="R4" s="10">
        <v>0.42479974899847001</v>
      </c>
      <c r="S4" s="10">
        <v>0.56621287729302017</v>
      </c>
      <c r="T4" s="10">
        <v>0.68507460882686977</v>
      </c>
      <c r="U4" s="10">
        <v>0.56970356550580425</v>
      </c>
      <c r="V4" s="10">
        <v>0.75291212375361105</v>
      </c>
      <c r="W4" s="10">
        <v>0.50735064405199037</v>
      </c>
      <c r="X4" s="10">
        <v>0.47749999999999998</v>
      </c>
      <c r="Y4" s="10">
        <v>0.52606516290726812</v>
      </c>
      <c r="Z4" s="10">
        <v>0.75384615384615394</v>
      </c>
      <c r="AA4" s="10">
        <v>0.5923076923076922</v>
      </c>
      <c r="AB4" s="10">
        <v>0.84615384615384615</v>
      </c>
      <c r="AC4" s="10">
        <v>0.66764206058901121</v>
      </c>
      <c r="AD4">
        <v>0.62574376137848275</v>
      </c>
      <c r="AE4">
        <v>0.73126205709934078</v>
      </c>
    </row>
    <row r="5" spans="1:31">
      <c r="A5" t="s">
        <v>79</v>
      </c>
      <c r="B5" t="s">
        <v>65</v>
      </c>
      <c r="C5" t="s">
        <v>80</v>
      </c>
      <c r="D5" t="s">
        <v>70</v>
      </c>
      <c r="E5">
        <v>7</v>
      </c>
      <c r="F5">
        <v>5.0724637681159403E-2</v>
      </c>
      <c r="G5">
        <v>5</v>
      </c>
      <c r="H5" s="10">
        <v>5.3912110763308999E-2</v>
      </c>
      <c r="I5" s="10">
        <v>4.9694810315581199E-2</v>
      </c>
      <c r="J5" s="10">
        <v>5.8441636164749698E-2</v>
      </c>
      <c r="K5" s="10">
        <v>1.062838755048092</v>
      </c>
      <c r="L5" s="10">
        <v>0.97969768907860078</v>
      </c>
      <c r="M5" s="10">
        <v>1.1521351129622091</v>
      </c>
      <c r="N5" s="10">
        <v>0.40937840785169027</v>
      </c>
      <c r="O5" s="10">
        <v>0.3800436205016357</v>
      </c>
      <c r="P5" s="10">
        <v>0.44263904034896401</v>
      </c>
      <c r="Q5" s="10">
        <v>-6.0295435373545703E-2</v>
      </c>
      <c r="R5" s="10">
        <v>-8.8971997052614799E-2</v>
      </c>
      <c r="S5" s="10">
        <v>-2.8062439198596401E-2</v>
      </c>
      <c r="T5" s="10">
        <v>0.13171944640671371</v>
      </c>
      <c r="U5" s="10">
        <v>9.2592592592591998E-3</v>
      </c>
      <c r="V5" s="10">
        <v>0.19206426484907499</v>
      </c>
      <c r="W5" s="10">
        <v>3.5557336182336099E-2</v>
      </c>
      <c r="X5" s="10">
        <v>3.8461538461538E-3</v>
      </c>
      <c r="Y5" s="10">
        <v>4.6817129629629597E-2</v>
      </c>
      <c r="Z5" s="10">
        <v>0.51428571428571423</v>
      </c>
      <c r="AA5" s="10">
        <v>1.42857142857142E-2</v>
      </c>
      <c r="AB5" s="10">
        <v>0.8571428571428571</v>
      </c>
      <c r="AC5" s="10">
        <v>0.16123827383920589</v>
      </c>
      <c r="AD5">
        <v>1.387869985975E-4</v>
      </c>
      <c r="AE5">
        <v>0.44837037689925607</v>
      </c>
    </row>
    <row r="6" spans="1:31">
      <c r="A6" t="s">
        <v>79</v>
      </c>
      <c r="B6" t="s">
        <v>65</v>
      </c>
      <c r="C6" t="s">
        <v>80</v>
      </c>
      <c r="D6" t="s">
        <v>71</v>
      </c>
      <c r="E6">
        <v>9</v>
      </c>
      <c r="F6">
        <v>6.5217391304347797E-2</v>
      </c>
      <c r="G6">
        <v>5</v>
      </c>
      <c r="H6" s="10">
        <v>7.7996615539262695E-2</v>
      </c>
      <c r="I6" s="10">
        <v>6.7756423376365296E-2</v>
      </c>
      <c r="J6" s="10">
        <v>9.2289983451058794E-2</v>
      </c>
      <c r="K6" s="10">
        <v>1.1959481049353631</v>
      </c>
      <c r="L6" s="10">
        <v>1.038931825104269</v>
      </c>
      <c r="M6" s="10">
        <v>1.4151130795829019</v>
      </c>
      <c r="N6" s="10">
        <v>0.4726959517657191</v>
      </c>
      <c r="O6" s="10">
        <v>0.43264427217915591</v>
      </c>
      <c r="P6" s="10">
        <v>0.50232558139534889</v>
      </c>
      <c r="Q6" s="10">
        <v>1.9971439477990301E-2</v>
      </c>
      <c r="R6" s="10">
        <v>-0.1235353071710948</v>
      </c>
      <c r="S6" s="10">
        <v>0.10947295049198739</v>
      </c>
      <c r="T6" s="10">
        <v>0.17701149038783201</v>
      </c>
      <c r="U6" s="10">
        <v>0.1056547619047619</v>
      </c>
      <c r="V6" s="10">
        <v>0.28621125869702718</v>
      </c>
      <c r="W6" s="10">
        <v>8.7840755735492507E-2</v>
      </c>
      <c r="X6" s="10">
        <v>4.4912280701754299E-2</v>
      </c>
      <c r="Y6" s="10">
        <v>0.1583333333333333</v>
      </c>
      <c r="Z6" s="10">
        <v>0.42222222222222222</v>
      </c>
      <c r="AA6" s="10">
        <v>0.1111111111111111</v>
      </c>
      <c r="AB6" s="10">
        <v>0.94444444444444442</v>
      </c>
      <c r="AC6" s="10">
        <v>0.37117969336618067</v>
      </c>
      <c r="AD6">
        <v>2.8829646697447701E-2</v>
      </c>
      <c r="AE6">
        <v>0.74697516045681611</v>
      </c>
    </row>
    <row r="7" spans="1:31" hidden="1">
      <c r="A7" t="s">
        <v>79</v>
      </c>
      <c r="B7" t="s">
        <v>65</v>
      </c>
      <c r="C7" t="s">
        <v>81</v>
      </c>
      <c r="D7" t="s">
        <v>67</v>
      </c>
      <c r="E7">
        <v>4</v>
      </c>
      <c r="F7">
        <v>2.8985507246376802E-2</v>
      </c>
      <c r="G7">
        <v>5</v>
      </c>
      <c r="H7" s="10">
        <v>2.96195652173913E-2</v>
      </c>
      <c r="I7" s="10">
        <v>2.8985507246376802E-2</v>
      </c>
      <c r="J7" s="10">
        <v>3.1838768115942002E-2</v>
      </c>
      <c r="K7" s="10">
        <v>1.0218750000000001</v>
      </c>
      <c r="L7" s="10">
        <v>1</v>
      </c>
      <c r="M7" s="10">
        <v>1.0984375</v>
      </c>
      <c r="N7" s="10">
        <v>0.44123134328358199</v>
      </c>
      <c r="O7" s="10">
        <v>0.41156716417910449</v>
      </c>
      <c r="P7" s="10">
        <v>0.50419776119402981</v>
      </c>
      <c r="Q7" s="10">
        <v>0</v>
      </c>
      <c r="R7" s="10">
        <v>0</v>
      </c>
      <c r="S7" s="10">
        <v>0</v>
      </c>
      <c r="T7" s="10">
        <v>0.1298701298701298</v>
      </c>
      <c r="U7" s="10">
        <v>0.1298701298701298</v>
      </c>
      <c r="V7" s="10">
        <v>0.1298701298701298</v>
      </c>
      <c r="W7" s="10">
        <v>2.8985507246376802E-2</v>
      </c>
      <c r="X7" s="10">
        <v>2.8985507246376802E-2</v>
      </c>
      <c r="Y7" s="10">
        <v>2.8985507246376802E-2</v>
      </c>
      <c r="Z7" s="10">
        <v>1</v>
      </c>
      <c r="AA7" s="10">
        <v>1</v>
      </c>
      <c r="AB7" s="10">
        <v>1</v>
      </c>
      <c r="AC7" s="10">
        <v>0</v>
      </c>
      <c r="AD7">
        <v>0</v>
      </c>
      <c r="AE7">
        <v>0</v>
      </c>
    </row>
    <row r="8" spans="1:31" hidden="1">
      <c r="A8" t="s">
        <v>79</v>
      </c>
      <c r="B8" t="s">
        <v>65</v>
      </c>
      <c r="C8" t="s">
        <v>81</v>
      </c>
      <c r="D8" t="s">
        <v>68</v>
      </c>
      <c r="E8">
        <v>20</v>
      </c>
      <c r="F8">
        <v>0.14492753623188401</v>
      </c>
      <c r="G8">
        <v>5</v>
      </c>
      <c r="H8" s="10">
        <v>0.2536279478243344</v>
      </c>
      <c r="I8" s="10">
        <v>0.2025676733697287</v>
      </c>
      <c r="J8" s="10">
        <v>0.33454670631560118</v>
      </c>
      <c r="K8" s="10">
        <v>1.750032839987907</v>
      </c>
      <c r="L8" s="10">
        <v>1.3977169462511281</v>
      </c>
      <c r="M8" s="10">
        <v>2.308372273577648</v>
      </c>
      <c r="N8" s="10">
        <v>0.66779661016949143</v>
      </c>
      <c r="O8" s="10">
        <v>0.62188559322033887</v>
      </c>
      <c r="P8" s="10">
        <v>0.71116525423728805</v>
      </c>
      <c r="Q8" s="10">
        <v>0.16502327355510929</v>
      </c>
      <c r="R8" s="10">
        <v>8.0864598214695105E-2</v>
      </c>
      <c r="S8" s="10">
        <v>0.26251865992259132</v>
      </c>
      <c r="T8" s="10">
        <v>0.347371175842424</v>
      </c>
      <c r="U8" s="10">
        <v>0.21515151515151509</v>
      </c>
      <c r="V8" s="10">
        <v>0.44572798605056668</v>
      </c>
      <c r="W8" s="10">
        <v>0.25379022335898399</v>
      </c>
      <c r="X8" s="10">
        <v>0.212200956937799</v>
      </c>
      <c r="Y8" s="10">
        <v>0.31832258064516128</v>
      </c>
      <c r="Z8" s="10">
        <v>0.39</v>
      </c>
      <c r="AA8" s="10">
        <v>0.215</v>
      </c>
      <c r="AB8" s="10">
        <v>0.5</v>
      </c>
      <c r="AC8" s="10">
        <v>0.31813990955305937</v>
      </c>
      <c r="AD8">
        <v>0.2015548952228621</v>
      </c>
      <c r="AE8">
        <v>0.45356797417938488</v>
      </c>
    </row>
    <row r="9" spans="1:31" hidden="1">
      <c r="A9" t="s">
        <v>79</v>
      </c>
      <c r="B9" t="s">
        <v>65</v>
      </c>
      <c r="C9" t="s">
        <v>81</v>
      </c>
      <c r="D9" t="s">
        <v>69</v>
      </c>
      <c r="E9">
        <v>26</v>
      </c>
      <c r="F9">
        <v>0.1884057971014492</v>
      </c>
      <c r="G9">
        <v>5</v>
      </c>
      <c r="H9" s="10">
        <v>0.51663458855162625</v>
      </c>
      <c r="I9" s="10">
        <v>0.44283854529350453</v>
      </c>
      <c r="J9" s="10">
        <v>0.6493936178513291</v>
      </c>
      <c r="K9" s="10">
        <v>2.742137431543247</v>
      </c>
      <c r="L9" s="10">
        <v>2.350450740403986</v>
      </c>
      <c r="M9" s="10">
        <v>3.4467815101339778</v>
      </c>
      <c r="N9" s="10">
        <v>0.81723901098901108</v>
      </c>
      <c r="O9" s="10">
        <v>0.7757039835164834</v>
      </c>
      <c r="P9" s="10">
        <v>0.84658310439560458</v>
      </c>
      <c r="Q9" s="10">
        <v>0.41603897129942741</v>
      </c>
      <c r="R9" s="10">
        <v>0.30515110111842059</v>
      </c>
      <c r="S9" s="10">
        <v>0.51392755504081866</v>
      </c>
      <c r="T9" s="10">
        <v>0.54836514220339638</v>
      </c>
      <c r="U9" s="10">
        <v>0.40592334494773519</v>
      </c>
      <c r="V9" s="10">
        <v>0.69516010305483988</v>
      </c>
      <c r="W9" s="10">
        <v>0.50312231628021098</v>
      </c>
      <c r="X9" s="10">
        <v>0.42045454545454541</v>
      </c>
      <c r="Y9" s="10">
        <v>0.61970310391363015</v>
      </c>
      <c r="Z9" s="10">
        <v>0.57692307692307687</v>
      </c>
      <c r="AA9" s="10">
        <v>0.3923076923076923</v>
      </c>
      <c r="AB9" s="10">
        <v>0.76923076923076927</v>
      </c>
      <c r="AC9" s="10">
        <v>0.43002154989687091</v>
      </c>
      <c r="AD9">
        <v>0.2214938079522476</v>
      </c>
      <c r="AE9">
        <v>0.60878446573509926</v>
      </c>
    </row>
    <row r="10" spans="1:31" hidden="1">
      <c r="A10" t="s">
        <v>79</v>
      </c>
      <c r="B10" t="s">
        <v>65</v>
      </c>
      <c r="C10" t="s">
        <v>81</v>
      </c>
      <c r="D10" t="s">
        <v>70</v>
      </c>
      <c r="E10">
        <v>7</v>
      </c>
      <c r="F10">
        <v>5.0724637681159403E-2</v>
      </c>
      <c r="G10">
        <v>5</v>
      </c>
      <c r="H10" s="10">
        <v>5.1818129535520799E-2</v>
      </c>
      <c r="I10" s="10">
        <v>4.8964803312629403E-2</v>
      </c>
      <c r="J10" s="10">
        <v>5.74051853943158E-2</v>
      </c>
      <c r="K10" s="10">
        <v>1.0215574108431249</v>
      </c>
      <c r="L10" s="10">
        <v>0.96530612244897962</v>
      </c>
      <c r="M10" s="10">
        <v>1.1317022263450831</v>
      </c>
      <c r="N10" s="10">
        <v>0.45572519083969459</v>
      </c>
      <c r="O10" s="10">
        <v>0.40114503816793889</v>
      </c>
      <c r="P10" s="10">
        <v>0.53358778625954184</v>
      </c>
      <c r="Q10" s="10">
        <v>0</v>
      </c>
      <c r="R10" s="10">
        <v>0</v>
      </c>
      <c r="S10" s="10">
        <v>0</v>
      </c>
      <c r="T10" s="10">
        <v>0.21084337349397589</v>
      </c>
      <c r="U10" s="10">
        <v>0.21084337349397589</v>
      </c>
      <c r="V10" s="10">
        <v>0.21084337349397589</v>
      </c>
      <c r="W10" s="10">
        <v>5.0724637681159403E-2</v>
      </c>
      <c r="X10" s="10">
        <v>5.0724637681159403E-2</v>
      </c>
      <c r="Y10" s="10">
        <v>5.0724637681159403E-2</v>
      </c>
      <c r="Z10" s="10">
        <v>1</v>
      </c>
      <c r="AA10" s="10">
        <v>1</v>
      </c>
      <c r="AB10" s="10">
        <v>1</v>
      </c>
      <c r="AC10" s="10">
        <v>0</v>
      </c>
      <c r="AD10">
        <v>0</v>
      </c>
      <c r="AE10">
        <v>0</v>
      </c>
    </row>
    <row r="11" spans="1:31" hidden="1">
      <c r="A11" t="s">
        <v>79</v>
      </c>
      <c r="B11" t="s">
        <v>65</v>
      </c>
      <c r="C11" t="s">
        <v>81</v>
      </c>
      <c r="D11" t="s">
        <v>71</v>
      </c>
      <c r="E11">
        <v>9</v>
      </c>
      <c r="F11">
        <v>6.5217391304347797E-2</v>
      </c>
      <c r="G11">
        <v>5</v>
      </c>
      <c r="H11" s="10">
        <v>7.3982579417361999E-2</v>
      </c>
      <c r="I11" s="10">
        <v>6.1725955204215997E-2</v>
      </c>
      <c r="J11" s="10">
        <v>9.3156199677938797E-2</v>
      </c>
      <c r="K11" s="10">
        <v>1.1343995510662179</v>
      </c>
      <c r="L11" s="10">
        <v>0.94646464646464645</v>
      </c>
      <c r="M11" s="10">
        <v>1.4283950617283949</v>
      </c>
      <c r="N11" s="10">
        <v>0.43178294573643411</v>
      </c>
      <c r="O11" s="10">
        <v>0.40426356589147278</v>
      </c>
      <c r="P11" s="10">
        <v>0.45986218776916449</v>
      </c>
      <c r="Q11" s="10">
        <v>0</v>
      </c>
      <c r="R11" s="10">
        <v>0</v>
      </c>
      <c r="S11" s="10">
        <v>0</v>
      </c>
      <c r="T11" s="10">
        <v>0.25862068965517238</v>
      </c>
      <c r="U11" s="10">
        <v>0.25862068965517238</v>
      </c>
      <c r="V11" s="10">
        <v>0.25862068965517238</v>
      </c>
      <c r="W11" s="10">
        <v>6.5217391304347797E-2</v>
      </c>
      <c r="X11" s="10">
        <v>6.5217391304347797E-2</v>
      </c>
      <c r="Y11" s="10">
        <v>6.5217391304347797E-2</v>
      </c>
      <c r="Z11" s="10">
        <v>1</v>
      </c>
      <c r="AA11" s="10">
        <v>1</v>
      </c>
      <c r="AB11" s="10">
        <v>1</v>
      </c>
      <c r="AC11" s="10">
        <v>0</v>
      </c>
      <c r="AD11">
        <v>0</v>
      </c>
      <c r="AE11">
        <v>0</v>
      </c>
    </row>
    <row r="12" spans="1:31" hidden="1">
      <c r="A12" t="s">
        <v>79</v>
      </c>
      <c r="B12" t="s">
        <v>65</v>
      </c>
      <c r="C12" t="s">
        <v>82</v>
      </c>
      <c r="D12" t="s">
        <v>67</v>
      </c>
      <c r="E12">
        <v>4</v>
      </c>
      <c r="F12">
        <v>2.8985507246376802E-2</v>
      </c>
      <c r="G12">
        <v>5</v>
      </c>
      <c r="H12" s="10">
        <v>2.59349070246543E-2</v>
      </c>
      <c r="I12" s="10">
        <v>2.3316193486833201E-2</v>
      </c>
      <c r="J12" s="10">
        <v>2.80414579512148E-2</v>
      </c>
      <c r="K12" s="10">
        <v>0.89475429235057558</v>
      </c>
      <c r="L12" s="10">
        <v>0.80440867529574855</v>
      </c>
      <c r="M12" s="10">
        <v>0.9674302993169106</v>
      </c>
      <c r="N12" s="10">
        <v>0.319776119402985</v>
      </c>
      <c r="O12" s="10">
        <v>0.2451492537313433</v>
      </c>
      <c r="P12" s="10">
        <v>0.38451492537313431</v>
      </c>
      <c r="Q12" s="10">
        <v>-3.89454257502354E-2</v>
      </c>
      <c r="R12" s="10">
        <v>-0.25404071916392351</v>
      </c>
      <c r="S12" s="10">
        <v>8.6782926014262005E-2</v>
      </c>
      <c r="T12" s="10">
        <v>9.5066690354138894E-2</v>
      </c>
      <c r="U12" s="10">
        <v>3.8167938931297002E-3</v>
      </c>
      <c r="V12" s="10">
        <v>0.15905017921146949</v>
      </c>
      <c r="W12" s="10">
        <v>2.15503839960361E-2</v>
      </c>
      <c r="X12" s="10">
        <v>8.6956521739130004E-4</v>
      </c>
      <c r="Y12" s="10">
        <v>3.6458333333333301E-2</v>
      </c>
      <c r="Z12" s="10">
        <v>0.65</v>
      </c>
      <c r="AA12" s="10">
        <v>2.5000000000000001E-2</v>
      </c>
      <c r="AB12" s="10">
        <v>1</v>
      </c>
      <c r="AC12" s="10">
        <v>0.32430169823957111</v>
      </c>
      <c r="AD12">
        <v>0.21481116636457259</v>
      </c>
      <c r="AE12">
        <v>0.44315678212411302</v>
      </c>
    </row>
    <row r="13" spans="1:31" hidden="1">
      <c r="A13" t="s">
        <v>79</v>
      </c>
      <c r="B13" t="s">
        <v>65</v>
      </c>
      <c r="C13" t="s">
        <v>82</v>
      </c>
      <c r="D13" t="s">
        <v>68</v>
      </c>
      <c r="E13">
        <v>20</v>
      </c>
      <c r="F13">
        <v>0.14492753623188401</v>
      </c>
      <c r="G13">
        <v>5</v>
      </c>
      <c r="H13" s="10">
        <v>0.1662280629020447</v>
      </c>
      <c r="I13" s="10">
        <v>0.16264682831238911</v>
      </c>
      <c r="J13" s="10">
        <v>0.17399083795276499</v>
      </c>
      <c r="K13" s="10">
        <v>1.1469736340241079</v>
      </c>
      <c r="L13" s="10">
        <v>1.122263115355485</v>
      </c>
      <c r="M13" s="10">
        <v>1.2005367818740791</v>
      </c>
      <c r="N13" s="10">
        <v>0.54127118644067795</v>
      </c>
      <c r="O13" s="10">
        <v>0.5244491525423729</v>
      </c>
      <c r="P13" s="10">
        <v>0.57245762711864401</v>
      </c>
      <c r="Q13" s="10">
        <v>1.5430016810935801E-2</v>
      </c>
      <c r="R13" s="10">
        <v>-1.2098569925482999E-2</v>
      </c>
      <c r="S13" s="10">
        <v>4.5260253432021703E-2</v>
      </c>
      <c r="T13" s="10">
        <v>0.30400689942892772</v>
      </c>
      <c r="U13" s="10">
        <v>0.15289413556740289</v>
      </c>
      <c r="V13" s="10">
        <v>0.440464048954615</v>
      </c>
      <c r="W13" s="10">
        <v>0.15318256817048109</v>
      </c>
      <c r="X13" s="10">
        <v>0.14296536796536791</v>
      </c>
      <c r="Y13" s="10">
        <v>0.16617647058823529</v>
      </c>
      <c r="Z13" s="10">
        <v>0.48</v>
      </c>
      <c r="AA13" s="10">
        <v>0.155</v>
      </c>
      <c r="AB13" s="10">
        <v>0.91</v>
      </c>
      <c r="AC13" s="10">
        <v>0.41365229130473319</v>
      </c>
      <c r="AD13">
        <v>0.31764225649068129</v>
      </c>
      <c r="AE13">
        <v>0.45469829089179481</v>
      </c>
    </row>
    <row r="14" spans="1:31" hidden="1">
      <c r="A14" t="s">
        <v>79</v>
      </c>
      <c r="B14" t="s">
        <v>65</v>
      </c>
      <c r="C14" t="s">
        <v>82</v>
      </c>
      <c r="D14" t="s">
        <v>69</v>
      </c>
      <c r="E14">
        <v>26</v>
      </c>
      <c r="F14">
        <v>0.1884057971014492</v>
      </c>
      <c r="G14">
        <v>5</v>
      </c>
      <c r="H14" s="10">
        <v>0.368694133767412</v>
      </c>
      <c r="I14" s="10">
        <v>0.30199581722512769</v>
      </c>
      <c r="J14" s="10">
        <v>0.45139639719707519</v>
      </c>
      <c r="K14" s="10">
        <v>1.9569150176885719</v>
      </c>
      <c r="L14" s="10">
        <v>1.602900876041063</v>
      </c>
      <c r="M14" s="10">
        <v>2.3958731851229378</v>
      </c>
      <c r="N14" s="10">
        <v>0.73324175824175841</v>
      </c>
      <c r="O14" s="10">
        <v>0.6811469780219781</v>
      </c>
      <c r="P14" s="10">
        <v>0.77359203296703305</v>
      </c>
      <c r="Q14" s="10">
        <v>0.30013843082175429</v>
      </c>
      <c r="R14" s="10">
        <v>0.20006253663944859</v>
      </c>
      <c r="S14" s="10">
        <v>0.3931307189466679</v>
      </c>
      <c r="T14" s="10">
        <v>0.49292145968564077</v>
      </c>
      <c r="U14" s="10">
        <v>0.28126111176958629</v>
      </c>
      <c r="V14" s="10">
        <v>0.6024443561208267</v>
      </c>
      <c r="W14" s="10">
        <v>0.3919368877391266</v>
      </c>
      <c r="X14" s="10">
        <v>0.28025258323765789</v>
      </c>
      <c r="Y14" s="10">
        <v>0.46473214285714282</v>
      </c>
      <c r="Z14" s="10">
        <v>0.55384615384615388</v>
      </c>
      <c r="AA14" s="10">
        <v>0.26538461538461539</v>
      </c>
      <c r="AB14" s="10">
        <v>0.69230769230769229</v>
      </c>
      <c r="AC14" s="10">
        <v>0.45650345555449301</v>
      </c>
      <c r="AD14">
        <v>0.4257205212779383</v>
      </c>
      <c r="AE14">
        <v>0.50356853499016707</v>
      </c>
    </row>
    <row r="15" spans="1:31" hidden="1">
      <c r="A15" t="s">
        <v>79</v>
      </c>
      <c r="B15" t="s">
        <v>65</v>
      </c>
      <c r="C15" t="s">
        <v>82</v>
      </c>
      <c r="D15" t="s">
        <v>70</v>
      </c>
      <c r="E15">
        <v>7</v>
      </c>
      <c r="F15">
        <v>5.0724637681159403E-2</v>
      </c>
      <c r="G15">
        <v>5</v>
      </c>
      <c r="H15" s="10">
        <v>4.5028814025446097E-2</v>
      </c>
      <c r="I15" s="10">
        <v>4.1066729061912402E-2</v>
      </c>
      <c r="J15" s="10">
        <v>4.8503328213594397E-2</v>
      </c>
      <c r="K15" s="10">
        <v>0.88771090507308159</v>
      </c>
      <c r="L15" s="10">
        <v>0.80960123007770324</v>
      </c>
      <c r="M15" s="10">
        <v>0.95620847049657565</v>
      </c>
      <c r="N15" s="10">
        <v>0.3583424209378408</v>
      </c>
      <c r="O15" s="10">
        <v>0.29618320610687021</v>
      </c>
      <c r="P15" s="10">
        <v>0.41744820065430749</v>
      </c>
      <c r="Q15" s="10">
        <v>-7.0177251899965695E-2</v>
      </c>
      <c r="R15" s="10">
        <v>-0.17793034486000009</v>
      </c>
      <c r="S15" s="10">
        <v>5.1853453344096996E-3</v>
      </c>
      <c r="T15" s="10">
        <v>0.12887800619280371</v>
      </c>
      <c r="U15" s="10">
        <v>5.4758537078197597E-2</v>
      </c>
      <c r="V15" s="10">
        <v>0.2009127789046653</v>
      </c>
      <c r="W15" s="10">
        <v>3.9416497531754899E-2</v>
      </c>
      <c r="X15" s="10">
        <v>1.57770429853566E-2</v>
      </c>
      <c r="Y15" s="10">
        <v>5.1153846153846098E-2</v>
      </c>
      <c r="Z15" s="10">
        <v>0.4</v>
      </c>
      <c r="AA15" s="10">
        <v>0.14285714285714279</v>
      </c>
      <c r="AB15" s="10">
        <v>0.82857142857142851</v>
      </c>
      <c r="AC15" s="10">
        <v>0.29299293017805172</v>
      </c>
      <c r="AD15">
        <v>0.174785673061329</v>
      </c>
      <c r="AE15">
        <v>0.38914509513833168</v>
      </c>
    </row>
    <row r="16" spans="1:31" hidden="1">
      <c r="A16" t="s">
        <v>79</v>
      </c>
      <c r="B16" t="s">
        <v>65</v>
      </c>
      <c r="C16" t="s">
        <v>82</v>
      </c>
      <c r="D16" t="s">
        <v>71</v>
      </c>
      <c r="E16">
        <v>9</v>
      </c>
      <c r="F16">
        <v>6.5217391304347797E-2</v>
      </c>
      <c r="G16">
        <v>5</v>
      </c>
      <c r="H16" s="10">
        <v>0.10632799799936719</v>
      </c>
      <c r="I16" s="10">
        <v>6.6343733263319604E-2</v>
      </c>
      <c r="J16" s="10">
        <v>0.13707719770923249</v>
      </c>
      <c r="K16" s="10">
        <v>1.6303626359902981</v>
      </c>
      <c r="L16" s="10">
        <v>1.0172705767042349</v>
      </c>
      <c r="M16" s="10">
        <v>2.1018503648748998</v>
      </c>
      <c r="N16" s="10">
        <v>0.52713178294573648</v>
      </c>
      <c r="O16" s="10">
        <v>0.4699397071490094</v>
      </c>
      <c r="P16" s="10">
        <v>0.61670973298880283</v>
      </c>
      <c r="Q16" s="10">
        <v>5.7615480944813002E-2</v>
      </c>
      <c r="R16" s="10">
        <v>6.4892772597418998E-3</v>
      </c>
      <c r="S16" s="10">
        <v>0.14695413792667311</v>
      </c>
      <c r="T16" s="10">
        <v>0.20246844519621759</v>
      </c>
      <c r="U16" s="10">
        <v>0.1133578431372549</v>
      </c>
      <c r="V16" s="10">
        <v>0.2480521426430925</v>
      </c>
      <c r="W16" s="10">
        <v>0.109874213836478</v>
      </c>
      <c r="X16" s="10">
        <v>6.6100628930817598E-2</v>
      </c>
      <c r="Y16" s="10">
        <v>0.1933333333333333</v>
      </c>
      <c r="Z16" s="10">
        <v>0.42222222222222222</v>
      </c>
      <c r="AA16" s="10">
        <v>0.1222222222222222</v>
      </c>
      <c r="AB16" s="10">
        <v>0.77777777777777779</v>
      </c>
      <c r="AC16" s="10">
        <v>0.45733630368005779</v>
      </c>
      <c r="AD16">
        <v>0.37327904889583469</v>
      </c>
      <c r="AE16">
        <v>0.53155613587474249</v>
      </c>
    </row>
    <row r="17" spans="1:31" hidden="1">
      <c r="A17" t="s">
        <v>79</v>
      </c>
      <c r="B17" t="s">
        <v>65</v>
      </c>
      <c r="C17" t="s">
        <v>76</v>
      </c>
      <c r="D17" t="s">
        <v>67</v>
      </c>
      <c r="E17">
        <v>4</v>
      </c>
      <c r="F17">
        <v>2.8985507246376802E-2</v>
      </c>
      <c r="G17">
        <v>5</v>
      </c>
      <c r="H17" s="10">
        <v>4.19382399370304E-2</v>
      </c>
      <c r="I17" s="10">
        <v>2.7618800084843301E-2</v>
      </c>
      <c r="J17" s="10">
        <v>5.6668023242944898E-2</v>
      </c>
      <c r="K17" s="10">
        <v>1.4468692778275489</v>
      </c>
      <c r="L17" s="10">
        <v>0.95284860292709439</v>
      </c>
      <c r="M17" s="10">
        <v>1.9550468018816001</v>
      </c>
      <c r="N17" s="10">
        <v>0.55093283582089547</v>
      </c>
      <c r="O17" s="10">
        <v>0.3709888059701491</v>
      </c>
      <c r="P17" s="10">
        <v>0.70037313432835824</v>
      </c>
      <c r="Q17" s="10">
        <v>6.2488899274304698E-2</v>
      </c>
      <c r="R17" s="10">
        <v>0</v>
      </c>
      <c r="S17" s="10">
        <v>0.1607830361465277</v>
      </c>
      <c r="T17" s="10">
        <v>0.15817447486394129</v>
      </c>
      <c r="U17" s="10">
        <v>0.1298701298701298</v>
      </c>
      <c r="V17" s="10">
        <v>0.2244538407329105</v>
      </c>
      <c r="W17" s="10">
        <v>3.6585992717926702E-2</v>
      </c>
      <c r="X17" s="10">
        <v>2.8985507246376802E-2</v>
      </c>
      <c r="Y17" s="10">
        <v>5.4876847290640303E-2</v>
      </c>
      <c r="Z17" s="10">
        <v>1</v>
      </c>
      <c r="AA17" s="10">
        <v>1</v>
      </c>
      <c r="AB17" s="10">
        <v>1</v>
      </c>
      <c r="AC17" s="10">
        <v>5.4642955686101998E-3</v>
      </c>
      <c r="AD17">
        <v>0</v>
      </c>
      <c r="AE17">
        <v>2.2264457068090399E-2</v>
      </c>
    </row>
    <row r="18" spans="1:31" hidden="1">
      <c r="A18" t="s">
        <v>79</v>
      </c>
      <c r="B18" t="s">
        <v>65</v>
      </c>
      <c r="C18" t="s">
        <v>76</v>
      </c>
      <c r="D18" t="s">
        <v>68</v>
      </c>
      <c r="E18">
        <v>20</v>
      </c>
      <c r="F18">
        <v>0.14492753623188401</v>
      </c>
      <c r="G18">
        <v>5</v>
      </c>
      <c r="H18" s="10">
        <v>0.254172285105774</v>
      </c>
      <c r="I18" s="10">
        <v>0.2009754895309401</v>
      </c>
      <c r="J18" s="10">
        <v>0.29496464330355909</v>
      </c>
      <c r="K18" s="10">
        <v>1.75378876722984</v>
      </c>
      <c r="L18" s="10">
        <v>1.386730877763487</v>
      </c>
      <c r="M18" s="10">
        <v>2.0352560387945582</v>
      </c>
      <c r="N18" s="10">
        <v>0.65033898305084747</v>
      </c>
      <c r="O18" s="10">
        <v>0.62292372881355929</v>
      </c>
      <c r="P18" s="10">
        <v>0.6840254237288137</v>
      </c>
      <c r="Q18" s="10">
        <v>0.101022300319034</v>
      </c>
      <c r="R18" s="10">
        <v>-7.7493836682646002E-3</v>
      </c>
      <c r="S18" s="10">
        <v>0.15426670862308131</v>
      </c>
      <c r="T18" s="10">
        <v>0.21547446667382289</v>
      </c>
      <c r="U18" s="10">
        <v>6.52947154471544E-2</v>
      </c>
      <c r="V18" s="10">
        <v>0.46733708769106991</v>
      </c>
      <c r="W18" s="10">
        <v>0.2850713012477718</v>
      </c>
      <c r="X18" s="10">
        <v>0.1313235294117647</v>
      </c>
      <c r="Y18" s="10">
        <v>0.49</v>
      </c>
      <c r="Z18" s="10">
        <v>0.28000000000000003</v>
      </c>
      <c r="AA18" s="10">
        <v>5.5E-2</v>
      </c>
      <c r="AB18" s="10">
        <v>0.755</v>
      </c>
      <c r="AC18" s="10">
        <v>0.44751557789629032</v>
      </c>
      <c r="AD18">
        <v>0.2197341042921421</v>
      </c>
      <c r="AE18">
        <v>0.60546259816335812</v>
      </c>
    </row>
    <row r="19" spans="1:31" hidden="1">
      <c r="A19" t="s">
        <v>79</v>
      </c>
      <c r="B19" t="s">
        <v>65</v>
      </c>
      <c r="C19" t="s">
        <v>76</v>
      </c>
      <c r="D19" t="s">
        <v>69</v>
      </c>
      <c r="E19">
        <v>26</v>
      </c>
      <c r="F19">
        <v>0.1884057971014492</v>
      </c>
      <c r="G19">
        <v>5</v>
      </c>
      <c r="H19" s="10">
        <v>0.59458524527551726</v>
      </c>
      <c r="I19" s="10">
        <v>0.55107718625136226</v>
      </c>
      <c r="J19" s="10">
        <v>0.66638185867745892</v>
      </c>
      <c r="K19" s="10">
        <v>3.1558755326162071</v>
      </c>
      <c r="L19" s="10">
        <v>2.9249481424110759</v>
      </c>
      <c r="M19" s="10">
        <v>3.5369498652880522</v>
      </c>
      <c r="N19" s="10">
        <v>0.84800824175824174</v>
      </c>
      <c r="O19" s="10">
        <v>0.83863324175824183</v>
      </c>
      <c r="P19" s="10">
        <v>0.86129807692307692</v>
      </c>
      <c r="Q19" s="10">
        <v>0.5194110224282491</v>
      </c>
      <c r="R19" s="10">
        <v>0.4259503033834211</v>
      </c>
      <c r="S19" s="10">
        <v>0.59599201692154102</v>
      </c>
      <c r="T19" s="10">
        <v>0.65959402369885789</v>
      </c>
      <c r="U19" s="10">
        <v>0.53950978053435117</v>
      </c>
      <c r="V19" s="10">
        <v>0.76273022751895991</v>
      </c>
      <c r="W19" s="10">
        <v>0.55205053231369017</v>
      </c>
      <c r="X19" s="10">
        <v>0.51929824561403504</v>
      </c>
      <c r="Y19" s="10">
        <v>0.61891025641025643</v>
      </c>
      <c r="Z19" s="10">
        <v>0.7</v>
      </c>
      <c r="AA19" s="10">
        <v>0.54230769230769227</v>
      </c>
      <c r="AB19" s="10">
        <v>0.83846153846153848</v>
      </c>
      <c r="AC19" s="10">
        <v>0.44565123015368729</v>
      </c>
      <c r="AD19">
        <v>0.3957434846567619</v>
      </c>
      <c r="AE19">
        <v>0.51683109189600251</v>
      </c>
    </row>
    <row r="20" spans="1:31" hidden="1">
      <c r="A20" t="s">
        <v>79</v>
      </c>
      <c r="B20" t="s">
        <v>65</v>
      </c>
      <c r="C20" t="s">
        <v>76</v>
      </c>
      <c r="D20" t="s">
        <v>70</v>
      </c>
      <c r="E20">
        <v>7</v>
      </c>
      <c r="F20">
        <v>5.0724637681159403E-2</v>
      </c>
      <c r="G20">
        <v>5</v>
      </c>
      <c r="H20" s="10">
        <v>4.9578868311260599E-2</v>
      </c>
      <c r="I20" s="10">
        <v>4.2504673620679098E-2</v>
      </c>
      <c r="J20" s="10">
        <v>5.9074907155463902E-2</v>
      </c>
      <c r="K20" s="10">
        <v>0.97741197527913881</v>
      </c>
      <c r="L20" s="10">
        <v>0.83794927995053259</v>
      </c>
      <c r="M20" s="10">
        <v>1.1646195982077181</v>
      </c>
      <c r="N20" s="10">
        <v>0.4255179934569247</v>
      </c>
      <c r="O20" s="10">
        <v>0.35561613958560528</v>
      </c>
      <c r="P20" s="10">
        <v>0.50130861504907309</v>
      </c>
      <c r="Q20" s="10">
        <v>-2.8085559814748002E-3</v>
      </c>
      <c r="R20" s="10">
        <v>-3.3816648620707102E-2</v>
      </c>
      <c r="S20" s="10">
        <v>3.07639528303668E-2</v>
      </c>
      <c r="T20" s="10">
        <v>0.124792473713337</v>
      </c>
      <c r="U20" s="10">
        <v>0</v>
      </c>
      <c r="V20" s="10">
        <v>0.21582733812949639</v>
      </c>
      <c r="W20" s="10">
        <v>3.1425543190248997E-2</v>
      </c>
      <c r="X20" s="10">
        <v>0</v>
      </c>
      <c r="Y20" s="10">
        <v>5.4054054054054002E-2</v>
      </c>
      <c r="Z20" s="10">
        <v>0.4857142857142856</v>
      </c>
      <c r="AA20" s="10">
        <v>0</v>
      </c>
      <c r="AB20" s="10">
        <v>0.8571428571428571</v>
      </c>
      <c r="AC20" s="10">
        <v>0.1545170389746065</v>
      </c>
      <c r="AD20">
        <v>3.9040999255705297E-2</v>
      </c>
      <c r="AE20">
        <v>0.3297798044343635</v>
      </c>
    </row>
    <row r="21" spans="1:31" hidden="1">
      <c r="A21" t="s">
        <v>79</v>
      </c>
      <c r="B21" t="s">
        <v>65</v>
      </c>
      <c r="C21" t="s">
        <v>76</v>
      </c>
      <c r="D21" t="s">
        <v>71</v>
      </c>
      <c r="E21">
        <v>9</v>
      </c>
      <c r="F21">
        <v>6.5217391304347797E-2</v>
      </c>
      <c r="G21">
        <v>5</v>
      </c>
      <c r="H21" s="10">
        <v>6.2609321758161696E-2</v>
      </c>
      <c r="I21" s="10">
        <v>5.06084812166799E-2</v>
      </c>
      <c r="J21" s="10">
        <v>7.8581632668365403E-2</v>
      </c>
      <c r="K21" s="10">
        <v>0.96000960029181404</v>
      </c>
      <c r="L21" s="10">
        <v>0.77599671198909215</v>
      </c>
      <c r="M21" s="10">
        <v>1.2049183675816031</v>
      </c>
      <c r="N21" s="10">
        <v>0.3961240310077519</v>
      </c>
      <c r="O21" s="10">
        <v>0.30611541774332468</v>
      </c>
      <c r="P21" s="10">
        <v>0.49440137812230828</v>
      </c>
      <c r="Q21" s="10">
        <v>-4.9335472739719998E-4</v>
      </c>
      <c r="R21" s="10">
        <v>-0.19266888306676461</v>
      </c>
      <c r="S21" s="10">
        <v>9.8328718616176106E-2</v>
      </c>
      <c r="T21" s="10">
        <v>0.25335837952750501</v>
      </c>
      <c r="U21" s="10">
        <v>0.20960177547003889</v>
      </c>
      <c r="V21" s="10">
        <v>0.28626367023194321</v>
      </c>
      <c r="W21" s="10">
        <v>6.5697869856820301E-2</v>
      </c>
      <c r="X21" s="10">
        <v>5.3699079688949103E-2</v>
      </c>
      <c r="Y21" s="10">
        <v>7.42592219310622E-2</v>
      </c>
      <c r="Z21" s="10">
        <v>0.88888888888888895</v>
      </c>
      <c r="AA21" s="10">
        <v>0.6777777777777777</v>
      </c>
      <c r="AB21" s="10">
        <v>1</v>
      </c>
      <c r="AC21" s="10">
        <v>3.9478325281743401E-2</v>
      </c>
      <c r="AD21">
        <v>2.9296390880763499E-2</v>
      </c>
      <c r="AE21">
        <v>6.0280963382706103E-2</v>
      </c>
    </row>
    <row r="22" spans="1:31" hidden="1">
      <c r="A22" t="s">
        <v>79</v>
      </c>
      <c r="B22" t="s">
        <v>65</v>
      </c>
      <c r="C22" t="s">
        <v>83</v>
      </c>
      <c r="D22" t="s">
        <v>67</v>
      </c>
      <c r="E22">
        <v>4</v>
      </c>
      <c r="F22">
        <v>2.8985507246376802E-2</v>
      </c>
      <c r="G22">
        <v>5</v>
      </c>
      <c r="H22" s="10">
        <v>5.1727252548649703E-2</v>
      </c>
      <c r="I22" s="10">
        <v>3.6614398131863499E-2</v>
      </c>
      <c r="J22" s="10">
        <v>8.4485516221413898E-2</v>
      </c>
      <c r="K22" s="10">
        <v>1.784590212928417</v>
      </c>
      <c r="L22" s="10">
        <v>1.263196735549291</v>
      </c>
      <c r="M22" s="10">
        <v>2.914750309638781</v>
      </c>
      <c r="N22" s="10">
        <v>0.53507462686567164</v>
      </c>
      <c r="O22" s="10">
        <v>0.40671641791044771</v>
      </c>
      <c r="P22" s="10">
        <v>0.68805970149253726</v>
      </c>
      <c r="Q22" s="10">
        <v>9.0228835473640003E-3</v>
      </c>
      <c r="R22" s="10">
        <v>-8.3429547725037703E-2</v>
      </c>
      <c r="S22" s="10">
        <v>7.2375471571801103E-2</v>
      </c>
      <c r="T22" s="10">
        <v>0.1275350420028081</v>
      </c>
      <c r="U22" s="10">
        <v>8.7110016420361203E-2</v>
      </c>
      <c r="V22" s="10">
        <v>0.16966516741629181</v>
      </c>
      <c r="W22" s="10">
        <v>3.0825568595461698E-2</v>
      </c>
      <c r="X22" s="10">
        <v>2.0247191011235899E-2</v>
      </c>
      <c r="Y22" s="10">
        <v>4.6135831381733002E-2</v>
      </c>
      <c r="Z22" s="10">
        <v>0.7</v>
      </c>
      <c r="AA22" s="10">
        <v>0.5</v>
      </c>
      <c r="AB22" s="10">
        <v>1</v>
      </c>
      <c r="AC22" s="10">
        <v>1.72022139538122E-2</v>
      </c>
      <c r="AD22">
        <v>8.1771762344890996E-3</v>
      </c>
      <c r="AE22">
        <v>3.0675968643884399E-2</v>
      </c>
    </row>
    <row r="23" spans="1:31" hidden="1">
      <c r="A23" t="s">
        <v>79</v>
      </c>
      <c r="B23" t="s">
        <v>65</v>
      </c>
      <c r="C23" t="s">
        <v>83</v>
      </c>
      <c r="D23" t="s">
        <v>68</v>
      </c>
      <c r="E23">
        <v>20</v>
      </c>
      <c r="F23">
        <v>0.14492753623188401</v>
      </c>
      <c r="G23">
        <v>5</v>
      </c>
      <c r="H23" s="10">
        <v>0.21927342860240481</v>
      </c>
      <c r="I23" s="10">
        <v>0.175187883397562</v>
      </c>
      <c r="J23" s="10">
        <v>0.2574484030499381</v>
      </c>
      <c r="K23" s="10">
        <v>1.5129866573565931</v>
      </c>
      <c r="L23" s="10">
        <v>1.208796395443178</v>
      </c>
      <c r="M23" s="10">
        <v>1.776393981044573</v>
      </c>
      <c r="N23" s="10">
        <v>0.61008474576271188</v>
      </c>
      <c r="O23" s="10">
        <v>0.52902542372881356</v>
      </c>
      <c r="P23" s="10">
        <v>0.6933474576271188</v>
      </c>
      <c r="Q23" s="10">
        <v>2.4388460042898401E-2</v>
      </c>
      <c r="R23" s="10">
        <v>-9.8007409192601702E-2</v>
      </c>
      <c r="S23" s="10">
        <v>0.1729481728149771</v>
      </c>
      <c r="T23" s="10">
        <v>0.22342803919783011</v>
      </c>
      <c r="U23" s="10">
        <v>5.5658627087198501E-2</v>
      </c>
      <c r="V23" s="10">
        <v>0.42683934968310833</v>
      </c>
      <c r="W23" s="10">
        <v>0.1624782677414256</v>
      </c>
      <c r="X23" s="10">
        <v>5.8479532163742597E-2</v>
      </c>
      <c r="Y23" s="10">
        <v>0.31621621621621621</v>
      </c>
      <c r="Z23" s="10">
        <v>0.30999999999999989</v>
      </c>
      <c r="AA23" s="10">
        <v>5.5E-2</v>
      </c>
      <c r="AB23" s="10">
        <v>0.79499999999999993</v>
      </c>
      <c r="AC23" s="10">
        <v>0.19427336235850051</v>
      </c>
      <c r="AD23">
        <v>7.7999099979180003E-2</v>
      </c>
      <c r="AE23">
        <v>0.3086729442031737</v>
      </c>
    </row>
    <row r="24" spans="1:31" hidden="1">
      <c r="A24" t="s">
        <v>79</v>
      </c>
      <c r="B24" t="s">
        <v>65</v>
      </c>
      <c r="C24" t="s">
        <v>83</v>
      </c>
      <c r="D24" t="s">
        <v>69</v>
      </c>
      <c r="E24">
        <v>26</v>
      </c>
      <c r="F24">
        <v>0.1884057971014492</v>
      </c>
      <c r="G24">
        <v>5</v>
      </c>
      <c r="H24" s="10">
        <v>0.53182033038847731</v>
      </c>
      <c r="I24" s="10">
        <v>0.44707844221333498</v>
      </c>
      <c r="J24" s="10">
        <v>0.61388251128445726</v>
      </c>
      <c r="K24" s="10">
        <v>2.8227386766773028</v>
      </c>
      <c r="L24" s="10">
        <v>2.3729548086707779</v>
      </c>
      <c r="M24" s="10">
        <v>3.2582994829713501</v>
      </c>
      <c r="N24" s="10">
        <v>0.8143543956043956</v>
      </c>
      <c r="O24" s="10">
        <v>0.79292582417582425</v>
      </c>
      <c r="P24" s="10">
        <v>0.83276098901098905</v>
      </c>
      <c r="Q24" s="10">
        <v>0.50321194991143259</v>
      </c>
      <c r="R24" s="10">
        <v>0.46523090468110151</v>
      </c>
      <c r="S24" s="10">
        <v>0.53657212733697945</v>
      </c>
      <c r="T24" s="10">
        <v>0.65044958738090508</v>
      </c>
      <c r="U24" s="10">
        <v>0.5546875</v>
      </c>
      <c r="V24" s="10">
        <v>0.72165420786110446</v>
      </c>
      <c r="W24" s="10">
        <v>0.53701070271192219</v>
      </c>
      <c r="X24" s="10">
        <v>0.51225766103814885</v>
      </c>
      <c r="Y24" s="10">
        <v>0.57954545454545459</v>
      </c>
      <c r="Z24" s="10">
        <v>0.69230769230769229</v>
      </c>
      <c r="AA24" s="10">
        <v>0.54999999999999993</v>
      </c>
      <c r="AB24" s="10">
        <v>0.80384615384615388</v>
      </c>
      <c r="AC24" s="10">
        <v>0.35310089549833978</v>
      </c>
      <c r="AD24">
        <v>0.27747694320923832</v>
      </c>
      <c r="AE24">
        <v>0.46144602872127582</v>
      </c>
    </row>
    <row r="25" spans="1:31" hidden="1">
      <c r="A25" t="s">
        <v>79</v>
      </c>
      <c r="B25" t="s">
        <v>65</v>
      </c>
      <c r="C25" t="s">
        <v>83</v>
      </c>
      <c r="D25" t="s">
        <v>70</v>
      </c>
      <c r="E25">
        <v>7</v>
      </c>
      <c r="F25">
        <v>5.0724637681159403E-2</v>
      </c>
      <c r="G25">
        <v>5</v>
      </c>
      <c r="H25" s="10">
        <v>5.2465083079500097E-2</v>
      </c>
      <c r="I25" s="10">
        <v>4.3000755191580399E-2</v>
      </c>
      <c r="J25" s="10">
        <v>6.2486582834718502E-2</v>
      </c>
      <c r="K25" s="10">
        <v>1.034311637853004</v>
      </c>
      <c r="L25" s="10">
        <v>0.84772917377687174</v>
      </c>
      <c r="M25" s="10">
        <v>1.231878347313023</v>
      </c>
      <c r="N25" s="10">
        <v>0.43402399127589969</v>
      </c>
      <c r="O25" s="10">
        <v>0.34601962922573609</v>
      </c>
      <c r="P25" s="10">
        <v>0.51319520174482014</v>
      </c>
      <c r="Q25" s="10">
        <v>-3.9613885845714902E-2</v>
      </c>
      <c r="R25" s="10">
        <v>-0.13779089501298919</v>
      </c>
      <c r="S25" s="10">
        <v>6.0757938479894899E-2</v>
      </c>
      <c r="T25" s="10">
        <v>0.10133689839572189</v>
      </c>
      <c r="U25" s="10">
        <v>0</v>
      </c>
      <c r="V25" s="10">
        <v>0.22415329768270939</v>
      </c>
      <c r="W25" s="10">
        <v>2.6961111111111099E-2</v>
      </c>
      <c r="X25" s="10">
        <v>0</v>
      </c>
      <c r="Y25" s="10">
        <v>5.4799999999999897E-2</v>
      </c>
      <c r="Z25" s="10">
        <v>0.4</v>
      </c>
      <c r="AA25" s="10">
        <v>0</v>
      </c>
      <c r="AB25" s="10">
        <v>0.98571428571428565</v>
      </c>
      <c r="AC25" s="10">
        <v>7.0827321262019002E-2</v>
      </c>
      <c r="AD25">
        <v>1.64289160301853E-2</v>
      </c>
      <c r="AE25">
        <v>0.16772685680547919</v>
      </c>
    </row>
    <row r="26" spans="1:31" hidden="1">
      <c r="A26" t="s">
        <v>79</v>
      </c>
      <c r="B26" t="s">
        <v>65</v>
      </c>
      <c r="C26" t="s">
        <v>83</v>
      </c>
      <c r="D26" t="s">
        <v>71</v>
      </c>
      <c r="E26">
        <v>9</v>
      </c>
      <c r="F26">
        <v>6.5217391304347797E-2</v>
      </c>
      <c r="G26">
        <v>5</v>
      </c>
      <c r="H26" s="10">
        <v>9.5183296493838596E-2</v>
      </c>
      <c r="I26" s="10">
        <v>7.8359199493280102E-2</v>
      </c>
      <c r="J26" s="10">
        <v>0.1107946545469766</v>
      </c>
      <c r="K26" s="10">
        <v>1.459477212905526</v>
      </c>
      <c r="L26" s="10">
        <v>1.2015077255636291</v>
      </c>
      <c r="M26" s="10">
        <v>1.6988513697203089</v>
      </c>
      <c r="N26" s="10">
        <v>0.49819121447028419</v>
      </c>
      <c r="O26" s="10">
        <v>0.41937984496124031</v>
      </c>
      <c r="P26" s="10">
        <v>0.55908699397071493</v>
      </c>
      <c r="Q26" s="10">
        <v>3.9262484699639201E-2</v>
      </c>
      <c r="R26" s="10">
        <v>-2.4890499813940498E-2</v>
      </c>
      <c r="S26" s="10">
        <v>7.5571804009011895E-2</v>
      </c>
      <c r="T26" s="10">
        <v>0.1489892210424581</v>
      </c>
      <c r="U26" s="10">
        <v>1.0869565217391301E-2</v>
      </c>
      <c r="V26" s="10">
        <v>0.27226767520839767</v>
      </c>
      <c r="W26" s="10">
        <v>7.2667151162790697E-2</v>
      </c>
      <c r="X26" s="10">
        <v>7.0312500000000002E-3</v>
      </c>
      <c r="Y26" s="10">
        <v>0.1</v>
      </c>
      <c r="Z26" s="10">
        <v>0.33333333333333331</v>
      </c>
      <c r="AA26" s="10">
        <v>1.1111111111111099E-2</v>
      </c>
      <c r="AB26" s="10">
        <v>0.94444444444444442</v>
      </c>
      <c r="AC26" s="10">
        <v>8.9204234888976996E-2</v>
      </c>
      <c r="AD26">
        <v>4.4729104631708198E-2</v>
      </c>
      <c r="AE26">
        <v>0.1306730520805717</v>
      </c>
    </row>
    <row r="27" spans="1:31" hidden="1">
      <c r="A27" t="s">
        <v>79</v>
      </c>
      <c r="B27" t="s">
        <v>65</v>
      </c>
      <c r="C27" t="s">
        <v>84</v>
      </c>
      <c r="D27" t="s">
        <v>67</v>
      </c>
      <c r="E27">
        <v>4</v>
      </c>
      <c r="F27">
        <v>2.8985507246376802E-2</v>
      </c>
      <c r="G27">
        <v>5</v>
      </c>
      <c r="H27" s="10">
        <v>4.38702495407804E-2</v>
      </c>
      <c r="I27" s="10">
        <v>3.3637921591464698E-2</v>
      </c>
      <c r="J27" s="10">
        <v>5.5961035172811799E-2</v>
      </c>
      <c r="K27" s="10">
        <v>1.5135236091569251</v>
      </c>
      <c r="L27" s="10">
        <v>1.160508294905533</v>
      </c>
      <c r="M27" s="10">
        <v>1.9306557134620079</v>
      </c>
      <c r="N27" s="10">
        <v>0.5313432835820896</v>
      </c>
      <c r="O27" s="10">
        <v>0.46847014925373132</v>
      </c>
      <c r="P27" s="10">
        <v>0.57593283582089561</v>
      </c>
      <c r="Q27" s="10">
        <v>3.3545319066702099E-2</v>
      </c>
      <c r="R27" s="10">
        <v>-4.7062014251512997E-2</v>
      </c>
      <c r="S27" s="10">
        <v>0.12844244574909169</v>
      </c>
      <c r="T27" s="10">
        <v>0.1301802505758452</v>
      </c>
      <c r="U27" s="10">
        <v>7.2906403940886697E-2</v>
      </c>
      <c r="V27" s="10">
        <v>0.1907760381211708</v>
      </c>
      <c r="W27" s="10">
        <v>3.1518225951215603E-2</v>
      </c>
      <c r="X27" s="10">
        <v>1.9047619047619001E-2</v>
      </c>
      <c r="Y27" s="10">
        <v>4.5032802249297003E-2</v>
      </c>
      <c r="Z27" s="10">
        <v>0.65</v>
      </c>
      <c r="AA27" s="10">
        <v>0.25</v>
      </c>
      <c r="AB27" s="10">
        <v>1</v>
      </c>
      <c r="AC27" s="10">
        <v>7.9375617520312004E-3</v>
      </c>
      <c r="AD27">
        <v>2.5423582581025998E-3</v>
      </c>
      <c r="AE27">
        <v>1.4606888050835799E-2</v>
      </c>
    </row>
    <row r="28" spans="1:31" hidden="1">
      <c r="A28" t="s">
        <v>79</v>
      </c>
      <c r="B28" t="s">
        <v>65</v>
      </c>
      <c r="C28" t="s">
        <v>84</v>
      </c>
      <c r="D28" t="s">
        <v>68</v>
      </c>
      <c r="E28">
        <v>20</v>
      </c>
      <c r="F28">
        <v>0.14492753623188401</v>
      </c>
      <c r="G28">
        <v>5</v>
      </c>
      <c r="H28" s="10">
        <v>0.30912546109402489</v>
      </c>
      <c r="I28" s="10">
        <v>0.29099196214580259</v>
      </c>
      <c r="J28" s="10">
        <v>0.33535222117021352</v>
      </c>
      <c r="K28" s="10">
        <v>2.1329656815487721</v>
      </c>
      <c r="L28" s="10">
        <v>2.0078445388060371</v>
      </c>
      <c r="M28" s="10">
        <v>2.3139303260744728</v>
      </c>
      <c r="N28" s="10">
        <v>0.706822033898305</v>
      </c>
      <c r="O28" s="10">
        <v>0.66805084745762711</v>
      </c>
      <c r="P28" s="10">
        <v>0.74586864406779652</v>
      </c>
      <c r="Q28" s="10">
        <v>0.12510789805713149</v>
      </c>
      <c r="R28" s="10">
        <v>3.5163689453668601E-2</v>
      </c>
      <c r="S28" s="10">
        <v>0.21255689220476029</v>
      </c>
      <c r="T28" s="10">
        <v>0.26945282383855279</v>
      </c>
      <c r="U28" s="10">
        <v>6.4435429344151404E-2</v>
      </c>
      <c r="V28" s="10">
        <v>0.52580177943306439</v>
      </c>
      <c r="W28" s="10">
        <v>0.2289532689532689</v>
      </c>
      <c r="X28" s="10">
        <v>0.19272727272727269</v>
      </c>
      <c r="Y28" s="10">
        <v>0.28077922077922068</v>
      </c>
      <c r="Z28" s="10">
        <v>0.38</v>
      </c>
      <c r="AA28" s="10">
        <v>5.5E-2</v>
      </c>
      <c r="AB28" s="10">
        <v>0.92</v>
      </c>
      <c r="AC28" s="10">
        <v>0.4457456029379584</v>
      </c>
      <c r="AD28">
        <v>1.32738331916915E-2</v>
      </c>
      <c r="AE28">
        <v>0.81736091874951688</v>
      </c>
    </row>
    <row r="29" spans="1:31" hidden="1">
      <c r="A29" t="s">
        <v>79</v>
      </c>
      <c r="B29" t="s">
        <v>65</v>
      </c>
      <c r="C29" t="s">
        <v>84</v>
      </c>
      <c r="D29" t="s">
        <v>69</v>
      </c>
      <c r="E29">
        <v>26</v>
      </c>
      <c r="F29">
        <v>0.1884057971014492</v>
      </c>
      <c r="G29">
        <v>5</v>
      </c>
      <c r="H29" s="10">
        <v>0.59791791174077291</v>
      </c>
      <c r="I29" s="10">
        <v>0.54032824983846883</v>
      </c>
      <c r="J29" s="10">
        <v>0.64908993750586763</v>
      </c>
      <c r="K29" s="10">
        <v>3.1735643007779482</v>
      </c>
      <c r="L29" s="10">
        <v>2.867896095296488</v>
      </c>
      <c r="M29" s="10">
        <v>3.445169668300375</v>
      </c>
      <c r="N29" s="10">
        <v>0.85082417582417591</v>
      </c>
      <c r="O29" s="10">
        <v>0.84079670329670331</v>
      </c>
      <c r="P29" s="10">
        <v>0.86401098901098905</v>
      </c>
      <c r="Q29" s="10">
        <v>0.4522352105526421</v>
      </c>
      <c r="R29" s="10">
        <v>0.38372019651117872</v>
      </c>
      <c r="S29" s="10">
        <v>0.4984176511280573</v>
      </c>
      <c r="T29" s="10">
        <v>0.56371430843871795</v>
      </c>
      <c r="U29" s="10">
        <v>0.48031496062992118</v>
      </c>
      <c r="V29" s="10">
        <v>0.63060606060606061</v>
      </c>
      <c r="W29" s="10">
        <v>0.55025409373235468</v>
      </c>
      <c r="X29" s="10">
        <v>0.42391304347826081</v>
      </c>
      <c r="Y29" s="10">
        <v>0.63359683794466404</v>
      </c>
      <c r="Z29" s="10">
        <v>0.57692307692307687</v>
      </c>
      <c r="AA29" s="10">
        <v>0.46923076923076917</v>
      </c>
      <c r="AB29" s="10">
        <v>0.71923076923076923</v>
      </c>
      <c r="AC29" s="10">
        <v>0.55023448529345309</v>
      </c>
      <c r="AD29">
        <v>0.1115560898431881</v>
      </c>
      <c r="AE29">
        <v>0.86380592018186153</v>
      </c>
    </row>
    <row r="30" spans="1:31" hidden="1">
      <c r="A30" t="s">
        <v>79</v>
      </c>
      <c r="B30" t="s">
        <v>65</v>
      </c>
      <c r="C30" t="s">
        <v>84</v>
      </c>
      <c r="D30" t="s">
        <v>70</v>
      </c>
      <c r="E30">
        <v>7</v>
      </c>
      <c r="F30">
        <v>5.0724637681159403E-2</v>
      </c>
      <c r="G30">
        <v>5</v>
      </c>
      <c r="H30" s="10">
        <v>5.7821582910681499E-2</v>
      </c>
      <c r="I30" s="10">
        <v>4.9313070647669398E-2</v>
      </c>
      <c r="J30" s="10">
        <v>7.3156871171583496E-2</v>
      </c>
      <c r="K30" s="10">
        <v>1.1399112059534371</v>
      </c>
      <c r="L30" s="10">
        <v>0.97217196419691243</v>
      </c>
      <c r="M30" s="10">
        <v>1.4422354602397891</v>
      </c>
      <c r="N30" s="10">
        <v>0.50490730643402393</v>
      </c>
      <c r="O30" s="10">
        <v>0.43854961832061068</v>
      </c>
      <c r="P30" s="10">
        <v>0.60310796074154849</v>
      </c>
      <c r="Q30" s="10">
        <v>4.9277698139988099E-2</v>
      </c>
      <c r="R30" s="10">
        <v>-4.5916449825956999E-3</v>
      </c>
      <c r="S30" s="10">
        <v>0.1223808154408557</v>
      </c>
      <c r="T30" s="10">
        <v>0.21691573897546851</v>
      </c>
      <c r="U30" s="10">
        <v>0.17251872659176029</v>
      </c>
      <c r="V30" s="10">
        <v>0.25825343481269147</v>
      </c>
      <c r="W30" s="10">
        <v>5.5140924521297298E-2</v>
      </c>
      <c r="X30" s="10">
        <v>4.94347088750706E-2</v>
      </c>
      <c r="Y30" s="10">
        <v>6.5125019174719995E-2</v>
      </c>
      <c r="Z30" s="10">
        <v>0.8571428571428571</v>
      </c>
      <c r="AA30" s="10">
        <v>0.47142857142857142</v>
      </c>
      <c r="AB30" s="10">
        <v>1</v>
      </c>
      <c r="AC30" s="10">
        <v>3.9854725289412999E-3</v>
      </c>
      <c r="AD30">
        <v>1.7982607607515001E-3</v>
      </c>
      <c r="AE30">
        <v>8.5838578418295005E-3</v>
      </c>
    </row>
    <row r="31" spans="1:31" hidden="1">
      <c r="A31" t="s">
        <v>79</v>
      </c>
      <c r="B31" t="s">
        <v>65</v>
      </c>
      <c r="C31" t="s">
        <v>84</v>
      </c>
      <c r="D31" t="s">
        <v>71</v>
      </c>
      <c r="E31">
        <v>9</v>
      </c>
      <c r="F31">
        <v>6.5217391304347797E-2</v>
      </c>
      <c r="G31">
        <v>5</v>
      </c>
      <c r="H31" s="10">
        <v>6.1493256117704301E-2</v>
      </c>
      <c r="I31" s="10">
        <v>4.8637594760301002E-2</v>
      </c>
      <c r="J31" s="10">
        <v>8.4712059864719497E-2</v>
      </c>
      <c r="K31" s="10">
        <v>0.94289659380479984</v>
      </c>
      <c r="L31" s="10">
        <v>0.74577645299128226</v>
      </c>
      <c r="M31" s="10">
        <v>1.2989182512590329</v>
      </c>
      <c r="N31" s="10">
        <v>0.38828596037898361</v>
      </c>
      <c r="O31" s="10">
        <v>0.28320413436692499</v>
      </c>
      <c r="P31" s="10">
        <v>0.52295434969853571</v>
      </c>
      <c r="Q31" s="10">
        <v>-0.11561046044644829</v>
      </c>
      <c r="R31" s="10">
        <v>-0.3142603708488621</v>
      </c>
      <c r="S31" s="10">
        <v>3.0834415970785199E-2</v>
      </c>
      <c r="T31" s="10">
        <v>0.18514024295432011</v>
      </c>
      <c r="U31" s="10">
        <v>8.8263245426467005E-2</v>
      </c>
      <c r="V31" s="10">
        <v>0.25645472061657032</v>
      </c>
      <c r="W31" s="10">
        <v>5.6547518985475102E-2</v>
      </c>
      <c r="X31" s="10">
        <v>4.13030303030303E-2</v>
      </c>
      <c r="Y31" s="10">
        <v>6.9696969696969605E-2</v>
      </c>
      <c r="Z31" s="10">
        <v>0.55555555555555558</v>
      </c>
      <c r="AA31" s="10">
        <v>0.1222222222222222</v>
      </c>
      <c r="AB31" s="10">
        <v>0.87777777777777777</v>
      </c>
      <c r="AC31" s="10">
        <v>1.8956498294370201E-2</v>
      </c>
      <c r="AD31">
        <v>5.402939068592E-4</v>
      </c>
      <c r="AE31">
        <v>4.6508699045109403E-2</v>
      </c>
    </row>
    <row r="32" spans="1:31">
      <c r="A32" t="s">
        <v>85</v>
      </c>
      <c r="B32" t="s">
        <v>65</v>
      </c>
      <c r="C32" t="s">
        <v>80</v>
      </c>
      <c r="D32" t="s">
        <v>67</v>
      </c>
      <c r="E32">
        <v>4</v>
      </c>
      <c r="F32">
        <v>2.8985507246376802E-2</v>
      </c>
      <c r="G32">
        <v>5</v>
      </c>
      <c r="H32" s="10">
        <v>4.1545714756187999E-2</v>
      </c>
      <c r="I32" s="10">
        <v>2.8515378593444201E-2</v>
      </c>
      <c r="J32" s="10">
        <v>5.2630775871189403E-2</v>
      </c>
      <c r="K32" s="10">
        <v>1.433327159088488</v>
      </c>
      <c r="L32" s="10">
        <v>0.98378056147382598</v>
      </c>
      <c r="M32" s="10">
        <v>1.8157617675560369</v>
      </c>
      <c r="N32" s="10">
        <v>0.5</v>
      </c>
      <c r="O32" s="10">
        <v>0.37985074626865678</v>
      </c>
      <c r="P32" s="10">
        <v>0.59944029850746272</v>
      </c>
      <c r="Q32" s="10">
        <v>2.35956901416439E-2</v>
      </c>
      <c r="R32" s="10">
        <v>-8.8743536033511095E-2</v>
      </c>
      <c r="S32" s="10">
        <v>0.1113584694623477</v>
      </c>
      <c r="T32" s="10">
        <v>0.1336594598302836</v>
      </c>
      <c r="U32" s="10">
        <v>8.5851648351648296E-2</v>
      </c>
      <c r="V32" s="10">
        <v>0.17624118794060289</v>
      </c>
      <c r="W32" s="10">
        <v>3.08842893082516E-2</v>
      </c>
      <c r="X32" s="10">
        <v>1.9905115511551101E-2</v>
      </c>
      <c r="Y32" s="10">
        <v>4.1034970689306602E-2</v>
      </c>
      <c r="Z32" s="10">
        <v>0.8</v>
      </c>
      <c r="AA32" s="10">
        <v>0.5</v>
      </c>
      <c r="AB32" s="10">
        <v>1</v>
      </c>
      <c r="AC32" s="10">
        <v>2.5518333488002E-3</v>
      </c>
      <c r="AD32">
        <v>3.4756556709290002E-4</v>
      </c>
      <c r="AE32">
        <v>4.2073027179566E-3</v>
      </c>
    </row>
    <row r="33" spans="1:31">
      <c r="A33" t="s">
        <v>79</v>
      </c>
      <c r="B33" t="s">
        <v>77</v>
      </c>
      <c r="C33" t="s">
        <v>80</v>
      </c>
      <c r="D33" t="s">
        <v>68</v>
      </c>
      <c r="E33">
        <v>21</v>
      </c>
      <c r="F33">
        <v>0.15</v>
      </c>
      <c r="G33">
        <v>5</v>
      </c>
      <c r="H33" s="10">
        <v>0.285142566600525</v>
      </c>
      <c r="I33" s="10">
        <v>0.2192717040693144</v>
      </c>
      <c r="J33" s="10">
        <v>0.42080241610064922</v>
      </c>
      <c r="K33" s="10">
        <v>1.900950444003501</v>
      </c>
      <c r="L33" s="10">
        <v>1.4618113604620959</v>
      </c>
      <c r="M33" s="10">
        <v>2.8053494406709958</v>
      </c>
      <c r="N33" s="10">
        <v>0.67787114845938368</v>
      </c>
      <c r="O33" s="10">
        <v>0.62897158863545422</v>
      </c>
      <c r="P33" s="10">
        <v>0.76342537014805922</v>
      </c>
      <c r="Q33" s="10">
        <v>0.23617655618354899</v>
      </c>
      <c r="R33" s="10">
        <v>0.1475084487679563</v>
      </c>
      <c r="S33" s="10">
        <v>0.31550025998517151</v>
      </c>
      <c r="T33" s="10">
        <v>0.45972537842356148</v>
      </c>
      <c r="U33" s="10">
        <v>0.37377324380165289</v>
      </c>
      <c r="V33" s="10">
        <v>0.5731326703343208</v>
      </c>
      <c r="W33" s="10">
        <v>0.27920808920808921</v>
      </c>
      <c r="X33" s="10">
        <v>0.2288697788697788</v>
      </c>
      <c r="Y33" s="10">
        <v>0.3406293706293706</v>
      </c>
      <c r="Z33" s="10">
        <v>0.56190476190476191</v>
      </c>
      <c r="AA33" s="10">
        <v>0.42857142857142849</v>
      </c>
      <c r="AB33" s="10">
        <v>0.75714285714285712</v>
      </c>
      <c r="AC33" s="10">
        <v>0.40402262170988618</v>
      </c>
      <c r="AD33">
        <v>0.13154767187170319</v>
      </c>
      <c r="AE33">
        <v>0.74135542259652043</v>
      </c>
    </row>
    <row r="34" spans="1:31">
      <c r="A34" t="s">
        <v>79</v>
      </c>
      <c r="B34" t="s">
        <v>77</v>
      </c>
      <c r="C34" t="s">
        <v>80</v>
      </c>
      <c r="D34" t="s">
        <v>69</v>
      </c>
      <c r="E34">
        <v>26</v>
      </c>
      <c r="F34">
        <v>0.18571428571428569</v>
      </c>
      <c r="G34">
        <v>5</v>
      </c>
      <c r="H34" s="10">
        <v>0.47405879099907278</v>
      </c>
      <c r="I34" s="10">
        <v>0.39998121565715389</v>
      </c>
      <c r="J34" s="10">
        <v>0.5897175607463303</v>
      </c>
      <c r="K34" s="10">
        <v>2.5526242592257771</v>
      </c>
      <c r="L34" s="10">
        <v>2.1537450073846749</v>
      </c>
      <c r="M34" s="10">
        <v>3.1754022501725481</v>
      </c>
      <c r="N34" s="10">
        <v>0.8521592442645074</v>
      </c>
      <c r="O34" s="10">
        <v>0.80735492577597845</v>
      </c>
      <c r="P34" s="10">
        <v>0.8870445344129555</v>
      </c>
      <c r="Q34" s="10">
        <v>0.60264603754321633</v>
      </c>
      <c r="R34" s="10">
        <v>0.56692071973055713</v>
      </c>
      <c r="S34" s="10">
        <v>0.65547234748695204</v>
      </c>
      <c r="T34" s="10">
        <v>0.80627970472241883</v>
      </c>
      <c r="U34" s="10">
        <v>0.78194386258902393</v>
      </c>
      <c r="V34" s="10">
        <v>0.82599641737572771</v>
      </c>
      <c r="W34" s="10">
        <v>0.50915160210425636</v>
      </c>
      <c r="X34" s="10">
        <v>0.48101960784313719</v>
      </c>
      <c r="Y34" s="10">
        <v>0.57682926829268288</v>
      </c>
      <c r="Z34" s="10">
        <v>0.94615384615384601</v>
      </c>
      <c r="AA34" s="10">
        <v>0.92307692307692324</v>
      </c>
      <c r="AB34" s="10">
        <v>0.96153846153846156</v>
      </c>
      <c r="AC34" s="10">
        <v>0.3320473300452037</v>
      </c>
      <c r="AD34">
        <v>0.2333444030464569</v>
      </c>
      <c r="AE34">
        <v>0.4345965383943361</v>
      </c>
    </row>
    <row r="35" spans="1:31">
      <c r="A35" t="s">
        <v>79</v>
      </c>
      <c r="B35" t="s">
        <v>77</v>
      </c>
      <c r="C35" t="s">
        <v>80</v>
      </c>
      <c r="D35" t="s">
        <v>70</v>
      </c>
      <c r="E35">
        <v>7</v>
      </c>
      <c r="F35">
        <v>0.05</v>
      </c>
      <c r="G35">
        <v>5</v>
      </c>
      <c r="H35" s="10">
        <v>0.10649359405905259</v>
      </c>
      <c r="I35" s="10">
        <v>6.0240259514136398E-2</v>
      </c>
      <c r="J35" s="10">
        <v>0.1471382179928902</v>
      </c>
      <c r="K35" s="10">
        <v>2.1298718811810522</v>
      </c>
      <c r="L35" s="10">
        <v>1.204805190282729</v>
      </c>
      <c r="M35" s="10">
        <v>2.942764359857803</v>
      </c>
      <c r="N35" s="10">
        <v>0.67733619763694952</v>
      </c>
      <c r="O35" s="10">
        <v>0.53651987110633736</v>
      </c>
      <c r="P35" s="10">
        <v>0.76970998925886147</v>
      </c>
      <c r="Q35" s="10">
        <v>6.4920690790945201E-2</v>
      </c>
      <c r="R35" s="10">
        <v>-7.6760468002809001E-2</v>
      </c>
      <c r="S35" s="10">
        <v>0.16663730586515929</v>
      </c>
      <c r="T35" s="10">
        <v>0.1633477987936352</v>
      </c>
      <c r="U35" s="10">
        <v>0</v>
      </c>
      <c r="V35" s="10">
        <v>0.29303610906411198</v>
      </c>
      <c r="W35" s="10">
        <v>4.24327711533641E-2</v>
      </c>
      <c r="X35" s="10">
        <v>0</v>
      </c>
      <c r="Y35" s="10">
        <v>7.6896551724137896E-2</v>
      </c>
      <c r="Z35" s="10">
        <v>0.5714285714285714</v>
      </c>
      <c r="AA35" s="10">
        <v>0</v>
      </c>
      <c r="AB35" s="10">
        <v>1</v>
      </c>
      <c r="AC35" s="10">
        <v>0.33099741709980079</v>
      </c>
      <c r="AD35">
        <v>4.9684789226400001E-4</v>
      </c>
      <c r="AE35">
        <v>0.96498988646773076</v>
      </c>
    </row>
    <row r="36" spans="1:31">
      <c r="A36" t="s">
        <v>79</v>
      </c>
      <c r="B36" t="s">
        <v>77</v>
      </c>
      <c r="C36" t="s">
        <v>80</v>
      </c>
      <c r="D36" t="s">
        <v>71</v>
      </c>
      <c r="E36">
        <v>9</v>
      </c>
      <c r="F36">
        <v>6.4285714285714196E-2</v>
      </c>
      <c r="G36">
        <v>5</v>
      </c>
      <c r="H36" s="10">
        <v>0.1012360818802633</v>
      </c>
      <c r="I36" s="10">
        <v>8.5086558786829802E-2</v>
      </c>
      <c r="J36" s="10">
        <v>0.12767523892092189</v>
      </c>
      <c r="K36" s="10">
        <v>1.5747834959152069</v>
      </c>
      <c r="L36" s="10">
        <v>1.323568692239576</v>
      </c>
      <c r="M36" s="10">
        <v>1.98605927210323</v>
      </c>
      <c r="N36" s="10">
        <v>0.62493638676844787</v>
      </c>
      <c r="O36" s="10">
        <v>0.52001696352841387</v>
      </c>
      <c r="P36" s="10">
        <v>0.74173027989821882</v>
      </c>
      <c r="Q36" s="10">
        <v>6.6343160135625703E-2</v>
      </c>
      <c r="R36" s="10">
        <v>-3.4930752848662698E-2</v>
      </c>
      <c r="S36" s="10">
        <v>0.1164855422844705</v>
      </c>
      <c r="T36" s="10">
        <v>0.22979216783128531</v>
      </c>
      <c r="U36" s="10">
        <v>9.1952309985096806E-2</v>
      </c>
      <c r="V36" s="10">
        <v>0.30422092501122588</v>
      </c>
      <c r="W36" s="10">
        <v>8.1467859371749496E-2</v>
      </c>
      <c r="X36" s="10">
        <v>4.4421052631578903E-2</v>
      </c>
      <c r="Y36" s="10">
        <v>0.1038277511961722</v>
      </c>
      <c r="Z36" s="10">
        <v>0.51111111111111107</v>
      </c>
      <c r="AA36" s="10">
        <v>0.1222222222222222</v>
      </c>
      <c r="AB36" s="10">
        <v>0.86666666666666659</v>
      </c>
      <c r="AC36" s="10">
        <v>0.11580631122641349</v>
      </c>
      <c r="AD36">
        <v>2.7156097003899998E-3</v>
      </c>
      <c r="AE36">
        <v>0.27700281096830121</v>
      </c>
    </row>
    <row r="37" spans="1:31" hidden="1">
      <c r="A37" t="s">
        <v>79</v>
      </c>
      <c r="B37" t="s">
        <v>77</v>
      </c>
      <c r="C37" t="s">
        <v>81</v>
      </c>
      <c r="D37" t="s">
        <v>67</v>
      </c>
      <c r="E37">
        <v>4</v>
      </c>
      <c r="F37">
        <v>2.8571428571428501E-2</v>
      </c>
      <c r="G37">
        <v>5</v>
      </c>
      <c r="H37" s="10">
        <v>0.26896825396825391</v>
      </c>
      <c r="I37" s="10">
        <v>8.3452380952380903E-2</v>
      </c>
      <c r="J37" s="10">
        <v>0.5708333333333333</v>
      </c>
      <c r="K37" s="10">
        <v>9.4138888888888896</v>
      </c>
      <c r="L37" s="10">
        <v>2.9208333333333329</v>
      </c>
      <c r="M37" s="10">
        <v>19.979166666666671</v>
      </c>
      <c r="N37" s="10">
        <v>0.7801470588235293</v>
      </c>
      <c r="O37" s="10">
        <v>0.6887867647058824</v>
      </c>
      <c r="P37" s="10">
        <v>0.85275735294117638</v>
      </c>
      <c r="Q37" s="10">
        <v>0.19053550520063819</v>
      </c>
      <c r="R37" s="10">
        <v>0</v>
      </c>
      <c r="S37" s="10">
        <v>0.46362565507540321</v>
      </c>
      <c r="T37" s="10">
        <v>0.28596218596218598</v>
      </c>
      <c r="U37" s="10">
        <v>0.12820512820512819</v>
      </c>
      <c r="V37" s="10">
        <v>0.48703703703703699</v>
      </c>
      <c r="W37" s="10">
        <v>0.17132161955691361</v>
      </c>
      <c r="X37" s="10">
        <v>2.8571428571428501E-2</v>
      </c>
      <c r="Y37" s="10">
        <v>0.46818181818181809</v>
      </c>
      <c r="Z37" s="10">
        <v>0.7</v>
      </c>
      <c r="AA37" s="10">
        <v>0.5</v>
      </c>
      <c r="AB37" s="10">
        <v>1</v>
      </c>
      <c r="AC37" s="10">
        <v>7.7540872306389702E-2</v>
      </c>
      <c r="AD37">
        <v>0</v>
      </c>
      <c r="AE37">
        <v>0.18828505174655469</v>
      </c>
    </row>
    <row r="38" spans="1:31" hidden="1">
      <c r="A38" t="s">
        <v>79</v>
      </c>
      <c r="B38" t="s">
        <v>77</v>
      </c>
      <c r="C38" t="s">
        <v>81</v>
      </c>
      <c r="D38" t="s">
        <v>68</v>
      </c>
      <c r="E38">
        <v>21</v>
      </c>
      <c r="F38">
        <v>0.15</v>
      </c>
      <c r="G38">
        <v>5</v>
      </c>
      <c r="H38" s="10">
        <v>0.25386125753403438</v>
      </c>
      <c r="I38" s="10">
        <v>0.20500636486018331</v>
      </c>
      <c r="J38" s="10">
        <v>0.35904475789824208</v>
      </c>
      <c r="K38" s="10">
        <v>1.692408383560229</v>
      </c>
      <c r="L38" s="10">
        <v>1.366709099067889</v>
      </c>
      <c r="M38" s="10">
        <v>2.3936317193216139</v>
      </c>
      <c r="N38" s="10">
        <v>0.62408963585434163</v>
      </c>
      <c r="O38" s="10">
        <v>0.59763905562224895</v>
      </c>
      <c r="P38" s="10">
        <v>0.64749899959983992</v>
      </c>
      <c r="Q38" s="10">
        <v>0.1240651285179505</v>
      </c>
      <c r="R38" s="10">
        <v>6.2585732498205801E-2</v>
      </c>
      <c r="S38" s="10">
        <v>0.21087965018215049</v>
      </c>
      <c r="T38" s="10">
        <v>0.30322259468596641</v>
      </c>
      <c r="U38" s="10">
        <v>0.15338010204081631</v>
      </c>
      <c r="V38" s="10">
        <v>0.45475469412477287</v>
      </c>
      <c r="W38" s="10">
        <v>0.23245177471668871</v>
      </c>
      <c r="X38" s="10">
        <v>0.20551948051948049</v>
      </c>
      <c r="Y38" s="10">
        <v>0.25978260869565217</v>
      </c>
      <c r="Z38" s="10">
        <v>0.35238095238095229</v>
      </c>
      <c r="AA38" s="10">
        <v>0.14285714285714279</v>
      </c>
      <c r="AB38" s="10">
        <v>0.56190476190476191</v>
      </c>
      <c r="AC38" s="10">
        <v>0.27602451024731289</v>
      </c>
      <c r="AD38">
        <v>0.15666421293213811</v>
      </c>
      <c r="AE38">
        <v>0.42242876144555302</v>
      </c>
    </row>
    <row r="39" spans="1:31" hidden="1">
      <c r="A39" t="s">
        <v>79</v>
      </c>
      <c r="B39" t="s">
        <v>77</v>
      </c>
      <c r="C39" t="s">
        <v>81</v>
      </c>
      <c r="D39" t="s">
        <v>69</v>
      </c>
      <c r="E39">
        <v>26</v>
      </c>
      <c r="F39">
        <v>0.18571428571428569</v>
      </c>
      <c r="G39">
        <v>5</v>
      </c>
      <c r="H39" s="10">
        <v>0.43744745977373312</v>
      </c>
      <c r="I39" s="10">
        <v>0.41164190250648902</v>
      </c>
      <c r="J39" s="10">
        <v>0.466007489805562</v>
      </c>
      <c r="K39" s="10">
        <v>2.3554863218585629</v>
      </c>
      <c r="L39" s="10">
        <v>2.2165333211887872</v>
      </c>
      <c r="M39" s="10">
        <v>2.5092710989530258</v>
      </c>
      <c r="N39" s="10">
        <v>0.83505398110661277</v>
      </c>
      <c r="O39" s="10">
        <v>0.81157219973009453</v>
      </c>
      <c r="P39" s="10">
        <v>0.84779014844804323</v>
      </c>
      <c r="Q39" s="10">
        <v>0.49177343721734712</v>
      </c>
      <c r="R39" s="10">
        <v>0.4530487781087128</v>
      </c>
      <c r="S39" s="10">
        <v>0.50721812507025132</v>
      </c>
      <c r="T39" s="10">
        <v>0.71295857471055746</v>
      </c>
      <c r="U39" s="10">
        <v>0.68212951432129509</v>
      </c>
      <c r="V39" s="10">
        <v>0.73717948717948723</v>
      </c>
      <c r="W39" s="10">
        <v>0.44782783882783878</v>
      </c>
      <c r="X39" s="10">
        <v>0.42223076923076919</v>
      </c>
      <c r="Y39" s="10">
        <v>0.47440476190476188</v>
      </c>
      <c r="Z39" s="10">
        <v>0.83846153846153837</v>
      </c>
      <c r="AA39" s="10">
        <v>0.77307692307692311</v>
      </c>
      <c r="AB39" s="10">
        <v>0.88461538461538458</v>
      </c>
      <c r="AC39" s="10">
        <v>0.28606919344095388</v>
      </c>
      <c r="AD39">
        <v>0.20304887678812289</v>
      </c>
      <c r="AE39">
        <v>0.38060696636858798</v>
      </c>
    </row>
    <row r="40" spans="1:31" hidden="1">
      <c r="A40" t="s">
        <v>79</v>
      </c>
      <c r="B40" t="s">
        <v>77</v>
      </c>
      <c r="C40" t="s">
        <v>81</v>
      </c>
      <c r="D40" t="s">
        <v>70</v>
      </c>
      <c r="E40">
        <v>7</v>
      </c>
      <c r="F40">
        <v>0.05</v>
      </c>
      <c r="G40">
        <v>5</v>
      </c>
      <c r="H40" s="10">
        <v>0.05</v>
      </c>
      <c r="I40" s="10">
        <v>0.05</v>
      </c>
      <c r="J40" s="10">
        <v>0.05</v>
      </c>
      <c r="K40" s="10">
        <v>1</v>
      </c>
      <c r="L40" s="10">
        <v>1</v>
      </c>
      <c r="M40" s="10">
        <v>1</v>
      </c>
      <c r="N40" s="10">
        <v>0.43834586466165409</v>
      </c>
      <c r="O40" s="10">
        <v>0.43233082706766918</v>
      </c>
      <c r="P40" s="10">
        <v>0.4469924812030075</v>
      </c>
      <c r="Q40" s="10">
        <v>0</v>
      </c>
      <c r="R40" s="10">
        <v>0</v>
      </c>
      <c r="S40" s="10">
        <v>0</v>
      </c>
      <c r="T40" s="10">
        <v>0.20833333333333329</v>
      </c>
      <c r="U40" s="10">
        <v>0.20833333333333329</v>
      </c>
      <c r="V40" s="10">
        <v>0.20833333333333329</v>
      </c>
      <c r="W40" s="10">
        <v>0.05</v>
      </c>
      <c r="X40" s="10">
        <v>0.05</v>
      </c>
      <c r="Y40" s="10">
        <v>0.05</v>
      </c>
      <c r="Z40" s="10">
        <v>1</v>
      </c>
      <c r="AA40" s="10">
        <v>1</v>
      </c>
      <c r="AB40" s="10">
        <v>1</v>
      </c>
      <c r="AC40" s="10">
        <v>0</v>
      </c>
      <c r="AD40">
        <v>0</v>
      </c>
      <c r="AE40">
        <v>0</v>
      </c>
    </row>
    <row r="41" spans="1:31" hidden="1">
      <c r="A41" t="s">
        <v>79</v>
      </c>
      <c r="B41" t="s">
        <v>77</v>
      </c>
      <c r="C41" t="s">
        <v>81</v>
      </c>
      <c r="D41" t="s">
        <v>71</v>
      </c>
      <c r="E41">
        <v>9</v>
      </c>
      <c r="F41">
        <v>6.4285714285714196E-2</v>
      </c>
      <c r="G41">
        <v>5</v>
      </c>
      <c r="H41" s="10">
        <v>6.5970819304152606E-2</v>
      </c>
      <c r="I41" s="10">
        <v>6.4285714285714196E-2</v>
      </c>
      <c r="J41" s="10">
        <v>6.9264069264069195E-2</v>
      </c>
      <c r="K41" s="10">
        <v>1.026212744731263</v>
      </c>
      <c r="L41" s="10">
        <v>1</v>
      </c>
      <c r="M41" s="10">
        <v>1.077441077441077</v>
      </c>
      <c r="N41" s="10">
        <v>0.45623409669211201</v>
      </c>
      <c r="O41" s="10">
        <v>0.41259541984732828</v>
      </c>
      <c r="P41" s="10">
        <v>0.48922815945716708</v>
      </c>
      <c r="Q41" s="10">
        <v>-1.20264874406747E-2</v>
      </c>
      <c r="R41" s="10">
        <v>-5.4119193483036301E-2</v>
      </c>
      <c r="S41" s="10">
        <v>0</v>
      </c>
      <c r="T41" s="10">
        <v>0.2045454545454545</v>
      </c>
      <c r="U41" s="10">
        <v>2.5568181818181799E-2</v>
      </c>
      <c r="V41" s="10">
        <v>0.25568181818181818</v>
      </c>
      <c r="W41" s="10">
        <v>5.14285714285714E-2</v>
      </c>
      <c r="X41" s="10">
        <v>6.4285714285713998E-3</v>
      </c>
      <c r="Y41" s="10">
        <v>6.4285714285714196E-2</v>
      </c>
      <c r="Z41" s="10">
        <v>0.8</v>
      </c>
      <c r="AA41" s="10">
        <v>0.1</v>
      </c>
      <c r="AB41" s="10">
        <v>1</v>
      </c>
      <c r="AC41" s="10">
        <v>3.8976500252563301E-2</v>
      </c>
      <c r="AD41">
        <v>0</v>
      </c>
      <c r="AE41">
        <v>0.1753942511365349</v>
      </c>
    </row>
    <row r="42" spans="1:31" hidden="1">
      <c r="A42" t="s">
        <v>79</v>
      </c>
      <c r="B42" t="s">
        <v>77</v>
      </c>
      <c r="C42" t="s">
        <v>82</v>
      </c>
      <c r="D42" t="s">
        <v>67</v>
      </c>
      <c r="E42">
        <v>4</v>
      </c>
      <c r="F42">
        <v>2.8571428571428501E-2</v>
      </c>
      <c r="G42">
        <v>5</v>
      </c>
      <c r="H42" s="10">
        <v>4.0960652934791099E-2</v>
      </c>
      <c r="I42" s="10">
        <v>3.01633347250372E-2</v>
      </c>
      <c r="J42" s="10">
        <v>5.5545476345634601E-2</v>
      </c>
      <c r="K42" s="10">
        <v>1.433622852717692</v>
      </c>
      <c r="L42" s="10">
        <v>1.055716715376303</v>
      </c>
      <c r="M42" s="10">
        <v>1.9440916720972119</v>
      </c>
      <c r="N42" s="10">
        <v>0.5301470588235293</v>
      </c>
      <c r="O42" s="10">
        <v>0.42499999999999999</v>
      </c>
      <c r="P42" s="10">
        <v>0.64411764705882357</v>
      </c>
      <c r="Q42" s="10">
        <v>7.0334119220136996E-3</v>
      </c>
      <c r="R42" s="10">
        <v>-7.6540667547740096E-2</v>
      </c>
      <c r="S42" s="10">
        <v>7.4400535180439695E-2</v>
      </c>
      <c r="T42" s="10">
        <v>0.10439328180021371</v>
      </c>
      <c r="U42" s="10">
        <v>9.0909090909090003E-3</v>
      </c>
      <c r="V42" s="10">
        <v>0.1578947368421052</v>
      </c>
      <c r="W42" s="10">
        <v>2.6083926899198299E-2</v>
      </c>
      <c r="X42" s="10">
        <v>2.5641025641024999E-3</v>
      </c>
      <c r="Y42" s="10">
        <v>4.1716675759228897E-2</v>
      </c>
      <c r="Z42" s="10">
        <v>0.5</v>
      </c>
      <c r="AA42" s="10">
        <v>2.5000000000000001E-2</v>
      </c>
      <c r="AB42" s="10">
        <v>0.97499999999999998</v>
      </c>
      <c r="AC42" s="10">
        <v>0.24900771289420881</v>
      </c>
      <c r="AD42">
        <v>0.108255058772648</v>
      </c>
      <c r="AE42">
        <v>0.37448889752217118</v>
      </c>
    </row>
    <row r="43" spans="1:31" hidden="1">
      <c r="A43" t="s">
        <v>79</v>
      </c>
      <c r="B43" t="s">
        <v>77</v>
      </c>
      <c r="C43" t="s">
        <v>82</v>
      </c>
      <c r="D43" t="s">
        <v>68</v>
      </c>
      <c r="E43">
        <v>21</v>
      </c>
      <c r="F43">
        <v>0.15</v>
      </c>
      <c r="G43">
        <v>5</v>
      </c>
      <c r="H43" s="10">
        <v>0.26716452291847559</v>
      </c>
      <c r="I43" s="10">
        <v>0.19482143996103449</v>
      </c>
      <c r="J43" s="10">
        <v>0.32592247834665677</v>
      </c>
      <c r="K43" s="10">
        <v>1.781096819456504</v>
      </c>
      <c r="L43" s="10">
        <v>1.29880959974023</v>
      </c>
      <c r="M43" s="10">
        <v>2.1728165223110461</v>
      </c>
      <c r="N43" s="10">
        <v>0.62304921968787519</v>
      </c>
      <c r="O43" s="10">
        <v>0.55462184873949572</v>
      </c>
      <c r="P43" s="10">
        <v>0.6707482993197279</v>
      </c>
      <c r="Q43" s="10">
        <v>9.8450690077920594E-2</v>
      </c>
      <c r="R43" s="10">
        <v>1.55572341638696E-2</v>
      </c>
      <c r="S43" s="10">
        <v>0.1726700720961668</v>
      </c>
      <c r="T43" s="10">
        <v>0.31508199879830728</v>
      </c>
      <c r="U43" s="10">
        <v>6.0978464419475603E-2</v>
      </c>
      <c r="V43" s="10">
        <v>0.49577464788732389</v>
      </c>
      <c r="W43" s="10">
        <v>0.19316091954022979</v>
      </c>
      <c r="X43" s="10">
        <v>0.1687499999999999</v>
      </c>
      <c r="Y43" s="10">
        <v>0.22172413793103449</v>
      </c>
      <c r="Z43" s="10">
        <v>0.46666666666666667</v>
      </c>
      <c r="AA43" s="10">
        <v>5.2380952380952299E-2</v>
      </c>
      <c r="AB43" s="10">
        <v>0.84285714285714275</v>
      </c>
      <c r="AC43" s="10">
        <v>0.27263443344287203</v>
      </c>
      <c r="AD43">
        <v>0.1088723035232166</v>
      </c>
      <c r="AE43">
        <v>0.39616310705377622</v>
      </c>
    </row>
    <row r="44" spans="1:31" hidden="1">
      <c r="A44" t="s">
        <v>79</v>
      </c>
      <c r="B44" t="s">
        <v>77</v>
      </c>
      <c r="C44" t="s">
        <v>82</v>
      </c>
      <c r="D44" t="s">
        <v>69</v>
      </c>
      <c r="E44">
        <v>26</v>
      </c>
      <c r="F44">
        <v>0.18571428571428569</v>
      </c>
      <c r="G44">
        <v>5</v>
      </c>
      <c r="H44" s="10">
        <v>0.2101249228080761</v>
      </c>
      <c r="I44" s="10">
        <v>0.17603054512778499</v>
      </c>
      <c r="J44" s="10">
        <v>0.25645934808585791</v>
      </c>
      <c r="K44" s="10">
        <v>1.131441892043487</v>
      </c>
      <c r="L44" s="10">
        <v>0.94785678145730379</v>
      </c>
      <c r="M44" s="10">
        <v>1.3809349512315421</v>
      </c>
      <c r="N44" s="10">
        <v>0.58616734143049931</v>
      </c>
      <c r="O44" s="10">
        <v>0.49665991902834</v>
      </c>
      <c r="P44" s="10">
        <v>0.67489878542510118</v>
      </c>
      <c r="Q44" s="10">
        <v>0.22780917104547521</v>
      </c>
      <c r="R44" s="10">
        <v>9.1228790597666795E-2</v>
      </c>
      <c r="S44" s="10">
        <v>0.30525211916325751</v>
      </c>
      <c r="T44" s="10">
        <v>0.58253368863932531</v>
      </c>
      <c r="U44" s="10">
        <v>0.51431068385405287</v>
      </c>
      <c r="V44" s="10">
        <v>0.61452244745678397</v>
      </c>
      <c r="W44" s="10">
        <v>0.2592577075084368</v>
      </c>
      <c r="X44" s="10">
        <v>0.20770567194685741</v>
      </c>
      <c r="Y44" s="10">
        <v>0.30565201984408219</v>
      </c>
      <c r="Z44" s="10">
        <v>0.85384615384615381</v>
      </c>
      <c r="AA44" s="10">
        <v>0.80769230769230771</v>
      </c>
      <c r="AB44" s="10">
        <v>0.88461538461538458</v>
      </c>
      <c r="AC44" s="10">
        <v>0.18484295040883539</v>
      </c>
      <c r="AD44">
        <v>0.1215873815039708</v>
      </c>
      <c r="AE44">
        <v>0.23240600421979329</v>
      </c>
    </row>
    <row r="45" spans="1:31" hidden="1">
      <c r="A45" t="s">
        <v>79</v>
      </c>
      <c r="B45" t="s">
        <v>77</v>
      </c>
      <c r="C45" t="s">
        <v>82</v>
      </c>
      <c r="D45" t="s">
        <v>70</v>
      </c>
      <c r="E45">
        <v>7</v>
      </c>
      <c r="F45">
        <v>0.05</v>
      </c>
      <c r="G45">
        <v>5</v>
      </c>
      <c r="H45" s="10">
        <v>5.4443403858979403E-2</v>
      </c>
      <c r="I45" s="10">
        <v>4.5556951801278799E-2</v>
      </c>
      <c r="J45" s="10">
        <v>7.1608407388313894E-2</v>
      </c>
      <c r="K45" s="10">
        <v>1.0888680771795889</v>
      </c>
      <c r="L45" s="10">
        <v>0.91113903602557678</v>
      </c>
      <c r="M45" s="10">
        <v>1.4321681477662791</v>
      </c>
      <c r="N45" s="10">
        <v>0.3828141783029001</v>
      </c>
      <c r="O45" s="10">
        <v>0.32244897959183672</v>
      </c>
      <c r="P45" s="10">
        <v>0.4299677765843179</v>
      </c>
      <c r="Q45" s="10">
        <v>-1.6616845581271598E-2</v>
      </c>
      <c r="R45" s="10">
        <v>-0.1492996642224399</v>
      </c>
      <c r="S45" s="10">
        <v>6.0660501754276397E-2</v>
      </c>
      <c r="T45" s="10">
        <v>0.190269606185172</v>
      </c>
      <c r="U45" s="10">
        <v>0.1221617153692808</v>
      </c>
      <c r="V45" s="10">
        <v>0.2205792098197161</v>
      </c>
      <c r="W45" s="10">
        <v>4.6334755273452197E-2</v>
      </c>
      <c r="X45" s="10">
        <v>3.0864755023707301E-2</v>
      </c>
      <c r="Y45" s="10">
        <v>5.3571027512633297E-2</v>
      </c>
      <c r="Z45" s="10">
        <v>0.8571428571428571</v>
      </c>
      <c r="AA45" s="10">
        <v>0.47142857142857142</v>
      </c>
      <c r="AB45" s="10">
        <v>1</v>
      </c>
      <c r="AC45" s="10">
        <v>5.0844688572351901E-2</v>
      </c>
      <c r="AD45">
        <v>8.7818111764273636E-5</v>
      </c>
      <c r="AE45">
        <v>0.1962410706990966</v>
      </c>
    </row>
    <row r="46" spans="1:31" hidden="1">
      <c r="A46" t="s">
        <v>79</v>
      </c>
      <c r="B46" t="s">
        <v>77</v>
      </c>
      <c r="C46" t="s">
        <v>82</v>
      </c>
      <c r="D46" t="s">
        <v>71</v>
      </c>
      <c r="E46">
        <v>9</v>
      </c>
      <c r="F46">
        <v>6.4285714285714196E-2</v>
      </c>
      <c r="G46">
        <v>5</v>
      </c>
      <c r="H46" s="10">
        <v>5.9819719900179598E-2</v>
      </c>
      <c r="I46" s="10">
        <v>5.23857929191862E-2</v>
      </c>
      <c r="J46" s="10">
        <v>7.2397880857448305E-2</v>
      </c>
      <c r="K46" s="10">
        <v>0.93052897622501685</v>
      </c>
      <c r="L46" s="10">
        <v>0.81489011207623108</v>
      </c>
      <c r="M46" s="10">
        <v>1.1261892577825301</v>
      </c>
      <c r="N46" s="10">
        <v>0.41475826972010171</v>
      </c>
      <c r="O46" s="10">
        <v>0.35564037319762509</v>
      </c>
      <c r="P46" s="10">
        <v>0.49525021204410508</v>
      </c>
      <c r="Q46" s="10">
        <v>-5.46431892542577E-2</v>
      </c>
      <c r="R46" s="10">
        <v>-0.1432786890053705</v>
      </c>
      <c r="S46" s="10">
        <v>6.8052595422136306E-2</v>
      </c>
      <c r="T46" s="10">
        <v>0.1528519789389354</v>
      </c>
      <c r="U46" s="10">
        <v>6.0989010989010897E-2</v>
      </c>
      <c r="V46" s="10">
        <v>0.2635704874835309</v>
      </c>
      <c r="W46" s="10">
        <v>4.6855053038363501E-2</v>
      </c>
      <c r="X46" s="10">
        <v>2.0303030303030298E-2</v>
      </c>
      <c r="Y46" s="10">
        <v>6.8851303735024599E-2</v>
      </c>
      <c r="Z46" s="10">
        <v>0.42222222222222222</v>
      </c>
      <c r="AA46" s="10">
        <v>0.1222222222222222</v>
      </c>
      <c r="AB46" s="10">
        <v>0.9555555555555556</v>
      </c>
      <c r="AC46" s="10">
        <v>0.26239680026279688</v>
      </c>
      <c r="AD46">
        <v>2.4258470009087998E-2</v>
      </c>
      <c r="AE46">
        <v>0.40427028456067349</v>
      </c>
    </row>
    <row r="47" spans="1:31" hidden="1">
      <c r="A47" t="s">
        <v>79</v>
      </c>
      <c r="B47" t="s">
        <v>77</v>
      </c>
      <c r="C47" t="s">
        <v>76</v>
      </c>
      <c r="D47" t="s">
        <v>67</v>
      </c>
      <c r="E47">
        <v>4</v>
      </c>
      <c r="F47">
        <v>2.8571428571428501E-2</v>
      </c>
      <c r="G47">
        <v>5</v>
      </c>
      <c r="H47" s="10">
        <v>0.13412408901543019</v>
      </c>
      <c r="I47" s="10">
        <v>9.3557364081557598E-2</v>
      </c>
      <c r="J47" s="10">
        <v>0.16995260879471399</v>
      </c>
      <c r="K47" s="10">
        <v>4.6943431155400601</v>
      </c>
      <c r="L47" s="10">
        <v>3.2745077428545168</v>
      </c>
      <c r="M47" s="10">
        <v>5.9483413078149923</v>
      </c>
      <c r="N47" s="10">
        <v>0.84338235294117647</v>
      </c>
      <c r="O47" s="10">
        <v>0.81213235294117636</v>
      </c>
      <c r="P47" s="10">
        <v>0.88915441176470589</v>
      </c>
      <c r="Q47" s="10">
        <v>0.1533064888613247</v>
      </c>
      <c r="R47" s="10">
        <v>4.1134375123986697E-2</v>
      </c>
      <c r="S47" s="10">
        <v>0.24044488805672151</v>
      </c>
      <c r="T47" s="10">
        <v>0.22151278734470581</v>
      </c>
      <c r="U47" s="10">
        <v>0.12837301587301581</v>
      </c>
      <c r="V47" s="10">
        <v>0.31663837011884549</v>
      </c>
      <c r="W47" s="10">
        <v>8.6330698287219995E-2</v>
      </c>
      <c r="X47" s="10">
        <v>3.6893939393939298E-2</v>
      </c>
      <c r="Y47" s="10">
        <v>0.18869565217391299</v>
      </c>
      <c r="Z47" s="10">
        <v>0.7</v>
      </c>
      <c r="AA47" s="10">
        <v>0.25</v>
      </c>
      <c r="AB47" s="10">
        <v>1</v>
      </c>
      <c r="AC47" s="10">
        <v>6.6583427194446501E-2</v>
      </c>
      <c r="AD47">
        <v>7.9296670683269999E-3</v>
      </c>
      <c r="AE47">
        <v>0.13614463057110249</v>
      </c>
    </row>
    <row r="48" spans="1:31" hidden="1">
      <c r="A48" t="s">
        <v>79</v>
      </c>
      <c r="B48" t="s">
        <v>77</v>
      </c>
      <c r="C48" t="s">
        <v>76</v>
      </c>
      <c r="D48" t="s">
        <v>68</v>
      </c>
      <c r="E48">
        <v>21</v>
      </c>
      <c r="F48">
        <v>0.15</v>
      </c>
      <c r="G48">
        <v>5</v>
      </c>
      <c r="H48" s="10">
        <v>0.44625629781909959</v>
      </c>
      <c r="I48" s="10">
        <v>0.42716875670192478</v>
      </c>
      <c r="J48" s="10">
        <v>0.48103248474615479</v>
      </c>
      <c r="K48" s="10">
        <v>2.9750419854606638</v>
      </c>
      <c r="L48" s="10">
        <v>2.8477917113461659</v>
      </c>
      <c r="M48" s="10">
        <v>3.2068832316410329</v>
      </c>
      <c r="N48" s="10">
        <v>0.83073229291716688</v>
      </c>
      <c r="O48" s="10">
        <v>0.80304121648659466</v>
      </c>
      <c r="P48" s="10">
        <v>0.84937975190076032</v>
      </c>
      <c r="Q48" s="10">
        <v>0.31442378442395158</v>
      </c>
      <c r="R48" s="10">
        <v>0.1861626175288959</v>
      </c>
      <c r="S48" s="10">
        <v>0.41519935358967969</v>
      </c>
      <c r="T48" s="10">
        <v>0.40569015972476069</v>
      </c>
      <c r="U48" s="10">
        <v>0.2244736842105263</v>
      </c>
      <c r="V48" s="10">
        <v>0.56543558121228021</v>
      </c>
      <c r="W48" s="10">
        <v>0.43290114490772391</v>
      </c>
      <c r="X48" s="10">
        <v>0.27542613636363639</v>
      </c>
      <c r="Y48" s="10">
        <v>0.56691729323308271</v>
      </c>
      <c r="Z48" s="10">
        <v>0.43809523809523809</v>
      </c>
      <c r="AA48" s="10">
        <v>0.2047619047619047</v>
      </c>
      <c r="AB48" s="10">
        <v>0.77619047619047621</v>
      </c>
      <c r="AC48" s="10">
        <v>0.39727475227395231</v>
      </c>
      <c r="AD48">
        <v>0.18654861536381481</v>
      </c>
      <c r="AE48">
        <v>0.50829965628505824</v>
      </c>
    </row>
    <row r="49" spans="1:31" hidden="1">
      <c r="A49" t="s">
        <v>79</v>
      </c>
      <c r="B49" t="s">
        <v>77</v>
      </c>
      <c r="C49" t="s">
        <v>76</v>
      </c>
      <c r="D49" t="s">
        <v>69</v>
      </c>
      <c r="E49">
        <v>26</v>
      </c>
      <c r="F49">
        <v>0.18571428571428569</v>
      </c>
      <c r="G49">
        <v>5</v>
      </c>
      <c r="H49" s="10">
        <v>0.53964147938817431</v>
      </c>
      <c r="I49" s="10">
        <v>0.51982608185268953</v>
      </c>
      <c r="J49" s="10">
        <v>0.55953458555641578</v>
      </c>
      <c r="K49" s="10">
        <v>2.9057618120901689</v>
      </c>
      <c r="L49" s="10">
        <v>2.7990635176683281</v>
      </c>
      <c r="M49" s="10">
        <v>3.0128785376114688</v>
      </c>
      <c r="N49" s="10">
        <v>0.90681511470985166</v>
      </c>
      <c r="O49" s="10">
        <v>0.89696356275303646</v>
      </c>
      <c r="P49" s="10">
        <v>0.91535087719298236</v>
      </c>
      <c r="Q49" s="10">
        <v>0.64964940099912138</v>
      </c>
      <c r="R49" s="10">
        <v>0.60838140727734291</v>
      </c>
      <c r="S49" s="10">
        <v>0.6758495076353378</v>
      </c>
      <c r="T49" s="10">
        <v>0.82776917663617167</v>
      </c>
      <c r="U49" s="10">
        <v>0.8027586206896552</v>
      </c>
      <c r="V49" s="10">
        <v>0.84863945578231292</v>
      </c>
      <c r="W49" s="10">
        <v>0.56346888949172613</v>
      </c>
      <c r="X49" s="10">
        <v>0.52391304347826084</v>
      </c>
      <c r="Y49" s="10">
        <v>0.58536585365853655</v>
      </c>
      <c r="Z49" s="10">
        <v>0.93846153846153835</v>
      </c>
      <c r="AA49" s="10">
        <v>0.92307692307692324</v>
      </c>
      <c r="AB49" s="10">
        <v>0.96153846153846156</v>
      </c>
      <c r="AC49" s="10">
        <v>0.40226681494886102</v>
      </c>
      <c r="AD49">
        <v>0.37864681211752771</v>
      </c>
      <c r="AE49">
        <v>0.4195985356197704</v>
      </c>
    </row>
    <row r="50" spans="1:31" hidden="1">
      <c r="A50" t="s">
        <v>79</v>
      </c>
      <c r="B50" t="s">
        <v>77</v>
      </c>
      <c r="C50" t="s">
        <v>76</v>
      </c>
      <c r="D50" t="s">
        <v>70</v>
      </c>
      <c r="E50">
        <v>7</v>
      </c>
      <c r="F50">
        <v>0.05</v>
      </c>
      <c r="G50">
        <v>5</v>
      </c>
      <c r="H50" s="10">
        <v>5.5380363340078398E-2</v>
      </c>
      <c r="I50" s="10">
        <v>4.8161489391890903E-2</v>
      </c>
      <c r="J50" s="10">
        <v>6.9007035624729707E-2</v>
      </c>
      <c r="K50" s="10">
        <v>1.107607266801568</v>
      </c>
      <c r="L50" s="10">
        <v>0.96322978783781976</v>
      </c>
      <c r="M50" s="10">
        <v>1.3801407124945939</v>
      </c>
      <c r="N50" s="10">
        <v>0.4788399570354458</v>
      </c>
      <c r="O50" s="10">
        <v>0.42663802363050479</v>
      </c>
      <c r="P50" s="10">
        <v>0.58453276047261005</v>
      </c>
      <c r="Q50" s="10">
        <v>-1.59177939318541E-2</v>
      </c>
      <c r="R50" s="10">
        <v>-4.6968060792259902E-2</v>
      </c>
      <c r="S50" s="10">
        <v>1.34976381199754E-2</v>
      </c>
      <c r="T50" s="10">
        <v>0.12888138209829381</v>
      </c>
      <c r="U50" s="10">
        <v>9.8039215686274005E-3</v>
      </c>
      <c r="V50" s="10">
        <v>0.19526176948051949</v>
      </c>
      <c r="W50" s="10">
        <v>3.9330572808833598E-2</v>
      </c>
      <c r="X50" s="10">
        <v>4.3478260869565001E-3</v>
      </c>
      <c r="Y50" s="10">
        <v>5.5E-2</v>
      </c>
      <c r="Z50" s="10">
        <v>0.4</v>
      </c>
      <c r="AA50" s="10">
        <v>1.42857142857142E-2</v>
      </c>
      <c r="AB50" s="10">
        <v>0.84285714285714275</v>
      </c>
      <c r="AC50" s="10">
        <v>0.1042616001340651</v>
      </c>
      <c r="AD50">
        <v>2.5855955759949999E-2</v>
      </c>
      <c r="AE50">
        <v>0.18284331109048879</v>
      </c>
    </row>
    <row r="51" spans="1:31" hidden="1">
      <c r="A51" t="s">
        <v>79</v>
      </c>
      <c r="B51" t="s">
        <v>77</v>
      </c>
      <c r="C51" t="s">
        <v>76</v>
      </c>
      <c r="D51" t="s">
        <v>71</v>
      </c>
      <c r="E51">
        <v>9</v>
      </c>
      <c r="F51">
        <v>6.4285714285714196E-2</v>
      </c>
      <c r="G51">
        <v>5</v>
      </c>
      <c r="H51" s="10">
        <v>8.2555571795042498E-2</v>
      </c>
      <c r="I51" s="10">
        <v>6.7377877522050197E-2</v>
      </c>
      <c r="J51" s="10">
        <v>0.1069669352820731</v>
      </c>
      <c r="K51" s="10">
        <v>1.284197783478439</v>
      </c>
      <c r="L51" s="10">
        <v>1.0481003170096701</v>
      </c>
      <c r="M51" s="10">
        <v>1.6639301043878041</v>
      </c>
      <c r="N51" s="10">
        <v>0.49635284139100921</v>
      </c>
      <c r="O51" s="10">
        <v>0.48388464800678538</v>
      </c>
      <c r="P51" s="10">
        <v>0.50610687022900758</v>
      </c>
      <c r="Q51" s="10">
        <v>2.2111811258266601E-2</v>
      </c>
      <c r="R51" s="10">
        <v>-8.0914852687750005E-2</v>
      </c>
      <c r="S51" s="10">
        <v>0.1139218825114398</v>
      </c>
      <c r="T51" s="10">
        <v>0.22132235669387371</v>
      </c>
      <c r="U51" s="10">
        <v>0.1832442067736185</v>
      </c>
      <c r="V51" s="10">
        <v>0.28997678018575851</v>
      </c>
      <c r="W51" s="10">
        <v>7.5631383586932499E-2</v>
      </c>
      <c r="X51" s="10">
        <v>5.9791949344188099E-2</v>
      </c>
      <c r="Y51" s="10">
        <v>0.10249546279491829</v>
      </c>
      <c r="Z51" s="10">
        <v>0.57777777777777772</v>
      </c>
      <c r="AA51" s="10">
        <v>0.23333333333333331</v>
      </c>
      <c r="AB51" s="10">
        <v>0.98888888888888882</v>
      </c>
      <c r="AC51" s="10">
        <v>8.2319480974524198E-2</v>
      </c>
      <c r="AD51">
        <v>1.98663105537327E-2</v>
      </c>
      <c r="AE51">
        <v>0.1480695907941415</v>
      </c>
    </row>
    <row r="52" spans="1:31" hidden="1">
      <c r="A52" t="s">
        <v>79</v>
      </c>
      <c r="B52" t="s">
        <v>77</v>
      </c>
      <c r="C52" t="s">
        <v>83</v>
      </c>
      <c r="D52" t="s">
        <v>67</v>
      </c>
      <c r="E52">
        <v>4</v>
      </c>
      <c r="F52">
        <v>2.8571428571428501E-2</v>
      </c>
      <c r="G52">
        <v>5</v>
      </c>
      <c r="H52" s="10">
        <v>9.9393053167798298E-2</v>
      </c>
      <c r="I52" s="10">
        <v>2.17629766798615E-2</v>
      </c>
      <c r="J52" s="10">
        <v>0.2598573954850486</v>
      </c>
      <c r="K52" s="10">
        <v>3.478756860872942</v>
      </c>
      <c r="L52" s="10">
        <v>0.76170418379515503</v>
      </c>
      <c r="M52" s="10">
        <v>9.0950088419766999</v>
      </c>
      <c r="N52" s="10">
        <v>0.36911764705882349</v>
      </c>
      <c r="O52" s="10">
        <v>0.20974264705882351</v>
      </c>
      <c r="P52" s="10">
        <v>0.57757352941176465</v>
      </c>
      <c r="Q52" s="10">
        <v>-5.6004030112939897E-2</v>
      </c>
      <c r="R52" s="10">
        <v>-0.1266511646710349</v>
      </c>
      <c r="S52" s="10">
        <v>5.1495056828882099E-2</v>
      </c>
      <c r="T52" s="10">
        <v>6.9865978306216103E-2</v>
      </c>
      <c r="U52" s="10">
        <v>4.9019607843137003E-3</v>
      </c>
      <c r="V52" s="10">
        <v>0.13829787234042551</v>
      </c>
      <c r="W52" s="10">
        <v>1.63537865235539E-2</v>
      </c>
      <c r="X52" s="10">
        <v>1.1627906976743999E-3</v>
      </c>
      <c r="Y52" s="10">
        <v>3.1364102564102499E-2</v>
      </c>
      <c r="Z52" s="10">
        <v>0.4</v>
      </c>
      <c r="AA52" s="10">
        <v>2.5000000000000001E-2</v>
      </c>
      <c r="AB52" s="10">
        <v>0.95</v>
      </c>
      <c r="AC52" s="10">
        <v>2.07783659039498E-2</v>
      </c>
      <c r="AD52">
        <v>1.3774732127699099E-2</v>
      </c>
      <c r="AE52">
        <v>3.43113200204401E-2</v>
      </c>
    </row>
    <row r="53" spans="1:31" hidden="1">
      <c r="A53" t="s">
        <v>79</v>
      </c>
      <c r="B53" t="s">
        <v>77</v>
      </c>
      <c r="C53" t="s">
        <v>83</v>
      </c>
      <c r="D53" t="s">
        <v>68</v>
      </c>
      <c r="E53">
        <v>21</v>
      </c>
      <c r="F53">
        <v>0.15</v>
      </c>
      <c r="G53">
        <v>5</v>
      </c>
      <c r="H53" s="10">
        <v>0.30668881119689317</v>
      </c>
      <c r="I53" s="10">
        <v>0.22678951622001259</v>
      </c>
      <c r="J53" s="10">
        <v>0.3866448229738651</v>
      </c>
      <c r="K53" s="10">
        <v>2.044592074645954</v>
      </c>
      <c r="L53" s="10">
        <v>1.511930108133418</v>
      </c>
      <c r="M53" s="10">
        <v>2.5776321531591009</v>
      </c>
      <c r="N53" s="10">
        <v>0.69315726290516211</v>
      </c>
      <c r="O53" s="10">
        <v>0.62533013205282117</v>
      </c>
      <c r="P53" s="10">
        <v>0.764265706282513</v>
      </c>
      <c r="Q53" s="10">
        <v>0.19128232396077</v>
      </c>
      <c r="R53" s="10">
        <v>4.0770454619282803E-2</v>
      </c>
      <c r="S53" s="10">
        <v>0.30665356767399121</v>
      </c>
      <c r="T53" s="10">
        <v>0.3355248265986055</v>
      </c>
      <c r="U53" s="10">
        <v>0.1622347949080622</v>
      </c>
      <c r="V53" s="10">
        <v>0.49708859921921522</v>
      </c>
      <c r="W53" s="10">
        <v>0.29788547977330471</v>
      </c>
      <c r="X53" s="10">
        <v>0.18440492476060191</v>
      </c>
      <c r="Y53" s="10">
        <v>0.42</v>
      </c>
      <c r="Z53" s="10">
        <v>0.36190476190476178</v>
      </c>
      <c r="AA53" s="10">
        <v>0.15714285714285711</v>
      </c>
      <c r="AB53" s="10">
        <v>0.56666666666666665</v>
      </c>
      <c r="AC53" s="10">
        <v>0.2594102730587699</v>
      </c>
      <c r="AD53">
        <v>0.11851686867772671</v>
      </c>
      <c r="AE53">
        <v>0.39621005168801737</v>
      </c>
    </row>
    <row r="54" spans="1:31" hidden="1">
      <c r="A54" t="s">
        <v>79</v>
      </c>
      <c r="B54" t="s">
        <v>77</v>
      </c>
      <c r="C54" t="s">
        <v>83</v>
      </c>
      <c r="D54" t="s">
        <v>69</v>
      </c>
      <c r="E54">
        <v>26</v>
      </c>
      <c r="F54">
        <v>0.18571428571428569</v>
      </c>
      <c r="G54">
        <v>5</v>
      </c>
      <c r="H54" s="10">
        <v>0.58981097722278641</v>
      </c>
      <c r="I54" s="10">
        <v>0.4864245292560993</v>
      </c>
      <c r="J54" s="10">
        <v>0.69864173295709131</v>
      </c>
      <c r="K54" s="10">
        <v>3.175905261968849</v>
      </c>
      <c r="L54" s="10">
        <v>2.619209003686688</v>
      </c>
      <c r="M54" s="10">
        <v>3.7619170236151058</v>
      </c>
      <c r="N54" s="10">
        <v>0.87898110661268558</v>
      </c>
      <c r="O54" s="10">
        <v>0.83549257759784079</v>
      </c>
      <c r="P54" s="10">
        <v>0.90330634278002697</v>
      </c>
      <c r="Q54" s="10">
        <v>0.62703821745915012</v>
      </c>
      <c r="R54" s="10">
        <v>0.55619673955071269</v>
      </c>
      <c r="S54" s="10">
        <v>0.65667794905039734</v>
      </c>
      <c r="T54" s="10">
        <v>0.8012375643765639</v>
      </c>
      <c r="U54" s="10">
        <v>0.74805560956640094</v>
      </c>
      <c r="V54" s="10">
        <v>0.8321917808219178</v>
      </c>
      <c r="W54" s="10">
        <v>0.56032355915065712</v>
      </c>
      <c r="X54" s="10">
        <v>0.5043478260869565</v>
      </c>
      <c r="Y54" s="10">
        <v>0.62285714285714289</v>
      </c>
      <c r="Z54" s="10">
        <v>0.9</v>
      </c>
      <c r="AA54" s="10">
        <v>0.84615384615384615</v>
      </c>
      <c r="AB54" s="10">
        <v>0.95769230769230762</v>
      </c>
      <c r="AC54" s="10">
        <v>0.21228409486618191</v>
      </c>
      <c r="AD54">
        <v>0.1214594448601599</v>
      </c>
      <c r="AE54">
        <v>0.33543225660844322</v>
      </c>
    </row>
    <row r="55" spans="1:31" hidden="1">
      <c r="A55" t="s">
        <v>79</v>
      </c>
      <c r="B55" t="s">
        <v>77</v>
      </c>
      <c r="C55" t="s">
        <v>83</v>
      </c>
      <c r="D55" t="s">
        <v>70</v>
      </c>
      <c r="E55">
        <v>7</v>
      </c>
      <c r="F55">
        <v>0.05</v>
      </c>
      <c r="G55">
        <v>5</v>
      </c>
      <c r="H55" s="10">
        <v>4.9263712073438597E-2</v>
      </c>
      <c r="I55" s="10">
        <v>4.2403211963381801E-2</v>
      </c>
      <c r="J55" s="10">
        <v>5.4736963996103803E-2</v>
      </c>
      <c r="K55" s="10">
        <v>0.9852742414687724</v>
      </c>
      <c r="L55" s="10">
        <v>0.84806423926763763</v>
      </c>
      <c r="M55" s="10">
        <v>1.094739279922077</v>
      </c>
      <c r="N55" s="10">
        <v>0.38947368421052631</v>
      </c>
      <c r="O55" s="10">
        <v>0.3133190118152524</v>
      </c>
      <c r="P55" s="10">
        <v>0.45520945220193337</v>
      </c>
      <c r="Q55" s="10">
        <v>-6.8370803788658202E-2</v>
      </c>
      <c r="R55" s="10">
        <v>-9.7994262020743503E-2</v>
      </c>
      <c r="S55" s="10">
        <v>-2.32248560350908E-2</v>
      </c>
      <c r="T55" s="10">
        <v>0.1532085179808676</v>
      </c>
      <c r="U55" s="10">
        <v>0.102146013044393</v>
      </c>
      <c r="V55" s="10">
        <v>0.19686234817813761</v>
      </c>
      <c r="W55" s="10">
        <v>3.9038382789586198E-2</v>
      </c>
      <c r="X55" s="10">
        <v>2.86128364389233E-2</v>
      </c>
      <c r="Y55" s="10">
        <v>4.8235887096774101E-2</v>
      </c>
      <c r="Z55" s="10">
        <v>0.6</v>
      </c>
      <c r="AA55" s="10">
        <v>0.2857142857142857</v>
      </c>
      <c r="AB55" s="10">
        <v>0.8571428571428571</v>
      </c>
      <c r="AC55" s="10">
        <v>3.69426803756207E-2</v>
      </c>
      <c r="AD55">
        <v>2.8426609216010899E-2</v>
      </c>
      <c r="AE55">
        <v>5.2192035279291303E-2</v>
      </c>
    </row>
    <row r="56" spans="1:31" hidden="1">
      <c r="A56" t="s">
        <v>79</v>
      </c>
      <c r="B56" t="s">
        <v>77</v>
      </c>
      <c r="C56" t="s">
        <v>83</v>
      </c>
      <c r="D56" t="s">
        <v>71</v>
      </c>
      <c r="E56">
        <v>9</v>
      </c>
      <c r="F56">
        <v>6.4285714285714196E-2</v>
      </c>
      <c r="G56">
        <v>5</v>
      </c>
      <c r="H56" s="10">
        <v>6.3414153509209606E-2</v>
      </c>
      <c r="I56" s="10">
        <v>4.8828474463704502E-2</v>
      </c>
      <c r="J56" s="10">
        <v>9.7756640792340505E-2</v>
      </c>
      <c r="K56" s="10">
        <v>0.98644238792103878</v>
      </c>
      <c r="L56" s="10">
        <v>0.75955404721318165</v>
      </c>
      <c r="M56" s="10">
        <v>1.520658856769741</v>
      </c>
      <c r="N56" s="10">
        <v>0.41102629346904151</v>
      </c>
      <c r="O56" s="10">
        <v>0.30932994062765051</v>
      </c>
      <c r="P56" s="10">
        <v>0.59423240033927061</v>
      </c>
      <c r="Q56" s="10">
        <v>-6.4016169007572496E-2</v>
      </c>
      <c r="R56" s="10">
        <v>-0.1590320278905015</v>
      </c>
      <c r="S56" s="10">
        <v>3.72619541612512E-2</v>
      </c>
      <c r="T56" s="10">
        <v>0.16087281710537521</v>
      </c>
      <c r="U56" s="10">
        <v>6.9692307692307595E-2</v>
      </c>
      <c r="V56" s="10">
        <v>0.25484496124031009</v>
      </c>
      <c r="W56" s="10">
        <v>4.6400550994393601E-2</v>
      </c>
      <c r="X56" s="10">
        <v>2.4799357945425302E-2</v>
      </c>
      <c r="Y56" s="10">
        <v>6.5013368983957195E-2</v>
      </c>
      <c r="Z56" s="10">
        <v>0.46666666666666667</v>
      </c>
      <c r="AA56" s="10">
        <v>0.1333333333333333</v>
      </c>
      <c r="AB56" s="10">
        <v>0.9555555555555556</v>
      </c>
      <c r="AC56" s="10">
        <v>5.45990311222063E-2</v>
      </c>
      <c r="AD56">
        <v>3.3894426353524902E-2</v>
      </c>
      <c r="AE56">
        <v>6.6711932864004203E-2</v>
      </c>
    </row>
    <row r="57" spans="1:31" hidden="1">
      <c r="A57" t="s">
        <v>79</v>
      </c>
      <c r="B57" t="s">
        <v>77</v>
      </c>
      <c r="C57" t="s">
        <v>84</v>
      </c>
      <c r="D57" t="s">
        <v>67</v>
      </c>
      <c r="E57">
        <v>4</v>
      </c>
      <c r="F57">
        <v>2.8571428571428501E-2</v>
      </c>
      <c r="G57">
        <v>5</v>
      </c>
      <c r="H57" s="10">
        <v>0.111006712639729</v>
      </c>
      <c r="I57" s="10">
        <v>9.0830285482768502E-2</v>
      </c>
      <c r="J57" s="10">
        <v>0.1416547117380676</v>
      </c>
      <c r="K57" s="10">
        <v>3.8852349423905181</v>
      </c>
      <c r="L57" s="10">
        <v>3.179059991896898</v>
      </c>
      <c r="M57" s="10">
        <v>4.9579149108323683</v>
      </c>
      <c r="N57" s="10">
        <v>0.80569852941176467</v>
      </c>
      <c r="O57" s="10">
        <v>0.77821691176470587</v>
      </c>
      <c r="P57" s="10">
        <v>0.82509191176470587</v>
      </c>
      <c r="Q57" s="10">
        <v>0.10345806856926471</v>
      </c>
      <c r="R57" s="10">
        <v>-3.7947846798243097E-2</v>
      </c>
      <c r="S57" s="10">
        <v>0.2164423817164628</v>
      </c>
      <c r="T57" s="10">
        <v>0.15342555994729901</v>
      </c>
      <c r="U57" s="10">
        <v>0</v>
      </c>
      <c r="V57" s="10">
        <v>0.28586956521739132</v>
      </c>
      <c r="W57" s="10">
        <v>6.0927672955974801E-2</v>
      </c>
      <c r="X57" s="10">
        <v>0</v>
      </c>
      <c r="Y57" s="10">
        <v>0.15754716981132069</v>
      </c>
      <c r="Z57" s="10">
        <v>0.45</v>
      </c>
      <c r="AA57" s="10">
        <v>0</v>
      </c>
      <c r="AB57" s="10">
        <v>1</v>
      </c>
      <c r="AC57" s="10">
        <v>9.7235225983132598E-2</v>
      </c>
      <c r="AD57">
        <v>1.2428236235728699E-2</v>
      </c>
      <c r="AE57">
        <v>0.1660148971209579</v>
      </c>
    </row>
    <row r="58" spans="1:31" hidden="1">
      <c r="A58" t="s">
        <v>79</v>
      </c>
      <c r="B58" t="s">
        <v>77</v>
      </c>
      <c r="C58" t="s">
        <v>84</v>
      </c>
      <c r="D58" t="s">
        <v>68</v>
      </c>
      <c r="E58">
        <v>21</v>
      </c>
      <c r="F58">
        <v>0.15</v>
      </c>
      <c r="G58">
        <v>5</v>
      </c>
      <c r="H58" s="10">
        <v>0.52102531599926294</v>
      </c>
      <c r="I58" s="10">
        <v>0.44943432816870799</v>
      </c>
      <c r="J58" s="10">
        <v>0.59481300501533207</v>
      </c>
      <c r="K58" s="10">
        <v>3.4735021066617531</v>
      </c>
      <c r="L58" s="10">
        <v>2.9962288544580531</v>
      </c>
      <c r="M58" s="10">
        <v>3.9654200334355481</v>
      </c>
      <c r="N58" s="10">
        <v>0.80640256102440977</v>
      </c>
      <c r="O58" s="10">
        <v>0.74205682272909157</v>
      </c>
      <c r="P58" s="10">
        <v>0.86074429771908756</v>
      </c>
      <c r="Q58" s="10">
        <v>0.39098098625842109</v>
      </c>
      <c r="R58" s="10">
        <v>0.29502180261447419</v>
      </c>
      <c r="S58" s="10">
        <v>0.4688223798740907</v>
      </c>
      <c r="T58" s="10">
        <v>0.45630622449844421</v>
      </c>
      <c r="U58" s="10">
        <v>0.33558352402745989</v>
      </c>
      <c r="V58" s="10">
        <v>0.60879629629629628</v>
      </c>
      <c r="W58" s="10">
        <v>0.53354978354978366</v>
      </c>
      <c r="X58" s="10">
        <v>0.36309523809523808</v>
      </c>
      <c r="Y58" s="10">
        <v>0.74772727272727268</v>
      </c>
      <c r="Z58" s="10">
        <v>0.46666666666666667</v>
      </c>
      <c r="AA58" s="10">
        <v>0.29523809523809519</v>
      </c>
      <c r="AB58" s="10">
        <v>0.69047619047619047</v>
      </c>
      <c r="AC58" s="10">
        <v>0.468011287721108</v>
      </c>
      <c r="AD58">
        <v>0.1158543145795114</v>
      </c>
      <c r="AE58">
        <v>0.857860242390453</v>
      </c>
    </row>
    <row r="59" spans="1:31" hidden="1">
      <c r="A59" t="s">
        <v>79</v>
      </c>
      <c r="B59" t="s">
        <v>77</v>
      </c>
      <c r="C59" t="s">
        <v>84</v>
      </c>
      <c r="D59" t="s">
        <v>69</v>
      </c>
      <c r="E59">
        <v>26</v>
      </c>
      <c r="F59">
        <v>0.18571428571428569</v>
      </c>
      <c r="G59">
        <v>5</v>
      </c>
      <c r="H59" s="10">
        <v>0.62860734970024701</v>
      </c>
      <c r="I59" s="10">
        <v>0.58183644430262993</v>
      </c>
      <c r="J59" s="10">
        <v>0.67758998905382994</v>
      </c>
      <c r="K59" s="10">
        <v>3.3848088060782531</v>
      </c>
      <c r="L59" s="10">
        <v>3.1329654693218529</v>
      </c>
      <c r="M59" s="10">
        <v>3.6485614795206232</v>
      </c>
      <c r="N59" s="10">
        <v>0.91194331983805677</v>
      </c>
      <c r="O59" s="10">
        <v>0.88714574898785425</v>
      </c>
      <c r="P59" s="10">
        <v>0.92294197031039138</v>
      </c>
      <c r="Q59" s="10">
        <v>0.59016946908496926</v>
      </c>
      <c r="R59" s="10">
        <v>0.50830475418188026</v>
      </c>
      <c r="S59" s="10">
        <v>0.65627576428626833</v>
      </c>
      <c r="T59" s="10">
        <v>0.79379910829288514</v>
      </c>
      <c r="U59" s="10">
        <v>0.69963702359346647</v>
      </c>
      <c r="V59" s="10">
        <v>0.85149784839457132</v>
      </c>
      <c r="W59" s="10">
        <v>0.50248057981507466</v>
      </c>
      <c r="X59" s="10">
        <v>0.47423503325942351</v>
      </c>
      <c r="Y59" s="10">
        <v>0.5385204081632653</v>
      </c>
      <c r="Z59" s="10">
        <v>0.93076923076923079</v>
      </c>
      <c r="AA59" s="10">
        <v>0.78461538461538471</v>
      </c>
      <c r="AB59" s="10">
        <v>1</v>
      </c>
      <c r="AC59" s="10">
        <v>5.3960068407070599E-2</v>
      </c>
      <c r="AD59">
        <v>2.2222717216341299E-2</v>
      </c>
      <c r="AE59">
        <v>0.1128095362072614</v>
      </c>
    </row>
    <row r="60" spans="1:31" hidden="1">
      <c r="A60" t="s">
        <v>79</v>
      </c>
      <c r="B60" t="s">
        <v>77</v>
      </c>
      <c r="C60" t="s">
        <v>84</v>
      </c>
      <c r="D60" t="s">
        <v>70</v>
      </c>
      <c r="E60">
        <v>7</v>
      </c>
      <c r="F60">
        <v>0.05</v>
      </c>
      <c r="G60">
        <v>5</v>
      </c>
      <c r="H60" s="10">
        <v>6.25125133880053E-2</v>
      </c>
      <c r="I60" s="10">
        <v>4.8275023470861898E-2</v>
      </c>
      <c r="J60" s="10">
        <v>8.0773905246584204E-2</v>
      </c>
      <c r="K60" s="10">
        <v>1.2502502677601059</v>
      </c>
      <c r="L60" s="10">
        <v>0.96550046941723955</v>
      </c>
      <c r="M60" s="10">
        <v>1.6154781049316851</v>
      </c>
      <c r="N60" s="10">
        <v>0.52030075187969926</v>
      </c>
      <c r="O60" s="10">
        <v>0.43512352309344787</v>
      </c>
      <c r="P60" s="10">
        <v>0.61170784103114939</v>
      </c>
      <c r="Q60" s="10">
        <v>3.3888658727545602E-2</v>
      </c>
      <c r="R60" s="10">
        <v>-6.7589129634578304E-2</v>
      </c>
      <c r="S60" s="10">
        <v>0.16523338047735711</v>
      </c>
      <c r="T60" s="10">
        <v>0.2039629030185057</v>
      </c>
      <c r="U60" s="10">
        <v>0.15641447368421049</v>
      </c>
      <c r="V60" s="10">
        <v>0.31275847808105872</v>
      </c>
      <c r="W60" s="10">
        <v>6.2850707073874301E-2</v>
      </c>
      <c r="X60" s="10">
        <v>4.0477611940298502E-2</v>
      </c>
      <c r="Y60" s="10">
        <v>0.1115966386554621</v>
      </c>
      <c r="Z60" s="10">
        <v>0.5714285714285714</v>
      </c>
      <c r="AA60" s="10">
        <v>0.3</v>
      </c>
      <c r="AB60" s="10">
        <v>0.95714285714285718</v>
      </c>
      <c r="AC60" s="10">
        <v>1.7642714804553199E-2</v>
      </c>
      <c r="AD60">
        <v>2.7680225054822001E-3</v>
      </c>
      <c r="AE60">
        <v>3.5580992628300702E-2</v>
      </c>
    </row>
    <row r="61" spans="1:31" hidden="1">
      <c r="A61" t="s">
        <v>79</v>
      </c>
      <c r="B61" t="s">
        <v>77</v>
      </c>
      <c r="C61" t="s">
        <v>84</v>
      </c>
      <c r="D61" t="s">
        <v>71</v>
      </c>
      <c r="E61">
        <v>9</v>
      </c>
      <c r="F61">
        <v>6.4285714285714196E-2</v>
      </c>
      <c r="G61">
        <v>5</v>
      </c>
      <c r="H61" s="10">
        <v>0.1031835143394912</v>
      </c>
      <c r="I61" s="10">
        <v>9.6860568960215707E-2</v>
      </c>
      <c r="J61" s="10">
        <v>0.10966208084327909</v>
      </c>
      <c r="K61" s="10">
        <v>1.6050768897254191</v>
      </c>
      <c r="L61" s="10">
        <v>1.506719961603356</v>
      </c>
      <c r="M61" s="10">
        <v>1.7058545908954541</v>
      </c>
      <c r="N61" s="10">
        <v>0.6422391857506361</v>
      </c>
      <c r="O61" s="10">
        <v>0.59499575911789648</v>
      </c>
      <c r="P61" s="10">
        <v>0.67446988973706534</v>
      </c>
      <c r="Q61" s="10">
        <v>7.5404555751059393E-2</v>
      </c>
      <c r="R61" s="10">
        <v>-2.36234168172939E-2</v>
      </c>
      <c r="S61" s="10">
        <v>0.16284610978228781</v>
      </c>
      <c r="T61" s="10">
        <v>0.22410981557586321</v>
      </c>
      <c r="U61" s="10">
        <v>2.1126760563380202E-2</v>
      </c>
      <c r="V61" s="10">
        <v>0.34490005604334018</v>
      </c>
      <c r="W61" s="10">
        <v>7.4681318681318595E-2</v>
      </c>
      <c r="X61" s="10">
        <v>8.0000000000000002E-3</v>
      </c>
      <c r="Y61" s="10">
        <v>0.1069230769230769</v>
      </c>
      <c r="Z61" s="10">
        <v>0.46666666666666662</v>
      </c>
      <c r="AA61" s="10">
        <v>3.3333333333333298E-2</v>
      </c>
      <c r="AB61" s="10">
        <v>0.77777777777777779</v>
      </c>
      <c r="AC61" s="10">
        <v>9.6930231361495506E-2</v>
      </c>
      <c r="AD61">
        <v>7.5374504298851E-3</v>
      </c>
      <c r="AE61">
        <v>0.38033436080334188</v>
      </c>
    </row>
    <row r="62" spans="1:31">
      <c r="A62" t="s">
        <v>86</v>
      </c>
      <c r="B62" t="s">
        <v>65</v>
      </c>
      <c r="C62" t="s">
        <v>80</v>
      </c>
      <c r="D62" t="s">
        <v>67</v>
      </c>
      <c r="E62">
        <v>4</v>
      </c>
      <c r="F62">
        <v>2.8985507246376802E-2</v>
      </c>
      <c r="G62">
        <v>5</v>
      </c>
      <c r="H62" s="10">
        <v>4.1545714756187999E-2</v>
      </c>
      <c r="I62" s="10">
        <v>2.8515378593444201E-2</v>
      </c>
      <c r="J62" s="10">
        <v>5.2630775871189403E-2</v>
      </c>
      <c r="K62" s="10">
        <v>1.433327159088488</v>
      </c>
      <c r="L62" s="10">
        <v>0.98378056147382598</v>
      </c>
      <c r="M62" s="10">
        <v>1.8157617675560369</v>
      </c>
      <c r="N62" s="10">
        <v>0.5</v>
      </c>
      <c r="O62" s="10">
        <v>0.37985074626865678</v>
      </c>
      <c r="P62" s="10">
        <v>0.59944029850746272</v>
      </c>
      <c r="Q62" s="10">
        <v>2.35956901416439E-2</v>
      </c>
      <c r="R62" s="10">
        <v>-8.8743536033511095E-2</v>
      </c>
      <c r="S62" s="10">
        <v>0.1113584694623477</v>
      </c>
      <c r="T62" s="10">
        <v>0.1336594598302836</v>
      </c>
      <c r="U62" s="10">
        <v>8.5851648351648296E-2</v>
      </c>
      <c r="V62" s="10">
        <v>0.17624118794060289</v>
      </c>
      <c r="W62" s="10">
        <v>3.08842893082516E-2</v>
      </c>
      <c r="X62" s="10">
        <v>1.9905115511551101E-2</v>
      </c>
      <c r="Y62" s="10">
        <v>4.1034970689306602E-2</v>
      </c>
      <c r="Z62" s="10">
        <v>0.8</v>
      </c>
      <c r="AA62" s="10">
        <v>0.5</v>
      </c>
      <c r="AB62" s="10">
        <v>1</v>
      </c>
      <c r="AC62" s="10">
        <v>2.5518919378464998E-3</v>
      </c>
      <c r="AD62">
        <v>3.4760821956219997E-4</v>
      </c>
      <c r="AE62">
        <v>4.2070702530816002E-3</v>
      </c>
    </row>
    <row r="63" spans="1:31">
      <c r="A63" t="s">
        <v>79</v>
      </c>
      <c r="B63" t="s">
        <v>78</v>
      </c>
      <c r="C63" t="s">
        <v>80</v>
      </c>
      <c r="D63" t="s">
        <v>68</v>
      </c>
      <c r="E63">
        <v>20</v>
      </c>
      <c r="F63">
        <v>0.14492753623188401</v>
      </c>
      <c r="G63">
        <v>5</v>
      </c>
      <c r="H63" s="10">
        <v>0.22846371987119651</v>
      </c>
      <c r="I63" s="10">
        <v>0.1947340346084715</v>
      </c>
      <c r="J63" s="10">
        <v>0.28109523577604439</v>
      </c>
      <c r="K63" s="10">
        <v>1.5763996671112559</v>
      </c>
      <c r="L63" s="10">
        <v>1.343664838798454</v>
      </c>
      <c r="M63" s="10">
        <v>1.9395571268547069</v>
      </c>
      <c r="N63" s="10">
        <v>0.64499999999999991</v>
      </c>
      <c r="O63" s="10">
        <v>0.58817796610169493</v>
      </c>
      <c r="P63" s="10">
        <v>0.72580508474576277</v>
      </c>
      <c r="Q63" s="10">
        <v>0.21722301559680099</v>
      </c>
      <c r="R63" s="10">
        <v>0.10729675010822411</v>
      </c>
      <c r="S63" s="10">
        <v>0.31290456164771391</v>
      </c>
      <c r="T63" s="10">
        <v>0.4468930501833116</v>
      </c>
      <c r="U63" s="10">
        <v>0.31962287608785739</v>
      </c>
      <c r="V63" s="10">
        <v>0.52540834845735029</v>
      </c>
      <c r="W63" s="10">
        <v>0.25986278895339748</v>
      </c>
      <c r="X63" s="10">
        <v>0.20869837296620769</v>
      </c>
      <c r="Y63" s="10">
        <v>0.32641509433962262</v>
      </c>
      <c r="Z63" s="10">
        <v>0.55000000000000004</v>
      </c>
      <c r="AA63" s="10">
        <v>0.37</v>
      </c>
      <c r="AB63" s="10">
        <v>0.69</v>
      </c>
      <c r="AC63" s="10">
        <v>0.40139978463222997</v>
      </c>
      <c r="AD63">
        <v>0.17860873107467731</v>
      </c>
      <c r="AE63">
        <v>0.67162793310794267</v>
      </c>
    </row>
    <row r="64" spans="1:31">
      <c r="A64" t="s">
        <v>79</v>
      </c>
      <c r="B64" t="s">
        <v>78</v>
      </c>
      <c r="C64" t="s">
        <v>80</v>
      </c>
      <c r="D64" t="s">
        <v>69</v>
      </c>
      <c r="E64">
        <v>26</v>
      </c>
      <c r="F64">
        <v>0.1884057971014492</v>
      </c>
      <c r="G64">
        <v>5</v>
      </c>
      <c r="H64" s="10">
        <v>0.4542528831793603</v>
      </c>
      <c r="I64" s="10">
        <v>0.3395036345617472</v>
      </c>
      <c r="J64" s="10">
        <v>0.61182604334152124</v>
      </c>
      <c r="K64" s="10">
        <v>2.4110345337981429</v>
      </c>
      <c r="L64" s="10">
        <v>1.8019808295969659</v>
      </c>
      <c r="M64" s="10">
        <v>3.2473843838896128</v>
      </c>
      <c r="N64" s="10">
        <v>0.82671703296703303</v>
      </c>
      <c r="O64" s="10">
        <v>0.76428571428571435</v>
      </c>
      <c r="P64" s="10">
        <v>0.86833791208791222</v>
      </c>
      <c r="Q64" s="10">
        <v>0.54920105673534503</v>
      </c>
      <c r="R64" s="10">
        <v>0.49541120479588491</v>
      </c>
      <c r="S64" s="10">
        <v>0.63420572970948574</v>
      </c>
      <c r="T64" s="10">
        <v>0.7515026730016221</v>
      </c>
      <c r="U64" s="10">
        <v>0.71942724458204332</v>
      </c>
      <c r="V64" s="10">
        <v>0.77822177822177829</v>
      </c>
      <c r="W64" s="10">
        <v>0.49704300461443318</v>
      </c>
      <c r="X64" s="10">
        <v>0.44991496598639458</v>
      </c>
      <c r="Y64" s="10">
        <v>0.62072727272727268</v>
      </c>
      <c r="Z64" s="10">
        <v>0.86923076923076936</v>
      </c>
      <c r="AA64" s="10">
        <v>0.81153846153846154</v>
      </c>
      <c r="AB64" s="10">
        <v>0.92307692307692324</v>
      </c>
      <c r="AC64" s="10">
        <v>0.38840201266185009</v>
      </c>
      <c r="AD64">
        <v>0.13007486896898021</v>
      </c>
      <c r="AE64">
        <v>0.57556930964050901</v>
      </c>
    </row>
    <row r="65" spans="1:31">
      <c r="A65" t="s">
        <v>79</v>
      </c>
      <c r="B65" t="s">
        <v>78</v>
      </c>
      <c r="C65" t="s">
        <v>80</v>
      </c>
      <c r="D65" t="s">
        <v>70</v>
      </c>
      <c r="E65">
        <v>7</v>
      </c>
      <c r="F65">
        <v>5.0724637681159403E-2</v>
      </c>
      <c r="G65">
        <v>5</v>
      </c>
      <c r="H65" s="10">
        <v>5.9432851256180801E-2</v>
      </c>
      <c r="I65" s="10">
        <v>5.06626226945084E-2</v>
      </c>
      <c r="J65" s="10">
        <v>7.44748449255348E-2</v>
      </c>
      <c r="K65" s="10">
        <v>1.171676210478994</v>
      </c>
      <c r="L65" s="10">
        <v>0.99877741883459437</v>
      </c>
      <c r="M65" s="10">
        <v>1.4682183713891159</v>
      </c>
      <c r="N65" s="10">
        <v>0.53086150490730633</v>
      </c>
      <c r="O65" s="10">
        <v>0.45779716466739367</v>
      </c>
      <c r="P65" s="10">
        <v>0.6316248636859324</v>
      </c>
      <c r="Q65" s="10">
        <v>2.1899548620463199E-2</v>
      </c>
      <c r="R65" s="10">
        <v>-0.1049635606443997</v>
      </c>
      <c r="S65" s="10">
        <v>0.1118435277973437</v>
      </c>
      <c r="T65" s="10">
        <v>0.1404030022735058</v>
      </c>
      <c r="U65" s="10">
        <v>0</v>
      </c>
      <c r="V65" s="10">
        <v>0.25042822884549498</v>
      </c>
      <c r="W65" s="10">
        <v>3.4596296597155303E-2</v>
      </c>
      <c r="X65" s="10">
        <v>0</v>
      </c>
      <c r="Y65" s="10">
        <v>6.2639109697933196E-2</v>
      </c>
      <c r="Z65" s="10">
        <v>0.6</v>
      </c>
      <c r="AA65" s="10">
        <v>0</v>
      </c>
      <c r="AB65" s="10">
        <v>1</v>
      </c>
      <c r="AC65" s="10">
        <v>0.21693132520082559</v>
      </c>
      <c r="AD65">
        <v>8.9122060540298538E-6</v>
      </c>
      <c r="AE65">
        <v>0.90786414067246002</v>
      </c>
    </row>
    <row r="66" spans="1:31">
      <c r="A66" t="s">
        <v>79</v>
      </c>
      <c r="B66" t="s">
        <v>78</v>
      </c>
      <c r="C66" t="s">
        <v>80</v>
      </c>
      <c r="D66" t="s">
        <v>71</v>
      </c>
      <c r="E66">
        <v>9</v>
      </c>
      <c r="F66">
        <v>6.5217391304347797E-2</v>
      </c>
      <c r="G66">
        <v>5</v>
      </c>
      <c r="H66" s="10">
        <v>9.0168820644619896E-2</v>
      </c>
      <c r="I66" s="10">
        <v>6.3963926029039803E-2</v>
      </c>
      <c r="J66" s="10">
        <v>0.1142187387415815</v>
      </c>
      <c r="K66" s="10">
        <v>1.382588583217506</v>
      </c>
      <c r="L66" s="10">
        <v>0.98078019911194403</v>
      </c>
      <c r="M66" s="10">
        <v>1.751353994037584</v>
      </c>
      <c r="N66" s="10">
        <v>0.52644272179155893</v>
      </c>
      <c r="O66" s="10">
        <v>0.45633074935400519</v>
      </c>
      <c r="P66" s="10">
        <v>0.63471145564168807</v>
      </c>
      <c r="Q66" s="10">
        <v>2.2191029987467699E-2</v>
      </c>
      <c r="R66" s="10">
        <v>-7.67680854032569E-2</v>
      </c>
      <c r="S66" s="10">
        <v>0.1038516698516435</v>
      </c>
      <c r="T66" s="10">
        <v>0.12307868601986249</v>
      </c>
      <c r="U66" s="10">
        <v>7.5757575757574996E-3</v>
      </c>
      <c r="V66" s="10">
        <v>0.21852941176470589</v>
      </c>
      <c r="W66" s="10">
        <v>8.7321428571428494E-2</v>
      </c>
      <c r="X66" s="10">
        <v>3.3333333333333002E-3</v>
      </c>
      <c r="Y66" s="10">
        <v>0.1642857142857142</v>
      </c>
      <c r="Z66" s="10">
        <v>0.1555555555555555</v>
      </c>
      <c r="AA66" s="10">
        <v>1.1111111111111099E-2</v>
      </c>
      <c r="AB66" s="10">
        <v>0.32222222222222219</v>
      </c>
      <c r="AC66" s="10">
        <v>0.4157656445114214</v>
      </c>
      <c r="AD66">
        <v>5.9980027799320698E-2</v>
      </c>
      <c r="AE66">
        <v>0.91462770399552562</v>
      </c>
    </row>
    <row r="67" spans="1:31" hidden="1">
      <c r="A67" t="s">
        <v>79</v>
      </c>
      <c r="B67" t="s">
        <v>78</v>
      </c>
      <c r="C67" t="s">
        <v>81</v>
      </c>
      <c r="D67" t="s">
        <v>67</v>
      </c>
      <c r="E67">
        <v>4</v>
      </c>
      <c r="F67">
        <v>2.8985507246376802E-2</v>
      </c>
      <c r="G67">
        <v>5</v>
      </c>
      <c r="H67" s="10">
        <v>8.3685703131540404E-2</v>
      </c>
      <c r="I67" s="10">
        <v>4.7672045726965602E-2</v>
      </c>
      <c r="J67" s="10">
        <v>0.13381397667762751</v>
      </c>
      <c r="K67" s="10">
        <v>2.887156758038143</v>
      </c>
      <c r="L67" s="10">
        <v>1.644685577580314</v>
      </c>
      <c r="M67" s="10">
        <v>4.6165821953781512</v>
      </c>
      <c r="N67" s="10">
        <v>0.68097014925373134</v>
      </c>
      <c r="O67" s="10">
        <v>0.57546641791044784</v>
      </c>
      <c r="P67" s="10">
        <v>0.79897388059701491</v>
      </c>
      <c r="Q67" s="10">
        <v>1.99946687990522E-2</v>
      </c>
      <c r="R67" s="10">
        <v>0</v>
      </c>
      <c r="S67" s="10">
        <v>8.9976009595735304E-2</v>
      </c>
      <c r="T67" s="10">
        <v>0.1396103896103896</v>
      </c>
      <c r="U67" s="10">
        <v>0.1298701298701298</v>
      </c>
      <c r="V67" s="10">
        <v>0.17370129870129869</v>
      </c>
      <c r="W67" s="10">
        <v>3.9855072463768099E-2</v>
      </c>
      <c r="X67" s="10">
        <v>2.8985507246376802E-2</v>
      </c>
      <c r="Y67" s="10">
        <v>7.7898550724637597E-2</v>
      </c>
      <c r="Z67" s="10">
        <v>0.85</v>
      </c>
      <c r="AA67" s="10">
        <v>0.32500000000000001</v>
      </c>
      <c r="AB67" s="10">
        <v>1</v>
      </c>
      <c r="AC67" s="10">
        <v>3.6447609106377302E-2</v>
      </c>
      <c r="AD67">
        <v>0</v>
      </c>
      <c r="AE67">
        <v>0.1640142409786978</v>
      </c>
    </row>
    <row r="68" spans="1:31" hidden="1">
      <c r="A68" t="s">
        <v>79</v>
      </c>
      <c r="B68" t="s">
        <v>78</v>
      </c>
      <c r="C68" t="s">
        <v>81</v>
      </c>
      <c r="D68" t="s">
        <v>68</v>
      </c>
      <c r="E68">
        <v>20</v>
      </c>
      <c r="F68">
        <v>0.14492753623188401</v>
      </c>
      <c r="G68">
        <v>5</v>
      </c>
      <c r="H68" s="10">
        <v>0.24550282333165019</v>
      </c>
      <c r="I68" s="10">
        <v>0.20067664628063239</v>
      </c>
      <c r="J68" s="10">
        <v>0.32677983898527618</v>
      </c>
      <c r="K68" s="10">
        <v>1.693969480988387</v>
      </c>
      <c r="L68" s="10">
        <v>1.3846688593363641</v>
      </c>
      <c r="M68" s="10">
        <v>2.2547808889984058</v>
      </c>
      <c r="N68" s="10">
        <v>0.65364406779661022</v>
      </c>
      <c r="O68" s="10">
        <v>0.60949152542372875</v>
      </c>
      <c r="P68" s="10">
        <v>0.69072033898305085</v>
      </c>
      <c r="Q68" s="10">
        <v>0.16731893105534701</v>
      </c>
      <c r="R68" s="10">
        <v>1.8284533275204799E-2</v>
      </c>
      <c r="S68" s="10">
        <v>0.2486670709490392</v>
      </c>
      <c r="T68" s="10">
        <v>0.28591218579734418</v>
      </c>
      <c r="U68" s="10">
        <v>2.19780219780219E-2</v>
      </c>
      <c r="V68" s="10">
        <v>0.45203674930757271</v>
      </c>
      <c r="W68" s="10">
        <v>0.24801576132845479</v>
      </c>
      <c r="X68" s="10">
        <v>2.3529411764705799E-2</v>
      </c>
      <c r="Y68" s="10">
        <v>0.3679425837320574</v>
      </c>
      <c r="Z68" s="10">
        <v>0.32</v>
      </c>
      <c r="AA68" s="10">
        <v>0.02</v>
      </c>
      <c r="AB68" s="10">
        <v>0.58499999999999996</v>
      </c>
      <c r="AC68" s="10">
        <v>0.45685037893456198</v>
      </c>
      <c r="AD68">
        <v>0.21277457310730499</v>
      </c>
      <c r="AE68">
        <v>0.77645911910117227</v>
      </c>
    </row>
    <row r="69" spans="1:31" hidden="1">
      <c r="A69" t="s">
        <v>79</v>
      </c>
      <c r="B69" t="s">
        <v>78</v>
      </c>
      <c r="C69" t="s">
        <v>81</v>
      </c>
      <c r="D69" t="s">
        <v>69</v>
      </c>
      <c r="E69">
        <v>26</v>
      </c>
      <c r="F69">
        <v>0.1884057971014492</v>
      </c>
      <c r="G69">
        <v>5</v>
      </c>
      <c r="H69" s="10">
        <v>0.52514938169656422</v>
      </c>
      <c r="I69" s="10">
        <v>0.457203351355702</v>
      </c>
      <c r="J69" s="10">
        <v>0.59408599388533578</v>
      </c>
      <c r="K69" s="10">
        <v>2.7873313336202248</v>
      </c>
      <c r="L69" s="10">
        <v>2.4266947110418031</v>
      </c>
      <c r="M69" s="10">
        <v>3.1532256598529358</v>
      </c>
      <c r="N69" s="10">
        <v>0.8705013736263737</v>
      </c>
      <c r="O69" s="10">
        <v>0.85010302197802201</v>
      </c>
      <c r="P69" s="10">
        <v>0.88700206043956065</v>
      </c>
      <c r="Q69" s="10">
        <v>0.48813210525992912</v>
      </c>
      <c r="R69" s="10">
        <v>0.4455513040471995</v>
      </c>
      <c r="S69" s="10">
        <v>0.54774709713315339</v>
      </c>
      <c r="T69" s="10">
        <v>0.69417383498376772</v>
      </c>
      <c r="U69" s="10">
        <v>0.61464542651593013</v>
      </c>
      <c r="V69" s="10">
        <v>0.77049214226633578</v>
      </c>
      <c r="W69" s="10">
        <v>0.46433742727860378</v>
      </c>
      <c r="X69" s="10">
        <v>0.42499999999999999</v>
      </c>
      <c r="Y69" s="10">
        <v>0.4985714285714285</v>
      </c>
      <c r="Z69" s="10">
        <v>0.8</v>
      </c>
      <c r="AA69" s="10">
        <v>0.65769230769230769</v>
      </c>
      <c r="AB69" s="10">
        <v>0.91923076923076918</v>
      </c>
      <c r="AC69" s="10">
        <v>0.35977993735583791</v>
      </c>
      <c r="AD69">
        <v>0.23876835391154469</v>
      </c>
      <c r="AE69">
        <v>0.43735172335569461</v>
      </c>
    </row>
    <row r="70" spans="1:31" hidden="1">
      <c r="A70" t="s">
        <v>79</v>
      </c>
      <c r="B70" t="s">
        <v>78</v>
      </c>
      <c r="C70" t="s">
        <v>81</v>
      </c>
      <c r="D70" t="s">
        <v>70</v>
      </c>
      <c r="E70">
        <v>7</v>
      </c>
      <c r="F70">
        <v>5.0724637681159403E-2</v>
      </c>
      <c r="G70">
        <v>5</v>
      </c>
      <c r="H70" s="10">
        <v>5.0724637681159403E-2</v>
      </c>
      <c r="I70" s="10">
        <v>5.0724637681159403E-2</v>
      </c>
      <c r="J70" s="10">
        <v>5.0724637681159403E-2</v>
      </c>
      <c r="K70" s="10">
        <v>1</v>
      </c>
      <c r="L70" s="10">
        <v>1</v>
      </c>
      <c r="M70" s="10">
        <v>1</v>
      </c>
      <c r="N70" s="10">
        <v>0.43435114503816791</v>
      </c>
      <c r="O70" s="10">
        <v>0.42786259541984728</v>
      </c>
      <c r="P70" s="10">
        <v>0.4423664122137404</v>
      </c>
      <c r="Q70" s="10">
        <v>-1.2211521190175E-2</v>
      </c>
      <c r="R70" s="10">
        <v>-5.4951845355787503E-2</v>
      </c>
      <c r="S70" s="10">
        <v>0</v>
      </c>
      <c r="T70" s="10">
        <v>0.16867469879518071</v>
      </c>
      <c r="U70" s="10">
        <v>2.1084337349397499E-2</v>
      </c>
      <c r="V70" s="10">
        <v>0.21084337349397589</v>
      </c>
      <c r="W70" s="10">
        <v>4.0579710144927499E-2</v>
      </c>
      <c r="X70" s="10">
        <v>5.0724637681159E-3</v>
      </c>
      <c r="Y70" s="10">
        <v>5.0724637681159403E-2</v>
      </c>
      <c r="Z70" s="10">
        <v>0.8</v>
      </c>
      <c r="AA70" s="10">
        <v>0.1</v>
      </c>
      <c r="AB70" s="10">
        <v>1</v>
      </c>
      <c r="AC70" s="10">
        <v>3.9122195366147403E-2</v>
      </c>
      <c r="AD70">
        <v>0</v>
      </c>
      <c r="AE70">
        <v>0.17604987914766329</v>
      </c>
    </row>
    <row r="71" spans="1:31" hidden="1">
      <c r="A71" t="s">
        <v>79</v>
      </c>
      <c r="B71" t="s">
        <v>78</v>
      </c>
      <c r="C71" t="s">
        <v>81</v>
      </c>
      <c r="D71" t="s">
        <v>71</v>
      </c>
      <c r="E71">
        <v>9</v>
      </c>
      <c r="F71">
        <v>6.5217391304347797E-2</v>
      </c>
      <c r="G71">
        <v>5</v>
      </c>
      <c r="H71" s="10">
        <v>6.7287194192565E-2</v>
      </c>
      <c r="I71" s="10">
        <v>6.3241106719367501E-2</v>
      </c>
      <c r="J71" s="10">
        <v>7.34160014466919E-2</v>
      </c>
      <c r="K71" s="10">
        <v>1.031736977619331</v>
      </c>
      <c r="L71" s="10">
        <v>0.96969696969696961</v>
      </c>
      <c r="M71" s="10">
        <v>1.12571202218261</v>
      </c>
      <c r="N71" s="10">
        <v>0.46503014642549528</v>
      </c>
      <c r="O71" s="10">
        <v>0.40689061154177431</v>
      </c>
      <c r="P71" s="10">
        <v>0.52937123169681322</v>
      </c>
      <c r="Q71" s="10">
        <v>-4.4795235194402899E-2</v>
      </c>
      <c r="R71" s="10">
        <v>-0.1127504377908167</v>
      </c>
      <c r="S71" s="10">
        <v>5.83264329804054E-2</v>
      </c>
      <c r="T71" s="10">
        <v>8.8087774294670795E-2</v>
      </c>
      <c r="U71" s="10">
        <v>0</v>
      </c>
      <c r="V71" s="10">
        <v>0.25094043887147338</v>
      </c>
      <c r="W71" s="10">
        <v>3.4096109839816903E-2</v>
      </c>
      <c r="X71" s="10">
        <v>0</v>
      </c>
      <c r="Y71" s="10">
        <v>0.10125858123569791</v>
      </c>
      <c r="Z71" s="10">
        <v>0.24444444444444441</v>
      </c>
      <c r="AA71" s="10">
        <v>0</v>
      </c>
      <c r="AB71" s="10">
        <v>0.92222222222222217</v>
      </c>
      <c r="AC71" s="10">
        <v>0.15282718111209781</v>
      </c>
      <c r="AD71">
        <v>1.8889666110383001E-2</v>
      </c>
      <c r="AE71">
        <v>0.19644523879570661</v>
      </c>
    </row>
    <row r="72" spans="1:31" hidden="1">
      <c r="A72" t="s">
        <v>79</v>
      </c>
      <c r="B72" t="s">
        <v>78</v>
      </c>
      <c r="C72" t="s">
        <v>82</v>
      </c>
      <c r="D72" t="s">
        <v>67</v>
      </c>
      <c r="E72">
        <v>4</v>
      </c>
      <c r="F72">
        <v>2.8985507246376802E-2</v>
      </c>
      <c r="G72">
        <v>5</v>
      </c>
      <c r="H72" s="10">
        <v>3.9520570116013003E-2</v>
      </c>
      <c r="I72" s="10">
        <v>2.6912823250811901E-2</v>
      </c>
      <c r="J72" s="10">
        <v>4.8635050714579998E-2</v>
      </c>
      <c r="K72" s="10">
        <v>1.3634596690024501</v>
      </c>
      <c r="L72" s="10">
        <v>0.92849240215301321</v>
      </c>
      <c r="M72" s="10">
        <v>1.6779092496530119</v>
      </c>
      <c r="N72" s="10">
        <v>0.45410447761194028</v>
      </c>
      <c r="O72" s="10">
        <v>0.3167910447761193</v>
      </c>
      <c r="P72" s="10">
        <v>0.52537313432835819</v>
      </c>
      <c r="Q72" s="10">
        <v>-6.6400056822433001E-3</v>
      </c>
      <c r="R72" s="10">
        <v>-5.6319146994859702E-2</v>
      </c>
      <c r="S72" s="10">
        <v>9.0787138009355103E-2</v>
      </c>
      <c r="T72" s="10">
        <v>7.2522159548751006E-2</v>
      </c>
      <c r="U72" s="10">
        <v>0</v>
      </c>
      <c r="V72" s="10">
        <v>0.1638655462184874</v>
      </c>
      <c r="W72" s="10">
        <v>1.7101004939533201E-2</v>
      </c>
      <c r="X72" s="10">
        <v>0</v>
      </c>
      <c r="Y72" s="10">
        <v>3.78640776699029E-2</v>
      </c>
      <c r="Z72" s="10">
        <v>0.4</v>
      </c>
      <c r="AA72" s="10">
        <v>0</v>
      </c>
      <c r="AB72" s="10">
        <v>0.97499999999999998</v>
      </c>
      <c r="AC72" s="10">
        <v>0.36316664732348569</v>
      </c>
      <c r="AD72">
        <v>0.252615390807853</v>
      </c>
      <c r="AE72">
        <v>0.48278664057708298</v>
      </c>
    </row>
    <row r="73" spans="1:31" hidden="1">
      <c r="A73" t="s">
        <v>79</v>
      </c>
      <c r="B73" t="s">
        <v>78</v>
      </c>
      <c r="C73" t="s">
        <v>82</v>
      </c>
      <c r="D73" t="s">
        <v>68</v>
      </c>
      <c r="E73">
        <v>20</v>
      </c>
      <c r="F73">
        <v>0.14492753623188401</v>
      </c>
      <c r="G73">
        <v>5</v>
      </c>
      <c r="H73" s="10">
        <v>0.28236943346961629</v>
      </c>
      <c r="I73" s="10">
        <v>0.25253577554401929</v>
      </c>
      <c r="J73" s="10">
        <v>0.32320725076909651</v>
      </c>
      <c r="K73" s="10">
        <v>1.948349090940352</v>
      </c>
      <c r="L73" s="10">
        <v>1.7424968512537331</v>
      </c>
      <c r="M73" s="10">
        <v>2.2301300303067659</v>
      </c>
      <c r="N73" s="10">
        <v>0.64762711864406786</v>
      </c>
      <c r="O73" s="10">
        <v>0.59368644067796605</v>
      </c>
      <c r="P73" s="10">
        <v>0.69338983050847458</v>
      </c>
      <c r="Q73" s="10">
        <v>0.18586782908906521</v>
      </c>
      <c r="R73" s="10">
        <v>9.7782417136641403E-2</v>
      </c>
      <c r="S73" s="10">
        <v>0.30290285723084798</v>
      </c>
      <c r="T73" s="10">
        <v>0.29783783854775731</v>
      </c>
      <c r="U73" s="10">
        <v>8.1193838254171993E-2</v>
      </c>
      <c r="V73" s="10">
        <v>0.43058706106523897</v>
      </c>
      <c r="W73" s="10">
        <v>0.34248466783156878</v>
      </c>
      <c r="X73" s="10">
        <v>0.20197005516154451</v>
      </c>
      <c r="Y73" s="10">
        <v>0.4891304347826087</v>
      </c>
      <c r="Z73" s="10">
        <v>0.32</v>
      </c>
      <c r="AA73" s="10">
        <v>7.0000000000000007E-2</v>
      </c>
      <c r="AB73" s="10">
        <v>0.45</v>
      </c>
      <c r="AC73" s="10">
        <v>0.39341786830763881</v>
      </c>
      <c r="AD73">
        <v>0.29760287707699329</v>
      </c>
      <c r="AE73">
        <v>0.61489672668383721</v>
      </c>
    </row>
    <row r="74" spans="1:31" hidden="1">
      <c r="A74" t="s">
        <v>79</v>
      </c>
      <c r="B74" t="s">
        <v>78</v>
      </c>
      <c r="C74" t="s">
        <v>82</v>
      </c>
      <c r="D74" t="s">
        <v>69</v>
      </c>
      <c r="E74">
        <v>26</v>
      </c>
      <c r="F74">
        <v>0.1884057971014492</v>
      </c>
      <c r="G74">
        <v>5</v>
      </c>
      <c r="H74" s="10">
        <v>0.3580320162168556</v>
      </c>
      <c r="I74" s="10">
        <v>0.30617225018448019</v>
      </c>
      <c r="J74" s="10">
        <v>0.41075708797290489</v>
      </c>
      <c r="K74" s="10">
        <v>1.9003237783817719</v>
      </c>
      <c r="L74" s="10">
        <v>1.62506809713301</v>
      </c>
      <c r="M74" s="10">
        <v>2.1801722361638798</v>
      </c>
      <c r="N74" s="10">
        <v>0.78756868131868119</v>
      </c>
      <c r="O74" s="10">
        <v>0.73907967032967026</v>
      </c>
      <c r="P74" s="10">
        <v>0.818131868131868</v>
      </c>
      <c r="Q74" s="10">
        <v>0.46914000902324138</v>
      </c>
      <c r="R74" s="10">
        <v>0.43849325687565621</v>
      </c>
      <c r="S74" s="10">
        <v>0.50811929706308823</v>
      </c>
      <c r="T74" s="10">
        <v>0.72956606485705433</v>
      </c>
      <c r="U74" s="10">
        <v>0.70157916556740663</v>
      </c>
      <c r="V74" s="10">
        <v>0.75994010679751767</v>
      </c>
      <c r="W74" s="10">
        <v>0.39287900778466811</v>
      </c>
      <c r="X74" s="10">
        <v>0.3701864801864802</v>
      </c>
      <c r="Y74" s="10">
        <v>0.41650943396226409</v>
      </c>
      <c r="Z74" s="10">
        <v>0.93076923076923079</v>
      </c>
      <c r="AA74" s="10">
        <v>0.85384615384615381</v>
      </c>
      <c r="AB74" s="10">
        <v>0.96153846153846156</v>
      </c>
      <c r="AC74" s="10">
        <v>0.4521423179238051</v>
      </c>
      <c r="AD74">
        <v>0.42886234843576548</v>
      </c>
      <c r="AE74">
        <v>0.48615736553785122</v>
      </c>
    </row>
    <row r="75" spans="1:31" hidden="1">
      <c r="A75" t="s">
        <v>79</v>
      </c>
      <c r="B75" t="s">
        <v>78</v>
      </c>
      <c r="C75" t="s">
        <v>82</v>
      </c>
      <c r="D75" t="s">
        <v>70</v>
      </c>
      <c r="E75">
        <v>7</v>
      </c>
      <c r="F75">
        <v>5.0724637681159403E-2</v>
      </c>
      <c r="G75">
        <v>5</v>
      </c>
      <c r="H75" s="10">
        <v>4.2558058670093303E-2</v>
      </c>
      <c r="I75" s="10">
        <v>4.00916265523742E-2</v>
      </c>
      <c r="J75" s="10">
        <v>4.7125032506110401E-2</v>
      </c>
      <c r="K75" s="10">
        <v>0.83900172806755369</v>
      </c>
      <c r="L75" s="10">
        <v>0.79037778060395014</v>
      </c>
      <c r="M75" s="10">
        <v>0.92903635512046379</v>
      </c>
      <c r="N75" s="10">
        <v>0.33500545256270448</v>
      </c>
      <c r="O75" s="10">
        <v>0.31494002181025083</v>
      </c>
      <c r="P75" s="10">
        <v>0.3576881134133042</v>
      </c>
      <c r="Q75" s="10">
        <v>-2.3169571390950799E-2</v>
      </c>
      <c r="R75" s="10">
        <v>-0.1205452167929343</v>
      </c>
      <c r="S75" s="10">
        <v>7.0309634345665395E-2</v>
      </c>
      <c r="T75" s="10">
        <v>0.14700715100306491</v>
      </c>
      <c r="U75" s="10">
        <v>9.6153846153846003E-3</v>
      </c>
      <c r="V75" s="10">
        <v>0.22683844817602769</v>
      </c>
      <c r="W75" s="10">
        <v>3.6387287527653897E-2</v>
      </c>
      <c r="X75" s="10">
        <v>2.6315789473684002E-3</v>
      </c>
      <c r="Y75" s="10">
        <v>5.5426356589147199E-2</v>
      </c>
      <c r="Z75" s="10">
        <v>0.62857142857142856</v>
      </c>
      <c r="AA75" s="10">
        <v>2.8571428571428501E-2</v>
      </c>
      <c r="AB75" s="10">
        <v>1</v>
      </c>
      <c r="AC75" s="10">
        <v>0.16474058453973039</v>
      </c>
      <c r="AD75">
        <v>1.2334057221710001E-4</v>
      </c>
      <c r="AE75">
        <v>0.50102124892507127</v>
      </c>
    </row>
    <row r="76" spans="1:31" hidden="1">
      <c r="A76" t="s">
        <v>79</v>
      </c>
      <c r="B76" t="s">
        <v>78</v>
      </c>
      <c r="C76" t="s">
        <v>82</v>
      </c>
      <c r="D76" t="s">
        <v>71</v>
      </c>
      <c r="E76">
        <v>9</v>
      </c>
      <c r="F76">
        <v>6.5217391304347797E-2</v>
      </c>
      <c r="G76">
        <v>5</v>
      </c>
      <c r="H76" s="10">
        <v>6.8690476118181507E-2</v>
      </c>
      <c r="I76" s="10">
        <v>5.8298081258684499E-2</v>
      </c>
      <c r="J76" s="10">
        <v>7.8172579197244102E-2</v>
      </c>
      <c r="K76" s="10">
        <v>1.0532539671454499</v>
      </c>
      <c r="L76" s="10">
        <v>0.89390391263316382</v>
      </c>
      <c r="M76" s="10">
        <v>1.198646214357743</v>
      </c>
      <c r="N76" s="10">
        <v>0.47769164513350559</v>
      </c>
      <c r="O76" s="10">
        <v>0.42032730404823432</v>
      </c>
      <c r="P76" s="10">
        <v>0.52058570198105081</v>
      </c>
      <c r="Q76" s="10">
        <v>1.6718277241357701E-2</v>
      </c>
      <c r="R76" s="10">
        <v>-7.4367650107107303E-2</v>
      </c>
      <c r="S76" s="10">
        <v>8.1784322384591504E-2</v>
      </c>
      <c r="T76" s="10">
        <v>0.21767040727591039</v>
      </c>
      <c r="U76" s="10">
        <v>8.6607142857142799E-2</v>
      </c>
      <c r="V76" s="10">
        <v>0.27818001396596709</v>
      </c>
      <c r="W76" s="10">
        <v>6.1091729323308197E-2</v>
      </c>
      <c r="X76" s="10">
        <v>3.3049535603715097E-2</v>
      </c>
      <c r="Y76" s="10">
        <v>7.1858823529411697E-2</v>
      </c>
      <c r="Z76" s="10">
        <v>0.66666666666666674</v>
      </c>
      <c r="AA76" s="10">
        <v>0.1555555555555555</v>
      </c>
      <c r="AB76" s="10">
        <v>1</v>
      </c>
      <c r="AC76" s="10">
        <v>0.1942638731348397</v>
      </c>
      <c r="AD76">
        <v>1.8624516323190001E-4</v>
      </c>
      <c r="AE76">
        <v>0.39235166033541219</v>
      </c>
    </row>
    <row r="77" spans="1:31" hidden="1">
      <c r="A77" t="s">
        <v>79</v>
      </c>
      <c r="B77" t="s">
        <v>78</v>
      </c>
      <c r="C77" t="s">
        <v>76</v>
      </c>
      <c r="D77" t="s">
        <v>67</v>
      </c>
      <c r="E77">
        <v>4</v>
      </c>
      <c r="F77">
        <v>2.8985507246376802E-2</v>
      </c>
      <c r="G77">
        <v>5</v>
      </c>
      <c r="H77" s="10">
        <v>0.11283035173745939</v>
      </c>
      <c r="I77" s="10">
        <v>7.9998348523941498E-2</v>
      </c>
      <c r="J77" s="10">
        <v>0.15706038715975981</v>
      </c>
      <c r="K77" s="10">
        <v>3.8926471349423508</v>
      </c>
      <c r="L77" s="10">
        <v>2.7599430240759819</v>
      </c>
      <c r="M77" s="10">
        <v>5.4185833570117143</v>
      </c>
      <c r="N77" s="10">
        <v>0.82630597014925367</v>
      </c>
      <c r="O77" s="10">
        <v>0.78498134328358204</v>
      </c>
      <c r="P77" s="10">
        <v>0.88302238805970135</v>
      </c>
      <c r="Q77" s="10">
        <v>0.12874780747418349</v>
      </c>
      <c r="R77" s="10">
        <v>-1.40458898457016E-2</v>
      </c>
      <c r="S77" s="10">
        <v>0.2195814983472448</v>
      </c>
      <c r="T77" s="10">
        <v>0.19913208925900139</v>
      </c>
      <c r="U77" s="10">
        <v>1.9047619047619001E-2</v>
      </c>
      <c r="V77" s="10">
        <v>0.32178014766201801</v>
      </c>
      <c r="W77" s="10">
        <v>5.4507305842555302E-2</v>
      </c>
      <c r="X77" s="10">
        <v>4.4943820224719001E-3</v>
      </c>
      <c r="Y77" s="10">
        <v>9.8108108108108105E-2</v>
      </c>
      <c r="Z77" s="10">
        <v>0.7</v>
      </c>
      <c r="AA77" s="10">
        <v>7.4999999999999997E-2</v>
      </c>
      <c r="AB77" s="10">
        <v>1</v>
      </c>
      <c r="AC77" s="10">
        <v>5.8623475531555197E-2</v>
      </c>
      <c r="AD77">
        <v>1.2292778642206801E-2</v>
      </c>
      <c r="AE77">
        <v>0.124527484386297</v>
      </c>
    </row>
    <row r="78" spans="1:31" hidden="1">
      <c r="A78" t="s">
        <v>79</v>
      </c>
      <c r="B78" t="s">
        <v>78</v>
      </c>
      <c r="C78" t="s">
        <v>76</v>
      </c>
      <c r="D78" t="s">
        <v>68</v>
      </c>
      <c r="E78">
        <v>20</v>
      </c>
      <c r="F78">
        <v>0.14492753623188401</v>
      </c>
      <c r="G78">
        <v>5</v>
      </c>
      <c r="H78" s="10">
        <v>0.4428281980325674</v>
      </c>
      <c r="I78" s="10">
        <v>0.3980899385797963</v>
      </c>
      <c r="J78" s="10">
        <v>0.50697332640935766</v>
      </c>
      <c r="K78" s="10">
        <v>3.0555145664247152</v>
      </c>
      <c r="L78" s="10">
        <v>2.7468205762005948</v>
      </c>
      <c r="M78" s="10">
        <v>3.4981159522245679</v>
      </c>
      <c r="N78" s="10">
        <v>0.8341525423728815</v>
      </c>
      <c r="O78" s="10">
        <v>0.80834745762711868</v>
      </c>
      <c r="P78" s="10">
        <v>0.85758474576271182</v>
      </c>
      <c r="Q78" s="10">
        <v>0.37489881673411651</v>
      </c>
      <c r="R78" s="10">
        <v>0.34051150644177081</v>
      </c>
      <c r="S78" s="10">
        <v>0.40751650046006949</v>
      </c>
      <c r="T78" s="10">
        <v>0.51875783131231035</v>
      </c>
      <c r="U78" s="10">
        <v>0.3514018691588785</v>
      </c>
      <c r="V78" s="10">
        <v>0.61356237646785261</v>
      </c>
      <c r="W78" s="10">
        <v>0.42031442449475231</v>
      </c>
      <c r="X78" s="10">
        <v>0.28653395784543317</v>
      </c>
      <c r="Y78" s="10">
        <v>0.58583333333333332</v>
      </c>
      <c r="Z78" s="10">
        <v>0.60000000000000009</v>
      </c>
      <c r="AA78" s="10">
        <v>0.32500000000000001</v>
      </c>
      <c r="AB78" s="10">
        <v>0.84</v>
      </c>
      <c r="AC78" s="10">
        <v>0.35145488528185431</v>
      </c>
      <c r="AD78">
        <v>0.1802377504371043</v>
      </c>
      <c r="AE78">
        <v>0.4481425183238627</v>
      </c>
    </row>
    <row r="79" spans="1:31" hidden="1">
      <c r="A79" t="s">
        <v>79</v>
      </c>
      <c r="B79" t="s">
        <v>78</v>
      </c>
      <c r="C79" t="s">
        <v>76</v>
      </c>
      <c r="D79" t="s">
        <v>69</v>
      </c>
      <c r="E79">
        <v>26</v>
      </c>
      <c r="F79">
        <v>0.1884057971014492</v>
      </c>
      <c r="G79">
        <v>5</v>
      </c>
      <c r="H79" s="10">
        <v>0.58843231868482548</v>
      </c>
      <c r="I79" s="10">
        <v>0.55823008033101984</v>
      </c>
      <c r="J79" s="10">
        <v>0.62633381127717103</v>
      </c>
      <c r="K79" s="10">
        <v>3.1232176914809968</v>
      </c>
      <c r="L79" s="10">
        <v>2.9629135032954128</v>
      </c>
      <c r="M79" s="10">
        <v>3.324387152163446</v>
      </c>
      <c r="N79" s="10">
        <v>0.91978021978021984</v>
      </c>
      <c r="O79" s="10">
        <v>0.90985576923076916</v>
      </c>
      <c r="P79" s="10">
        <v>0.93056318681318684</v>
      </c>
      <c r="Q79" s="10">
        <v>0.65994752501984588</v>
      </c>
      <c r="R79" s="10">
        <v>0.63297679546752716</v>
      </c>
      <c r="S79" s="10">
        <v>0.68357837094512641</v>
      </c>
      <c r="T79" s="10">
        <v>0.82981745842702936</v>
      </c>
      <c r="U79" s="10">
        <v>0.82147749510763202</v>
      </c>
      <c r="V79" s="10">
        <v>0.84808757940262192</v>
      </c>
      <c r="W79" s="10">
        <v>0.58179871128604543</v>
      </c>
      <c r="X79" s="10">
        <v>0.53586626139817628</v>
      </c>
      <c r="Y79" s="10">
        <v>0.63353658536585356</v>
      </c>
      <c r="Z79" s="10">
        <v>0.93076923076923079</v>
      </c>
      <c r="AA79" s="10">
        <v>0.88846153846153841</v>
      </c>
      <c r="AB79" s="10">
        <v>0.96153846153846156</v>
      </c>
      <c r="AC79" s="10">
        <v>0.40251365811468509</v>
      </c>
      <c r="AD79">
        <v>0.35446677753854883</v>
      </c>
      <c r="AE79">
        <v>0.44926197218265213</v>
      </c>
    </row>
    <row r="80" spans="1:31" hidden="1">
      <c r="A80" t="s">
        <v>79</v>
      </c>
      <c r="B80" t="s">
        <v>78</v>
      </c>
      <c r="C80" t="s">
        <v>76</v>
      </c>
      <c r="D80" t="s">
        <v>70</v>
      </c>
      <c r="E80">
        <v>7</v>
      </c>
      <c r="F80">
        <v>5.0724637681159403E-2</v>
      </c>
      <c r="G80">
        <v>5</v>
      </c>
      <c r="H80" s="10">
        <v>5.8338376712800698E-2</v>
      </c>
      <c r="I80" s="10">
        <v>4.6715140387069198E-2</v>
      </c>
      <c r="J80" s="10">
        <v>8.1424427566895302E-2</v>
      </c>
      <c r="K80" s="10">
        <v>1.1500994266237861</v>
      </c>
      <c r="L80" s="10">
        <v>0.92095562477365156</v>
      </c>
      <c r="M80" s="10">
        <v>1.605224429175937</v>
      </c>
      <c r="N80" s="10">
        <v>0.47895310796074159</v>
      </c>
      <c r="O80" s="10">
        <v>0.40948745910577961</v>
      </c>
      <c r="P80" s="10">
        <v>0.62791712104689201</v>
      </c>
      <c r="Q80" s="10">
        <v>2.8856522129765E-3</v>
      </c>
      <c r="R80" s="10">
        <v>-5.9358750112699601E-2</v>
      </c>
      <c r="S80" s="10">
        <v>7.1086122893288098E-2</v>
      </c>
      <c r="T80" s="10">
        <v>0.14540283706075019</v>
      </c>
      <c r="U80" s="10">
        <v>7.8125E-3</v>
      </c>
      <c r="V80" s="10">
        <v>0.22748729121278141</v>
      </c>
      <c r="W80" s="10">
        <v>3.72873503630307E-2</v>
      </c>
      <c r="X80" s="10">
        <v>2.7777777777776998E-3</v>
      </c>
      <c r="Y80" s="10">
        <v>5.5623880597014903E-2</v>
      </c>
      <c r="Z80" s="10">
        <v>0.6</v>
      </c>
      <c r="AA80" s="10">
        <v>1.42857142857142E-2</v>
      </c>
      <c r="AB80" s="10">
        <v>1</v>
      </c>
      <c r="AC80" s="10">
        <v>8.1114503281266404E-2</v>
      </c>
      <c r="AD80">
        <v>2.4224505302770101E-2</v>
      </c>
      <c r="AE80">
        <v>0.19999143749084849</v>
      </c>
    </row>
    <row r="81" spans="1:31" hidden="1">
      <c r="A81" t="s">
        <v>79</v>
      </c>
      <c r="B81" t="s">
        <v>78</v>
      </c>
      <c r="C81" t="s">
        <v>76</v>
      </c>
      <c r="D81" t="s">
        <v>71</v>
      </c>
      <c r="E81">
        <v>9</v>
      </c>
      <c r="F81">
        <v>6.5217391304347797E-2</v>
      </c>
      <c r="G81">
        <v>5</v>
      </c>
      <c r="H81" s="10">
        <v>8.0466328844669199E-2</v>
      </c>
      <c r="I81" s="10">
        <v>6.2708518526719506E-2</v>
      </c>
      <c r="J81" s="10">
        <v>0.1075776715633651</v>
      </c>
      <c r="K81" s="10">
        <v>1.2338170422849279</v>
      </c>
      <c r="L81" s="10">
        <v>0.96153061740969925</v>
      </c>
      <c r="M81" s="10">
        <v>1.6495242973049331</v>
      </c>
      <c r="N81" s="10">
        <v>0.46683893195521098</v>
      </c>
      <c r="O81" s="10">
        <v>0.42558139534883721</v>
      </c>
      <c r="P81" s="10">
        <v>0.51912144702842378</v>
      </c>
      <c r="Q81" s="10">
        <v>-2.29289593740678E-2</v>
      </c>
      <c r="R81" s="10">
        <v>-9.4240653490034298E-2</v>
      </c>
      <c r="S81" s="10">
        <v>6.34169344968563E-2</v>
      </c>
      <c r="T81" s="10">
        <v>0.15419838781907741</v>
      </c>
      <c r="U81" s="10">
        <v>0</v>
      </c>
      <c r="V81" s="10">
        <v>0.27506157635467982</v>
      </c>
      <c r="W81" s="10">
        <v>4.0179669498593397E-2</v>
      </c>
      <c r="X81" s="10">
        <v>0</v>
      </c>
      <c r="Y81" s="10">
        <v>7.2873227689741402E-2</v>
      </c>
      <c r="Z81" s="10">
        <v>0.53333333333333333</v>
      </c>
      <c r="AA81" s="10">
        <v>0</v>
      </c>
      <c r="AB81" s="10">
        <v>0.98888888888888882</v>
      </c>
      <c r="AC81" s="10">
        <v>9.0095796858222194E-2</v>
      </c>
      <c r="AD81">
        <v>2.5213534855928098E-2</v>
      </c>
      <c r="AE81">
        <v>0.17869294706171041</v>
      </c>
    </row>
    <row r="82" spans="1:31" hidden="1">
      <c r="A82" t="s">
        <v>79</v>
      </c>
      <c r="B82" t="s">
        <v>78</v>
      </c>
      <c r="C82" t="s">
        <v>83</v>
      </c>
      <c r="D82" t="s">
        <v>67</v>
      </c>
      <c r="E82">
        <v>4</v>
      </c>
      <c r="F82">
        <v>2.8985507246376802E-2</v>
      </c>
      <c r="G82">
        <v>5</v>
      </c>
      <c r="H82" s="10">
        <v>0.1011124777387636</v>
      </c>
      <c r="I82" s="10">
        <v>3.2798935376394403E-2</v>
      </c>
      <c r="J82" s="10">
        <v>0.26073680924330639</v>
      </c>
      <c r="K82" s="10">
        <v>3.4883804819873441</v>
      </c>
      <c r="L82" s="10">
        <v>1.13156327048561</v>
      </c>
      <c r="M82" s="10">
        <v>8.9954199188940702</v>
      </c>
      <c r="N82" s="10">
        <v>0.57014925373134329</v>
      </c>
      <c r="O82" s="10">
        <v>0.43339552238805967</v>
      </c>
      <c r="P82" s="10">
        <v>0.66865671641791047</v>
      </c>
      <c r="Q82" s="10">
        <v>5.7399625256526601E-2</v>
      </c>
      <c r="R82" s="10">
        <v>1.8015713390231398E-2</v>
      </c>
      <c r="S82" s="10">
        <v>9.7967507203236798E-2</v>
      </c>
      <c r="T82" s="10">
        <v>0.14735998407431161</v>
      </c>
      <c r="U82" s="10">
        <v>0.11376146788990819</v>
      </c>
      <c r="V82" s="10">
        <v>0.1846230158730158</v>
      </c>
      <c r="W82" s="10">
        <v>3.6395891900091001E-2</v>
      </c>
      <c r="X82" s="10">
        <v>3.2025806451612897E-2</v>
      </c>
      <c r="Y82" s="10">
        <v>4.58238636363636E-2</v>
      </c>
      <c r="Z82" s="10">
        <v>0.75</v>
      </c>
      <c r="AA82" s="10">
        <v>0.3</v>
      </c>
      <c r="AB82" s="10">
        <v>1</v>
      </c>
      <c r="AC82" s="10">
        <v>1.8915633995238199E-2</v>
      </c>
      <c r="AD82">
        <v>1.05433166307289E-2</v>
      </c>
      <c r="AE82">
        <v>2.93254414533284E-2</v>
      </c>
    </row>
    <row r="83" spans="1:31" hidden="1">
      <c r="A83" t="s">
        <v>79</v>
      </c>
      <c r="B83" t="s">
        <v>78</v>
      </c>
      <c r="C83" t="s">
        <v>83</v>
      </c>
      <c r="D83" t="s">
        <v>68</v>
      </c>
      <c r="E83">
        <v>20</v>
      </c>
      <c r="F83">
        <v>0.14492753623188401</v>
      </c>
      <c r="G83">
        <v>5</v>
      </c>
      <c r="H83" s="10">
        <v>0.26815714358029619</v>
      </c>
      <c r="I83" s="10">
        <v>0.21328538390675189</v>
      </c>
      <c r="J83" s="10">
        <v>0.3053637588281829</v>
      </c>
      <c r="K83" s="10">
        <v>1.850284290704044</v>
      </c>
      <c r="L83" s="10">
        <v>1.4716691489565881</v>
      </c>
      <c r="M83" s="10">
        <v>2.1070099359144621</v>
      </c>
      <c r="N83" s="10">
        <v>0.6702966101694916</v>
      </c>
      <c r="O83" s="10">
        <v>0.60671610169491519</v>
      </c>
      <c r="P83" s="10">
        <v>0.70805084745762714</v>
      </c>
      <c r="Q83" s="10">
        <v>0.21100411427579929</v>
      </c>
      <c r="R83" s="10">
        <v>0.1199936404395551</v>
      </c>
      <c r="S83" s="10">
        <v>0.27994010500344818</v>
      </c>
      <c r="T83" s="10">
        <v>0.35065207545614929</v>
      </c>
      <c r="U83" s="10">
        <v>0.14068719882673369</v>
      </c>
      <c r="V83" s="10">
        <v>0.4728876127973749</v>
      </c>
      <c r="W83" s="10">
        <v>0.3096267412396444</v>
      </c>
      <c r="X83" s="10">
        <v>0.26188769414575858</v>
      </c>
      <c r="Y83" s="10">
        <v>0.34487179487179481</v>
      </c>
      <c r="Z83" s="10">
        <v>0.38</v>
      </c>
      <c r="AA83" s="10">
        <v>0.13</v>
      </c>
      <c r="AB83" s="10">
        <v>0.54</v>
      </c>
      <c r="AC83" s="10">
        <v>0.23681293539547771</v>
      </c>
      <c r="AD83">
        <v>0.13529136041688361</v>
      </c>
      <c r="AE83">
        <v>0.44733994306887231</v>
      </c>
    </row>
    <row r="84" spans="1:31" hidden="1">
      <c r="A84" t="s">
        <v>79</v>
      </c>
      <c r="B84" t="s">
        <v>78</v>
      </c>
      <c r="C84" t="s">
        <v>83</v>
      </c>
      <c r="D84" t="s">
        <v>69</v>
      </c>
      <c r="E84">
        <v>26</v>
      </c>
      <c r="F84">
        <v>0.1884057971014492</v>
      </c>
      <c r="G84">
        <v>5</v>
      </c>
      <c r="H84" s="10">
        <v>0.59320485638121112</v>
      </c>
      <c r="I84" s="10">
        <v>0.49784358903950832</v>
      </c>
      <c r="J84" s="10">
        <v>0.68513665664884682</v>
      </c>
      <c r="K84" s="10">
        <v>3.1485488531002739</v>
      </c>
      <c r="L84" s="10">
        <v>2.642400587978929</v>
      </c>
      <c r="M84" s="10">
        <v>3.6364945622131102</v>
      </c>
      <c r="N84" s="10">
        <v>0.86844093406593414</v>
      </c>
      <c r="O84" s="10">
        <v>0.83607486263736264</v>
      </c>
      <c r="P84" s="10">
        <v>0.89405906593406592</v>
      </c>
      <c r="Q84" s="10">
        <v>0.59113964633194416</v>
      </c>
      <c r="R84" s="10">
        <v>0.55822871383530637</v>
      </c>
      <c r="S84" s="10">
        <v>0.62614303233561219</v>
      </c>
      <c r="T84" s="10">
        <v>0.73004213550882291</v>
      </c>
      <c r="U84" s="10">
        <v>0.69445796161124629</v>
      </c>
      <c r="V84" s="10">
        <v>0.77905073649754497</v>
      </c>
      <c r="W84" s="10">
        <v>0.59205223721352751</v>
      </c>
      <c r="X84" s="10">
        <v>0.56526806526806528</v>
      </c>
      <c r="Y84" s="10">
        <v>0.61290322580645162</v>
      </c>
      <c r="Z84" s="10">
        <v>0.77692307692307694</v>
      </c>
      <c r="AA84" s="10">
        <v>0.73076923076923073</v>
      </c>
      <c r="AB84" s="10">
        <v>0.84615384615384615</v>
      </c>
      <c r="AC84" s="10">
        <v>0.30939032807173528</v>
      </c>
      <c r="AD84">
        <v>0.1651662536780219</v>
      </c>
      <c r="AE84">
        <v>0.45262251884519339</v>
      </c>
    </row>
    <row r="85" spans="1:31" hidden="1">
      <c r="A85" t="s">
        <v>79</v>
      </c>
      <c r="B85" t="s">
        <v>78</v>
      </c>
      <c r="C85" t="s">
        <v>83</v>
      </c>
      <c r="D85" t="s">
        <v>70</v>
      </c>
      <c r="E85">
        <v>7</v>
      </c>
      <c r="F85">
        <v>5.0724637681159403E-2</v>
      </c>
      <c r="G85">
        <v>5</v>
      </c>
      <c r="H85" s="10">
        <v>4.4951087637387498E-2</v>
      </c>
      <c r="I85" s="10">
        <v>4.0218542232414799E-2</v>
      </c>
      <c r="J85" s="10">
        <v>4.81530917549702E-2</v>
      </c>
      <c r="K85" s="10">
        <v>0.88617858485135481</v>
      </c>
      <c r="L85" s="10">
        <v>0.79287983258189321</v>
      </c>
      <c r="M85" s="10">
        <v>0.94930380888369881</v>
      </c>
      <c r="N85" s="10">
        <v>0.37928026172300972</v>
      </c>
      <c r="O85" s="10">
        <v>0.30239912758996718</v>
      </c>
      <c r="P85" s="10">
        <v>0.43075245365321702</v>
      </c>
      <c r="Q85" s="10">
        <v>-1.3422024791886301E-2</v>
      </c>
      <c r="R85" s="10">
        <v>-0.17078067183007861</v>
      </c>
      <c r="S85" s="10">
        <v>0.1008074891393981</v>
      </c>
      <c r="T85" s="10">
        <v>0.1809436768076009</v>
      </c>
      <c r="U85" s="10">
        <v>8.9648943689625393E-2</v>
      </c>
      <c r="V85" s="10">
        <v>0.2433060360691939</v>
      </c>
      <c r="W85" s="10">
        <v>4.56242682540123E-2</v>
      </c>
      <c r="X85" s="10">
        <v>2.35776881346501E-2</v>
      </c>
      <c r="Y85" s="10">
        <v>6.0427769985974697E-2</v>
      </c>
      <c r="Z85" s="10">
        <v>0.71428571428571419</v>
      </c>
      <c r="AA85" s="10">
        <v>0.3</v>
      </c>
      <c r="AB85" s="10">
        <v>1</v>
      </c>
      <c r="AC85" s="10">
        <v>4.1679474730719597E-2</v>
      </c>
      <c r="AD85">
        <v>2.64046382399181E-2</v>
      </c>
      <c r="AE85">
        <v>5.9359499579245897E-2</v>
      </c>
    </row>
    <row r="86" spans="1:31" hidden="1">
      <c r="A86" t="s">
        <v>79</v>
      </c>
      <c r="B86" t="s">
        <v>78</v>
      </c>
      <c r="C86" t="s">
        <v>83</v>
      </c>
      <c r="D86" t="s">
        <v>71</v>
      </c>
      <c r="E86">
        <v>9</v>
      </c>
      <c r="F86">
        <v>6.5217391304347797E-2</v>
      </c>
      <c r="G86">
        <v>5</v>
      </c>
      <c r="H86" s="10">
        <v>6.2839874821068106E-2</v>
      </c>
      <c r="I86" s="10">
        <v>4.68379886084693E-2</v>
      </c>
      <c r="J86" s="10">
        <v>9.5855871299228207E-2</v>
      </c>
      <c r="K86" s="10">
        <v>0.96354474725637795</v>
      </c>
      <c r="L86" s="10">
        <v>0.71818249199652973</v>
      </c>
      <c r="M86" s="10">
        <v>1.4697900265881669</v>
      </c>
      <c r="N86" s="10">
        <v>0.37708871662360027</v>
      </c>
      <c r="O86" s="10">
        <v>0.2708871662360034</v>
      </c>
      <c r="P86" s="10">
        <v>0.47683031869078379</v>
      </c>
      <c r="Q86" s="10">
        <v>-2.845505547983E-3</v>
      </c>
      <c r="R86" s="10">
        <v>-9.1237095828608006E-2</v>
      </c>
      <c r="S86" s="10">
        <v>6.0073208611960499E-2</v>
      </c>
      <c r="T86" s="10">
        <v>0.2485064935323878</v>
      </c>
      <c r="U86" s="10">
        <v>0.2211395233366435</v>
      </c>
      <c r="V86" s="10">
        <v>0.26914218899479148</v>
      </c>
      <c r="W86" s="10">
        <v>6.4058705273446204E-2</v>
      </c>
      <c r="X86" s="10">
        <v>5.7253994953742601E-2</v>
      </c>
      <c r="Y86" s="10">
        <v>6.8598978361935306E-2</v>
      </c>
      <c r="Z86" s="10">
        <v>0.88888888888888895</v>
      </c>
      <c r="AA86" s="10">
        <v>0.77777777777777779</v>
      </c>
      <c r="AB86" s="10">
        <v>1</v>
      </c>
      <c r="AC86" s="10">
        <v>4.1356955533874099E-2</v>
      </c>
      <c r="AD86">
        <v>2.6273749495327899E-2</v>
      </c>
      <c r="AE86">
        <v>5.27014033604086E-2</v>
      </c>
    </row>
    <row r="87" spans="1:31" hidden="1">
      <c r="A87" t="s">
        <v>79</v>
      </c>
      <c r="B87" t="s">
        <v>78</v>
      </c>
      <c r="C87" t="s">
        <v>84</v>
      </c>
      <c r="D87" t="s">
        <v>67</v>
      </c>
      <c r="E87">
        <v>4</v>
      </c>
      <c r="F87">
        <v>2.8985507246376802E-2</v>
      </c>
      <c r="G87">
        <v>5</v>
      </c>
      <c r="H87" s="10">
        <v>6.7312420859907504E-2</v>
      </c>
      <c r="I87" s="10">
        <v>5.8317899820555297E-2</v>
      </c>
      <c r="J87" s="10">
        <v>8.2760161947790706E-2</v>
      </c>
      <c r="K87" s="10">
        <v>2.322278519666809</v>
      </c>
      <c r="L87" s="10">
        <v>2.0119675438091611</v>
      </c>
      <c r="M87" s="10">
        <v>2.8552255871987811</v>
      </c>
      <c r="N87" s="10">
        <v>0.72462686567164192</v>
      </c>
      <c r="O87" s="10">
        <v>0.68022388059701488</v>
      </c>
      <c r="P87" s="10">
        <v>0.76548507462686566</v>
      </c>
      <c r="Q87" s="10">
        <v>9.7456706502549104E-2</v>
      </c>
      <c r="R87" s="10">
        <v>-3.13861632943346E-2</v>
      </c>
      <c r="S87" s="10">
        <v>0.19189884696637069</v>
      </c>
      <c r="T87" s="10">
        <v>0.1764147147930189</v>
      </c>
      <c r="U87" s="10">
        <v>1.6528925619834701E-2</v>
      </c>
      <c r="V87" s="10">
        <v>0.2951153324287652</v>
      </c>
      <c r="W87" s="10">
        <v>5.2436974789915901E-2</v>
      </c>
      <c r="X87" s="10">
        <v>3.8095238095238E-3</v>
      </c>
      <c r="Y87" s="10">
        <v>0.1117647058823529</v>
      </c>
      <c r="Z87" s="10">
        <v>0.6</v>
      </c>
      <c r="AA87" s="10">
        <v>0.05</v>
      </c>
      <c r="AB87" s="10">
        <v>0.97499999999999998</v>
      </c>
      <c r="AC87" s="10">
        <v>2.760190649515E-2</v>
      </c>
      <c r="AD87">
        <v>7.2584589754075999E-3</v>
      </c>
      <c r="AE87">
        <v>7.2643083912755604E-2</v>
      </c>
    </row>
    <row r="88" spans="1:31" hidden="1">
      <c r="A88" t="s">
        <v>79</v>
      </c>
      <c r="B88" t="s">
        <v>78</v>
      </c>
      <c r="C88" t="s">
        <v>84</v>
      </c>
      <c r="D88" t="s">
        <v>68</v>
      </c>
      <c r="E88">
        <v>20</v>
      </c>
      <c r="F88">
        <v>0.14492753623188401</v>
      </c>
      <c r="G88">
        <v>5</v>
      </c>
      <c r="H88" s="10">
        <v>0.44558000126951458</v>
      </c>
      <c r="I88" s="10">
        <v>0.37492871907909908</v>
      </c>
      <c r="J88" s="10">
        <v>0.50063237399412464</v>
      </c>
      <c r="K88" s="10">
        <v>3.0745020087596502</v>
      </c>
      <c r="L88" s="10">
        <v>2.587008161645783</v>
      </c>
      <c r="M88" s="10">
        <v>3.4543633805594598</v>
      </c>
      <c r="N88" s="10">
        <v>0.79559322033898305</v>
      </c>
      <c r="O88" s="10">
        <v>0.74050847457627111</v>
      </c>
      <c r="P88" s="10">
        <v>0.82601694915254253</v>
      </c>
      <c r="Q88" s="10">
        <v>0.26236632337177213</v>
      </c>
      <c r="R88" s="10">
        <v>0.12122373944758071</v>
      </c>
      <c r="S88" s="10">
        <v>0.36374043554516827</v>
      </c>
      <c r="T88" s="10">
        <v>0.33035776996386018</v>
      </c>
      <c r="U88" s="10">
        <v>0.1659987071751777</v>
      </c>
      <c r="V88" s="10">
        <v>0.52096708655018287</v>
      </c>
      <c r="W88" s="10">
        <v>0.41550745550745549</v>
      </c>
      <c r="X88" s="10">
        <v>0.27974025974025968</v>
      </c>
      <c r="Y88" s="10">
        <v>0.58545454545454545</v>
      </c>
      <c r="Z88" s="10">
        <v>0.33999999999999991</v>
      </c>
      <c r="AA88" s="10">
        <v>0.15</v>
      </c>
      <c r="AB88" s="10">
        <v>0.59499999999999997</v>
      </c>
      <c r="AC88" s="10">
        <v>0.55897780620228121</v>
      </c>
      <c r="AD88">
        <v>0.1924666419488251</v>
      </c>
      <c r="AE88">
        <v>0.930459659137019</v>
      </c>
    </row>
    <row r="89" spans="1:31" hidden="1">
      <c r="A89" t="s">
        <v>79</v>
      </c>
      <c r="B89" t="s">
        <v>78</v>
      </c>
      <c r="C89" t="s">
        <v>84</v>
      </c>
      <c r="D89" t="s">
        <v>69</v>
      </c>
      <c r="E89">
        <v>26</v>
      </c>
      <c r="F89">
        <v>0.1884057971014492</v>
      </c>
      <c r="G89">
        <v>5</v>
      </c>
      <c r="H89" s="10">
        <v>0.58306252240058742</v>
      </c>
      <c r="I89" s="10">
        <v>0.52265034722973558</v>
      </c>
      <c r="J89" s="10">
        <v>0.64751523808048395</v>
      </c>
      <c r="K89" s="10">
        <v>3.094716465049272</v>
      </c>
      <c r="L89" s="10">
        <v>2.7740672276039811</v>
      </c>
      <c r="M89" s="10">
        <v>3.4368116482733382</v>
      </c>
      <c r="N89" s="10">
        <v>0.89848901098901091</v>
      </c>
      <c r="O89" s="10">
        <v>0.86785714285714277</v>
      </c>
      <c r="P89" s="10">
        <v>0.92208104395604384</v>
      </c>
      <c r="Q89" s="10">
        <v>0.60024541342221682</v>
      </c>
      <c r="R89" s="10">
        <v>0.55214318984815947</v>
      </c>
      <c r="S89" s="10">
        <v>0.65222403634426229</v>
      </c>
      <c r="T89" s="10">
        <v>0.79158813470373723</v>
      </c>
      <c r="U89" s="10">
        <v>0.73519736842105265</v>
      </c>
      <c r="V89" s="10">
        <v>0.83545313746656025</v>
      </c>
      <c r="W89" s="10">
        <v>0.52839945170133851</v>
      </c>
      <c r="X89" s="10">
        <v>0.4745283018867924</v>
      </c>
      <c r="Y89" s="10">
        <v>0.58632478632478635</v>
      </c>
      <c r="Z89" s="10">
        <v>0.90769230769230758</v>
      </c>
      <c r="AA89" s="10">
        <v>0.81538461538461537</v>
      </c>
      <c r="AB89" s="10">
        <v>0.96153846153846156</v>
      </c>
      <c r="AC89" s="10">
        <v>0.11559947829880771</v>
      </c>
      <c r="AD89">
        <v>4.5580158130251701E-2</v>
      </c>
      <c r="AE89">
        <v>0.2461375155058039</v>
      </c>
    </row>
    <row r="90" spans="1:31" hidden="1">
      <c r="A90" t="s">
        <v>79</v>
      </c>
      <c r="B90" t="s">
        <v>78</v>
      </c>
      <c r="C90" t="s">
        <v>84</v>
      </c>
      <c r="D90" t="s">
        <v>70</v>
      </c>
      <c r="E90">
        <v>7</v>
      </c>
      <c r="F90">
        <v>5.0724637681159403E-2</v>
      </c>
      <c r="G90">
        <v>5</v>
      </c>
      <c r="H90" s="10">
        <v>5.64162829068885E-2</v>
      </c>
      <c r="I90" s="10">
        <v>4.1809105543385003E-2</v>
      </c>
      <c r="J90" s="10">
        <v>7.5548620108834896E-2</v>
      </c>
      <c r="K90" s="10">
        <v>1.1122067201643731</v>
      </c>
      <c r="L90" s="10">
        <v>0.82423665214102004</v>
      </c>
      <c r="M90" s="10">
        <v>1.4893870821456019</v>
      </c>
      <c r="N90" s="10">
        <v>0.46412213740458008</v>
      </c>
      <c r="O90" s="10">
        <v>0.34732824427480918</v>
      </c>
      <c r="P90" s="10">
        <v>0.58331515812431844</v>
      </c>
      <c r="Q90" s="10">
        <v>-1.6849984677313301E-2</v>
      </c>
      <c r="R90" s="10">
        <v>-7.9884329176268198E-2</v>
      </c>
      <c r="S90" s="10">
        <v>5.8256755090954702E-2</v>
      </c>
      <c r="T90" s="10">
        <v>0.2009503856346421</v>
      </c>
      <c r="U90" s="10">
        <v>0.17503996346197759</v>
      </c>
      <c r="V90" s="10">
        <v>0.2304146020196951</v>
      </c>
      <c r="W90" s="10">
        <v>5.0634786888961801E-2</v>
      </c>
      <c r="X90" s="10">
        <v>4.3339587242026197E-2</v>
      </c>
      <c r="Y90" s="10">
        <v>6.1920703002406097E-2</v>
      </c>
      <c r="Z90" s="10">
        <v>0.8</v>
      </c>
      <c r="AA90" s="10">
        <v>0.7142857142857143</v>
      </c>
      <c r="AB90" s="10">
        <v>0.8571428571428571</v>
      </c>
      <c r="AC90" s="10">
        <v>4.5314727423492003E-3</v>
      </c>
      <c r="AD90">
        <v>3.3592998966405999E-3</v>
      </c>
      <c r="AE90">
        <v>7.7771930095070002E-3</v>
      </c>
    </row>
    <row r="91" spans="1:31" hidden="1">
      <c r="A91" t="s">
        <v>79</v>
      </c>
      <c r="B91" t="s">
        <v>78</v>
      </c>
      <c r="C91" t="s">
        <v>84</v>
      </c>
      <c r="D91" t="s">
        <v>71</v>
      </c>
      <c r="E91">
        <v>9</v>
      </c>
      <c r="F91">
        <v>6.5217391304347797E-2</v>
      </c>
      <c r="G91">
        <v>5</v>
      </c>
      <c r="H91" s="10">
        <v>8.9087429729520204E-2</v>
      </c>
      <c r="I91" s="10">
        <v>7.8332053525248094E-2</v>
      </c>
      <c r="J91" s="10">
        <v>0.10349766143591881</v>
      </c>
      <c r="K91" s="10">
        <v>1.3660072558526439</v>
      </c>
      <c r="L91" s="10">
        <v>1.2010914873871379</v>
      </c>
      <c r="M91" s="10">
        <v>1.586964142017423</v>
      </c>
      <c r="N91" s="10">
        <v>0.57605512489233424</v>
      </c>
      <c r="O91" s="10">
        <v>0.49534883720930228</v>
      </c>
      <c r="P91" s="10">
        <v>0.66201550387596897</v>
      </c>
      <c r="Q91" s="10">
        <v>7.1316287737475002E-3</v>
      </c>
      <c r="R91" s="10">
        <v>-3.00971658976481E-2</v>
      </c>
      <c r="S91" s="10">
        <v>2.9311646833490201E-2</v>
      </c>
      <c r="T91" s="10">
        <v>0.1668925739005046</v>
      </c>
      <c r="U91" s="10">
        <v>1.9736842105263101E-2</v>
      </c>
      <c r="V91" s="10">
        <v>0.23575342465753421</v>
      </c>
      <c r="W91" s="10">
        <v>5.8111888111888103E-2</v>
      </c>
      <c r="X91" s="10">
        <v>6.3636363636362997E-3</v>
      </c>
      <c r="Y91" s="10">
        <v>7.67307692307692E-2</v>
      </c>
      <c r="Z91" s="10">
        <v>0.35555555555555551</v>
      </c>
      <c r="AA91" s="10">
        <v>3.3333333333333298E-2</v>
      </c>
      <c r="AB91" s="10">
        <v>0.73333333333333328</v>
      </c>
      <c r="AC91" s="10">
        <v>9.4548989314422099E-2</v>
      </c>
      <c r="AD91">
        <v>5.2482396146708004E-3</v>
      </c>
      <c r="AE91">
        <v>0.35364592072861878</v>
      </c>
    </row>
    <row r="92" spans="1:31">
      <c r="A92" t="s">
        <v>87</v>
      </c>
      <c r="B92" t="s">
        <v>65</v>
      </c>
      <c r="C92" t="s">
        <v>80</v>
      </c>
      <c r="D92" t="s">
        <v>67</v>
      </c>
      <c r="E92">
        <v>4</v>
      </c>
      <c r="F92">
        <v>2.8985507246376802E-2</v>
      </c>
      <c r="G92">
        <v>5</v>
      </c>
      <c r="H92" s="10">
        <v>0.18773048418256219</v>
      </c>
      <c r="I92" s="10">
        <v>4.0754843465712197E-2</v>
      </c>
      <c r="J92" s="10">
        <v>0.3129430069803053</v>
      </c>
      <c r="K92" s="10">
        <v>6.4767017042983976</v>
      </c>
      <c r="L92" s="10">
        <v>1.4060420995670739</v>
      </c>
      <c r="M92" s="10">
        <v>10.796533740820539</v>
      </c>
      <c r="N92" s="10">
        <v>0.61641791044776117</v>
      </c>
      <c r="O92" s="10">
        <v>0.46250000000000002</v>
      </c>
      <c r="P92" s="10">
        <v>0.88861940298507458</v>
      </c>
      <c r="Q92" s="10">
        <v>8.42140216477507E-2</v>
      </c>
      <c r="R92" s="10">
        <v>-9.5788077132203497E-2</v>
      </c>
      <c r="S92" s="10">
        <v>0.37251051953119269</v>
      </c>
      <c r="T92" s="10">
        <v>0.22339058555224209</v>
      </c>
      <c r="U92" s="10">
        <v>9.4675529814400403E-2</v>
      </c>
      <c r="V92" s="10">
        <v>0.49932523616734131</v>
      </c>
      <c r="W92" s="10">
        <v>6.9809001593109501E-2</v>
      </c>
      <c r="X92" s="10">
        <v>2.21611721611721E-2</v>
      </c>
      <c r="Y92" s="10">
        <v>0.1723320158102766</v>
      </c>
      <c r="Z92" s="10">
        <v>0.65</v>
      </c>
      <c r="AA92" s="10">
        <v>0.5</v>
      </c>
      <c r="AB92" s="10">
        <v>0.97499999999999998</v>
      </c>
      <c r="AC92" s="10">
        <v>2.9679095180728199E-2</v>
      </c>
      <c r="AD92">
        <v>1.949323112742E-4</v>
      </c>
      <c r="AE92">
        <v>9.2916174421300707E-2</v>
      </c>
    </row>
    <row r="93" spans="1:31">
      <c r="A93" t="s">
        <v>85</v>
      </c>
      <c r="B93" t="s">
        <v>65</v>
      </c>
      <c r="C93" t="s">
        <v>80</v>
      </c>
      <c r="D93" t="s">
        <v>68</v>
      </c>
      <c r="E93">
        <v>20</v>
      </c>
      <c r="F93">
        <v>0.14492753623188401</v>
      </c>
      <c r="G93">
        <v>5</v>
      </c>
      <c r="H93" s="10">
        <v>0.20540362758989089</v>
      </c>
      <c r="I93" s="10">
        <v>0.16632466175908289</v>
      </c>
      <c r="J93" s="10">
        <v>0.241783770634312</v>
      </c>
      <c r="K93" s="10">
        <v>1.4172850303702469</v>
      </c>
      <c r="L93" s="10">
        <v>1.1476401661376729</v>
      </c>
      <c r="M93" s="10">
        <v>1.668308017376753</v>
      </c>
      <c r="N93" s="10">
        <v>0.62127118644067791</v>
      </c>
      <c r="O93" s="10">
        <v>0.55745762711864411</v>
      </c>
      <c r="P93" s="10">
        <v>0.66771186440677965</v>
      </c>
      <c r="Q93" s="10">
        <v>0.10818881425683451</v>
      </c>
      <c r="R93" s="10">
        <v>3.3501117995834599E-2</v>
      </c>
      <c r="S93" s="10">
        <v>0.19674094028995959</v>
      </c>
      <c r="T93" s="10">
        <v>0.38926656397265652</v>
      </c>
      <c r="U93" s="10">
        <v>0.25028571428571428</v>
      </c>
      <c r="V93" s="10">
        <v>0.47492317822651448</v>
      </c>
      <c r="W93" s="10">
        <v>0.19489031496362871</v>
      </c>
      <c r="X93" s="10">
        <v>0.1532391362303385</v>
      </c>
      <c r="Y93" s="10">
        <v>0.2289285714285714</v>
      </c>
      <c r="Z93" s="10">
        <v>0.57000000000000006</v>
      </c>
      <c r="AA93" s="10">
        <v>0.27</v>
      </c>
      <c r="AB93" s="10">
        <v>0.875</v>
      </c>
      <c r="AC93" s="10">
        <v>0.41620325105699602</v>
      </c>
      <c r="AD93">
        <v>3.9747052270206598E-2</v>
      </c>
      <c r="AE93">
        <v>0.71800058765401253</v>
      </c>
    </row>
    <row r="94" spans="1:31">
      <c r="A94" t="s">
        <v>85</v>
      </c>
      <c r="B94" t="s">
        <v>65</v>
      </c>
      <c r="C94" t="s">
        <v>80</v>
      </c>
      <c r="D94" t="s">
        <v>69</v>
      </c>
      <c r="E94">
        <v>26</v>
      </c>
      <c r="F94">
        <v>0.1884057971014492</v>
      </c>
      <c r="G94">
        <v>5</v>
      </c>
      <c r="H94" s="10">
        <v>0.43175872155356509</v>
      </c>
      <c r="I94" s="10">
        <v>0.4114435036734973</v>
      </c>
      <c r="J94" s="10">
        <v>0.46796940552286193</v>
      </c>
      <c r="K94" s="10">
        <v>2.291642445168923</v>
      </c>
      <c r="L94" s="10">
        <v>2.1838155194977928</v>
      </c>
      <c r="M94" s="10">
        <v>2.4838376139290359</v>
      </c>
      <c r="N94" s="10">
        <v>0.81284340659340659</v>
      </c>
      <c r="O94" s="10">
        <v>0.80549450549450541</v>
      </c>
      <c r="P94" s="10">
        <v>0.81971153846153844</v>
      </c>
      <c r="Q94" s="10">
        <v>0.46704914220900717</v>
      </c>
      <c r="R94" s="10">
        <v>0.44651441482354398</v>
      </c>
      <c r="S94" s="10">
        <v>0.50236197803178873</v>
      </c>
      <c r="T94" s="10">
        <v>0.68070439144080197</v>
      </c>
      <c r="U94" s="10">
        <v>0.65068493150684936</v>
      </c>
      <c r="V94" s="10">
        <v>0.73352523272905445</v>
      </c>
      <c r="W94" s="10">
        <v>0.44986868477434511</v>
      </c>
      <c r="X94" s="10">
        <v>0.41781567489114663</v>
      </c>
      <c r="Y94" s="10">
        <v>0.4836996336996337</v>
      </c>
      <c r="Z94" s="10">
        <v>0.78461538461538471</v>
      </c>
      <c r="AA94" s="10">
        <v>0.73076923076923073</v>
      </c>
      <c r="AB94" s="10">
        <v>0.88076923076923075</v>
      </c>
      <c r="AC94" s="10">
        <v>0.50796252452847424</v>
      </c>
      <c r="AD94">
        <v>0.40605755051733389</v>
      </c>
      <c r="AE94">
        <v>0.63349702886266213</v>
      </c>
    </row>
    <row r="95" spans="1:31">
      <c r="A95" t="s">
        <v>85</v>
      </c>
      <c r="B95" t="s">
        <v>65</v>
      </c>
      <c r="C95" t="s">
        <v>80</v>
      </c>
      <c r="D95" t="s">
        <v>70</v>
      </c>
      <c r="E95">
        <v>7</v>
      </c>
      <c r="F95">
        <v>5.0724637681159403E-2</v>
      </c>
      <c r="G95">
        <v>5</v>
      </c>
      <c r="H95" s="10">
        <v>5.27814878197908E-2</v>
      </c>
      <c r="I95" s="10">
        <v>4.2945175756175798E-2</v>
      </c>
      <c r="J95" s="10">
        <v>5.7125546870087002E-2</v>
      </c>
      <c r="K95" s="10">
        <v>1.040549331304448</v>
      </c>
      <c r="L95" s="10">
        <v>0.84663346490746683</v>
      </c>
      <c r="M95" s="10">
        <v>1.1261893525817159</v>
      </c>
      <c r="N95" s="10">
        <v>0.40828789531079601</v>
      </c>
      <c r="O95" s="10">
        <v>0.34907306434023988</v>
      </c>
      <c r="P95" s="10">
        <v>0.47175572519083958</v>
      </c>
      <c r="Q95" s="10">
        <v>-3.3271430629941798E-2</v>
      </c>
      <c r="R95" s="10">
        <v>-8.2610556686448997E-2</v>
      </c>
      <c r="S95" s="10">
        <v>3.4936468761813999E-2</v>
      </c>
      <c r="T95" s="10">
        <v>0.16072185836686509</v>
      </c>
      <c r="U95" s="10">
        <v>1.9108280254777E-2</v>
      </c>
      <c r="V95" s="10">
        <v>0.21708029197080289</v>
      </c>
      <c r="W95" s="10">
        <v>4.0069597141475198E-2</v>
      </c>
      <c r="X95" s="10">
        <v>4.6511627906975998E-3</v>
      </c>
      <c r="Y95" s="10">
        <v>5.46959235789274E-2</v>
      </c>
      <c r="Z95" s="10">
        <v>0.65714285714285714</v>
      </c>
      <c r="AA95" s="10">
        <v>7.1428571428571397E-2</v>
      </c>
      <c r="AB95" s="10">
        <v>0.8571428571428571</v>
      </c>
      <c r="AC95" s="10">
        <v>0.1050595273015086</v>
      </c>
      <c r="AD95">
        <v>8.4326068158498084E-5</v>
      </c>
      <c r="AE95">
        <v>0.45193717920866461</v>
      </c>
    </row>
    <row r="96" spans="1:31">
      <c r="A96" t="s">
        <v>85</v>
      </c>
      <c r="B96" t="s">
        <v>65</v>
      </c>
      <c r="C96" t="s">
        <v>80</v>
      </c>
      <c r="D96" t="s">
        <v>71</v>
      </c>
      <c r="E96">
        <v>9</v>
      </c>
      <c r="F96">
        <v>6.5217391304347797E-2</v>
      </c>
      <c r="G96">
        <v>5</v>
      </c>
      <c r="H96" s="10">
        <v>6.2319624282702699E-2</v>
      </c>
      <c r="I96" s="10">
        <v>5.31367103568492E-2</v>
      </c>
      <c r="J96" s="10">
        <v>7.4452119638838604E-2</v>
      </c>
      <c r="K96" s="10">
        <v>0.95556757233477485</v>
      </c>
      <c r="L96" s="10">
        <v>0.81476289213835584</v>
      </c>
      <c r="M96" s="10">
        <v>1.1415991677955259</v>
      </c>
      <c r="N96" s="10">
        <v>0.39293712316968121</v>
      </c>
      <c r="O96" s="10">
        <v>0.35288544358311802</v>
      </c>
      <c r="P96" s="10">
        <v>0.45874246339362618</v>
      </c>
      <c r="Q96" s="10">
        <v>-3.2405277159696599E-2</v>
      </c>
      <c r="R96" s="10">
        <v>-0.15373277457203721</v>
      </c>
      <c r="S96" s="10">
        <v>0.1092879961021746</v>
      </c>
      <c r="T96" s="10">
        <v>0.17456053783312439</v>
      </c>
      <c r="U96" s="10">
        <v>1.8248175182481698E-2</v>
      </c>
      <c r="V96" s="10">
        <v>0.28821192052980132</v>
      </c>
      <c r="W96" s="10">
        <v>5.09377793966687E-2</v>
      </c>
      <c r="X96" s="10">
        <v>4.9504950495049002E-3</v>
      </c>
      <c r="Y96" s="10">
        <v>7.8127090301003302E-2</v>
      </c>
      <c r="Z96" s="10">
        <v>0.51111111111111107</v>
      </c>
      <c r="AA96" s="10">
        <v>3.3333333333333298E-2</v>
      </c>
      <c r="AB96" s="10">
        <v>0.96666666666666679</v>
      </c>
      <c r="AC96" s="10">
        <v>0.2788771055234156</v>
      </c>
      <c r="AD96">
        <v>6.6635176805571001E-3</v>
      </c>
      <c r="AE96">
        <v>0.8095065347233934</v>
      </c>
    </row>
    <row r="97" spans="1:31" hidden="1">
      <c r="A97" t="s">
        <v>85</v>
      </c>
      <c r="B97" t="s">
        <v>65</v>
      </c>
      <c r="C97" t="s">
        <v>81</v>
      </c>
      <c r="D97" t="s">
        <v>67</v>
      </c>
      <c r="E97">
        <v>4</v>
      </c>
      <c r="F97">
        <v>2.8985507246376802E-2</v>
      </c>
      <c r="G97">
        <v>5</v>
      </c>
      <c r="H97" s="10">
        <v>6.9278028734550398E-2</v>
      </c>
      <c r="I97" s="10">
        <v>4.57651044607566E-2</v>
      </c>
      <c r="J97" s="10">
        <v>8.3689182194616907E-2</v>
      </c>
      <c r="K97" s="10">
        <v>2.3900919913419911</v>
      </c>
      <c r="L97" s="10">
        <v>1.578896103896104</v>
      </c>
      <c r="M97" s="10">
        <v>2.887276785714286</v>
      </c>
      <c r="N97" s="10">
        <v>0.63171641791044775</v>
      </c>
      <c r="O97" s="10">
        <v>0.55447761194029843</v>
      </c>
      <c r="P97" s="10">
        <v>0.68563432835820892</v>
      </c>
      <c r="Q97" s="10">
        <v>6.3281052734742299E-2</v>
      </c>
      <c r="R97" s="10">
        <v>0</v>
      </c>
      <c r="S97" s="10">
        <v>0.19011297966877419</v>
      </c>
      <c r="T97" s="10">
        <v>0.17698967698967691</v>
      </c>
      <c r="U97" s="10">
        <v>0.1298701298701298</v>
      </c>
      <c r="V97" s="10">
        <v>0.29195804195804198</v>
      </c>
      <c r="W97" s="10">
        <v>6.09207161125319E-2</v>
      </c>
      <c r="X97" s="10">
        <v>2.8985507246376802E-2</v>
      </c>
      <c r="Y97" s="10">
        <v>0.11588235294117639</v>
      </c>
      <c r="Z97" s="10">
        <v>0.75</v>
      </c>
      <c r="AA97" s="10">
        <v>0.27500000000000002</v>
      </c>
      <c r="AB97" s="10">
        <v>1</v>
      </c>
      <c r="AC97" s="10">
        <v>6.9570506087881206E-2</v>
      </c>
      <c r="AD97">
        <v>0</v>
      </c>
      <c r="AE97">
        <v>0.18233313128948789</v>
      </c>
    </row>
    <row r="98" spans="1:31" hidden="1">
      <c r="A98" t="s">
        <v>85</v>
      </c>
      <c r="B98" t="s">
        <v>65</v>
      </c>
      <c r="C98" t="s">
        <v>81</v>
      </c>
      <c r="D98" t="s">
        <v>68</v>
      </c>
      <c r="E98">
        <v>20</v>
      </c>
      <c r="F98">
        <v>0.14492753623188401</v>
      </c>
      <c r="G98">
        <v>5</v>
      </c>
      <c r="H98" s="10">
        <v>0.25234170294634101</v>
      </c>
      <c r="I98" s="10">
        <v>0.20083095919702609</v>
      </c>
      <c r="J98" s="10">
        <v>0.30300714815860519</v>
      </c>
      <c r="K98" s="10">
        <v>1.741157750329754</v>
      </c>
      <c r="L98" s="10">
        <v>1.38573361845948</v>
      </c>
      <c r="M98" s="10">
        <v>2.0907493222943758</v>
      </c>
      <c r="N98" s="10">
        <v>0.65855932203389833</v>
      </c>
      <c r="O98" s="10">
        <v>0.60406779661016952</v>
      </c>
      <c r="P98" s="10">
        <v>0.68220338983050843</v>
      </c>
      <c r="Q98" s="10">
        <v>0.14416234479340159</v>
      </c>
      <c r="R98" s="10">
        <v>-4.0674605874579998E-4</v>
      </c>
      <c r="S98" s="10">
        <v>0.27257624538763708</v>
      </c>
      <c r="T98" s="10">
        <v>0.26705549810525209</v>
      </c>
      <c r="U98" s="10">
        <v>5.7233924611973297E-2</v>
      </c>
      <c r="V98" s="10">
        <v>0.4674718196457327</v>
      </c>
      <c r="W98" s="10">
        <v>0.28785714285714281</v>
      </c>
      <c r="X98" s="10">
        <v>0.1339285714285714</v>
      </c>
      <c r="Y98" s="10">
        <v>0.48142857142857137</v>
      </c>
      <c r="Z98" s="10">
        <v>0.3</v>
      </c>
      <c r="AA98" s="10">
        <v>0.05</v>
      </c>
      <c r="AB98" s="10">
        <v>0.54</v>
      </c>
      <c r="AC98" s="10">
        <v>0.42407446265532711</v>
      </c>
      <c r="AD98">
        <v>0.2169356997874814</v>
      </c>
      <c r="AE98">
        <v>0.7066863831904564</v>
      </c>
    </row>
    <row r="99" spans="1:31" hidden="1">
      <c r="A99" t="s">
        <v>85</v>
      </c>
      <c r="B99" t="s">
        <v>65</v>
      </c>
      <c r="C99" t="s">
        <v>81</v>
      </c>
      <c r="D99" t="s">
        <v>69</v>
      </c>
      <c r="E99">
        <v>26</v>
      </c>
      <c r="F99">
        <v>0.1884057971014492</v>
      </c>
      <c r="G99">
        <v>5</v>
      </c>
      <c r="H99" s="10">
        <v>0.49197643508993272</v>
      </c>
      <c r="I99" s="10">
        <v>0.405328994058064</v>
      </c>
      <c r="J99" s="10">
        <v>0.54609669599685462</v>
      </c>
      <c r="K99" s="10">
        <v>2.611259540092719</v>
      </c>
      <c r="L99" s="10">
        <v>2.151361583846648</v>
      </c>
      <c r="M99" s="10">
        <v>2.89851323259869</v>
      </c>
      <c r="N99" s="10">
        <v>0.77678571428571419</v>
      </c>
      <c r="O99" s="10">
        <v>0.75097870879120876</v>
      </c>
      <c r="P99" s="10">
        <v>0.81535027472527477</v>
      </c>
      <c r="Q99" s="10">
        <v>0.38798802972277863</v>
      </c>
      <c r="R99" s="10">
        <v>0.27764857947367438</v>
      </c>
      <c r="S99" s="10">
        <v>0.49981161331841789</v>
      </c>
      <c r="T99" s="10">
        <v>0.52903215148026084</v>
      </c>
      <c r="U99" s="10">
        <v>0.39591733870967738</v>
      </c>
      <c r="V99" s="10">
        <v>0.68321917808219179</v>
      </c>
      <c r="W99" s="10">
        <v>0.47798941798941802</v>
      </c>
      <c r="X99" s="10">
        <v>0.4059523809523809</v>
      </c>
      <c r="Y99" s="10">
        <v>0.54685185185185192</v>
      </c>
      <c r="Z99" s="10">
        <v>0.55384615384615388</v>
      </c>
      <c r="AA99" s="10">
        <v>0.38846153846153841</v>
      </c>
      <c r="AB99" s="10">
        <v>0.75769230769230766</v>
      </c>
      <c r="AC99" s="10">
        <v>0.36301610321632422</v>
      </c>
      <c r="AD99">
        <v>0.21991806197484939</v>
      </c>
      <c r="AE99">
        <v>0.56302057174121001</v>
      </c>
    </row>
    <row r="100" spans="1:31" hidden="1">
      <c r="A100" t="s">
        <v>85</v>
      </c>
      <c r="B100" t="s">
        <v>65</v>
      </c>
      <c r="C100" t="s">
        <v>81</v>
      </c>
      <c r="D100" t="s">
        <v>70</v>
      </c>
      <c r="E100">
        <v>7</v>
      </c>
      <c r="F100">
        <v>5.0724637681159403E-2</v>
      </c>
      <c r="G100">
        <v>5</v>
      </c>
      <c r="H100" s="10">
        <v>5.0724637681159403E-2</v>
      </c>
      <c r="I100" s="10">
        <v>5.0724637681159403E-2</v>
      </c>
      <c r="J100" s="10">
        <v>5.0724637681159403E-2</v>
      </c>
      <c r="K100" s="10">
        <v>1</v>
      </c>
      <c r="L100" s="10">
        <v>1</v>
      </c>
      <c r="M100" s="10">
        <v>1</v>
      </c>
      <c r="N100" s="10">
        <v>0.41068702290076342</v>
      </c>
      <c r="O100" s="10">
        <v>0.40114503816793889</v>
      </c>
      <c r="P100" s="10">
        <v>0.42595419847328242</v>
      </c>
      <c r="Q100" s="10">
        <v>0</v>
      </c>
      <c r="R100" s="10">
        <v>0</v>
      </c>
      <c r="S100" s="10">
        <v>0</v>
      </c>
      <c r="T100" s="10">
        <v>0.21084337349397589</v>
      </c>
      <c r="U100" s="10">
        <v>0.21084337349397589</v>
      </c>
      <c r="V100" s="10">
        <v>0.21084337349397589</v>
      </c>
      <c r="W100" s="10">
        <v>5.0724637681159403E-2</v>
      </c>
      <c r="X100" s="10">
        <v>5.0724637681159403E-2</v>
      </c>
      <c r="Y100" s="10">
        <v>5.0724637681159403E-2</v>
      </c>
      <c r="Z100" s="10">
        <v>1</v>
      </c>
      <c r="AA100" s="10">
        <v>1</v>
      </c>
      <c r="AB100" s="10">
        <v>1</v>
      </c>
      <c r="AC100" s="10">
        <v>0</v>
      </c>
      <c r="AD100">
        <v>0</v>
      </c>
      <c r="AE100">
        <v>0</v>
      </c>
    </row>
    <row r="101" spans="1:31" hidden="1">
      <c r="A101" t="s">
        <v>85</v>
      </c>
      <c r="B101" t="s">
        <v>65</v>
      </c>
      <c r="C101" t="s">
        <v>81</v>
      </c>
      <c r="D101" t="s">
        <v>71</v>
      </c>
      <c r="E101">
        <v>9</v>
      </c>
      <c r="F101">
        <v>6.5217391304347797E-2</v>
      </c>
      <c r="G101">
        <v>5</v>
      </c>
      <c r="H101" s="10">
        <v>6.5024921401732994E-2</v>
      </c>
      <c r="I101" s="10">
        <v>6.2847941108810604E-2</v>
      </c>
      <c r="J101" s="10">
        <v>6.9806763285024095E-2</v>
      </c>
      <c r="K101" s="10">
        <v>0.9970487948265726</v>
      </c>
      <c r="L101" s="10">
        <v>0.96366843033509675</v>
      </c>
      <c r="M101" s="10">
        <v>1.07037037037037</v>
      </c>
      <c r="N101" s="10">
        <v>0.4360034453057709</v>
      </c>
      <c r="O101" s="10">
        <v>0.40568475452196379</v>
      </c>
      <c r="P101" s="10">
        <v>0.46063738156761408</v>
      </c>
      <c r="Q101" s="10">
        <v>0</v>
      </c>
      <c r="R101" s="10">
        <v>0</v>
      </c>
      <c r="S101" s="10">
        <v>0</v>
      </c>
      <c r="T101" s="10">
        <v>0.25862068965517238</v>
      </c>
      <c r="U101" s="10">
        <v>0.25862068965517238</v>
      </c>
      <c r="V101" s="10">
        <v>0.25862068965517238</v>
      </c>
      <c r="W101" s="10">
        <v>6.5217391304347797E-2</v>
      </c>
      <c r="X101" s="10">
        <v>6.5217391304347797E-2</v>
      </c>
      <c r="Y101" s="10">
        <v>6.5217391304347797E-2</v>
      </c>
      <c r="Z101" s="10">
        <v>1</v>
      </c>
      <c r="AA101" s="10">
        <v>1</v>
      </c>
      <c r="AB101" s="10">
        <v>1</v>
      </c>
      <c r="AC101" s="10">
        <v>0</v>
      </c>
      <c r="AD101">
        <v>0</v>
      </c>
      <c r="AE101">
        <v>0</v>
      </c>
    </row>
    <row r="102" spans="1:31" hidden="1">
      <c r="A102" t="s">
        <v>85</v>
      </c>
      <c r="B102" t="s">
        <v>65</v>
      </c>
      <c r="C102" t="s">
        <v>82</v>
      </c>
      <c r="D102" t="s">
        <v>67</v>
      </c>
      <c r="E102">
        <v>4</v>
      </c>
      <c r="F102">
        <v>2.8985507246376802E-2</v>
      </c>
      <c r="G102">
        <v>5</v>
      </c>
      <c r="H102" s="10">
        <v>3.1565778441185098E-2</v>
      </c>
      <c r="I102" s="10">
        <v>2.5991847826086899E-2</v>
      </c>
      <c r="J102" s="10">
        <v>3.7504548265851402E-2</v>
      </c>
      <c r="K102" s="10">
        <v>1.0890193562208861</v>
      </c>
      <c r="L102" s="10">
        <v>0.89671875000000001</v>
      </c>
      <c r="M102" s="10">
        <v>1.2939069151718749</v>
      </c>
      <c r="N102" s="10">
        <v>0.41417910447761191</v>
      </c>
      <c r="O102" s="10">
        <v>0.3324626865671641</v>
      </c>
      <c r="P102" s="10">
        <v>0.46268656716417911</v>
      </c>
      <c r="Q102" s="10">
        <v>-2.22108774427003E-2</v>
      </c>
      <c r="R102" s="10">
        <v>-5.1848327552305201E-2</v>
      </c>
      <c r="S102" s="10">
        <v>3.9706165953686298E-2</v>
      </c>
      <c r="T102" s="10">
        <v>0.1048895811913122</v>
      </c>
      <c r="U102" s="10">
        <v>7.3089019554218496E-2</v>
      </c>
      <c r="V102" s="10">
        <v>0.13623470522803111</v>
      </c>
      <c r="W102" s="10">
        <v>2.4642333519639001E-2</v>
      </c>
      <c r="X102" s="10">
        <v>1.8662486938349002E-2</v>
      </c>
      <c r="Y102" s="10">
        <v>3.06847545219638E-2</v>
      </c>
      <c r="Z102" s="10">
        <v>0.6</v>
      </c>
      <c r="AA102" s="10">
        <v>0.27500000000000002</v>
      </c>
      <c r="AB102" s="10">
        <v>0.97499999999999998</v>
      </c>
      <c r="AC102" s="10">
        <v>0.36119586372927082</v>
      </c>
      <c r="AD102">
        <v>0.29995434347645411</v>
      </c>
      <c r="AE102">
        <v>0.41218609096898717</v>
      </c>
    </row>
    <row r="103" spans="1:31" hidden="1">
      <c r="A103" t="s">
        <v>85</v>
      </c>
      <c r="B103" t="s">
        <v>65</v>
      </c>
      <c r="C103" t="s">
        <v>82</v>
      </c>
      <c r="D103" t="s">
        <v>68</v>
      </c>
      <c r="E103">
        <v>20</v>
      </c>
      <c r="F103">
        <v>0.14492753623188401</v>
      </c>
      <c r="G103">
        <v>5</v>
      </c>
      <c r="H103" s="10">
        <v>0.1842995977963317</v>
      </c>
      <c r="I103" s="10">
        <v>0.15662021242468269</v>
      </c>
      <c r="J103" s="10">
        <v>0.2091587479309992</v>
      </c>
      <c r="K103" s="10">
        <v>1.271667224794689</v>
      </c>
      <c r="L103" s="10">
        <v>1.08067946573031</v>
      </c>
      <c r="M103" s="10">
        <v>1.443195360723895</v>
      </c>
      <c r="N103" s="10">
        <v>0.57118644067796609</v>
      </c>
      <c r="O103" s="10">
        <v>0.52563559322033893</v>
      </c>
      <c r="P103" s="10">
        <v>0.6063135593220339</v>
      </c>
      <c r="Q103" s="10">
        <v>2.0109406343193199E-2</v>
      </c>
      <c r="R103" s="10">
        <v>-0.1046735834713252</v>
      </c>
      <c r="S103" s="10">
        <v>6.4152643266084303E-2</v>
      </c>
      <c r="T103" s="10">
        <v>0.26811220298533239</v>
      </c>
      <c r="U103" s="10">
        <v>1.1111111111111099E-2</v>
      </c>
      <c r="V103" s="10">
        <v>0.4288115376274127</v>
      </c>
      <c r="W103" s="10">
        <v>0.13725871845451701</v>
      </c>
      <c r="X103" s="10">
        <v>1.5957446808510599E-2</v>
      </c>
      <c r="Y103" s="10">
        <v>0.19645569620253159</v>
      </c>
      <c r="Z103" s="10">
        <v>0.42</v>
      </c>
      <c r="AA103" s="10">
        <v>0.01</v>
      </c>
      <c r="AB103" s="10">
        <v>0.74</v>
      </c>
      <c r="AC103" s="10">
        <v>0.38170695371805408</v>
      </c>
      <c r="AD103">
        <v>0.32068204128532501</v>
      </c>
      <c r="AE103">
        <v>0.48515434694198828</v>
      </c>
    </row>
    <row r="104" spans="1:31" hidden="1">
      <c r="A104" t="s">
        <v>85</v>
      </c>
      <c r="B104" t="s">
        <v>65</v>
      </c>
      <c r="C104" t="s">
        <v>82</v>
      </c>
      <c r="D104" t="s">
        <v>69</v>
      </c>
      <c r="E104">
        <v>26</v>
      </c>
      <c r="F104">
        <v>0.1884057971014492</v>
      </c>
      <c r="G104">
        <v>5</v>
      </c>
      <c r="H104" s="10">
        <v>0.19476964698756771</v>
      </c>
      <c r="I104" s="10">
        <v>0.16800504674393391</v>
      </c>
      <c r="J104" s="10">
        <v>0.21972888762103129</v>
      </c>
      <c r="K104" s="10">
        <v>1.033777357087859</v>
      </c>
      <c r="L104" s="10">
        <v>0.89171909425626472</v>
      </c>
      <c r="M104" s="10">
        <v>1.166253326603935</v>
      </c>
      <c r="N104" s="10">
        <v>0.51243131868131875</v>
      </c>
      <c r="O104" s="10">
        <v>0.4574175824175824</v>
      </c>
      <c r="P104" s="10">
        <v>0.55851648351648353</v>
      </c>
      <c r="Q104" s="10">
        <v>2.58594387643531E-2</v>
      </c>
      <c r="R104" s="10">
        <v>-7.9578131006508401E-2</v>
      </c>
      <c r="S104" s="10">
        <v>9.7773099326827206E-2</v>
      </c>
      <c r="T104" s="10">
        <v>0.39856947733253029</v>
      </c>
      <c r="U104" s="10">
        <v>0.14185784975258661</v>
      </c>
      <c r="V104" s="10">
        <v>0.54779891095942934</v>
      </c>
      <c r="W104" s="10">
        <v>0.18225973860302219</v>
      </c>
      <c r="X104" s="10">
        <v>0.1232491389207807</v>
      </c>
      <c r="Y104" s="10">
        <v>0.20719696969696971</v>
      </c>
      <c r="Z104" s="10">
        <v>0.61538461538461531</v>
      </c>
      <c r="AA104" s="10">
        <v>0.1538461538461538</v>
      </c>
      <c r="AB104" s="10">
        <v>0.98846153846153839</v>
      </c>
      <c r="AC104" s="10">
        <v>0.34409934796130032</v>
      </c>
      <c r="AD104">
        <v>8.6737099773546794E-2</v>
      </c>
      <c r="AE104">
        <v>0.46774713156495101</v>
      </c>
    </row>
    <row r="105" spans="1:31" hidden="1">
      <c r="A105" t="s">
        <v>85</v>
      </c>
      <c r="B105" t="s">
        <v>65</v>
      </c>
      <c r="C105" t="s">
        <v>82</v>
      </c>
      <c r="D105" t="s">
        <v>70</v>
      </c>
      <c r="E105">
        <v>7</v>
      </c>
      <c r="F105">
        <v>5.0724637681159403E-2</v>
      </c>
      <c r="G105">
        <v>5</v>
      </c>
      <c r="H105" s="10">
        <v>4.7787565566679499E-2</v>
      </c>
      <c r="I105" s="10">
        <v>3.9193786232638798E-2</v>
      </c>
      <c r="J105" s="10">
        <v>6.0095329649424302E-2</v>
      </c>
      <c r="K105" s="10">
        <v>0.94209772117168156</v>
      </c>
      <c r="L105" s="10">
        <v>0.77267750001488</v>
      </c>
      <c r="M105" s="10">
        <v>1.184736498802937</v>
      </c>
      <c r="N105" s="10">
        <v>0.38058887677208281</v>
      </c>
      <c r="O105" s="10">
        <v>0.29858233369683751</v>
      </c>
      <c r="P105" s="10">
        <v>0.4574700109051254</v>
      </c>
      <c r="Q105" s="10">
        <v>-7.1430009421184507E-2</v>
      </c>
      <c r="R105" s="10">
        <v>-0.17246992234658459</v>
      </c>
      <c r="S105" s="10">
        <v>5.7519769992780703E-2</v>
      </c>
      <c r="T105" s="10">
        <v>0.1705916754025171</v>
      </c>
      <c r="U105" s="10">
        <v>0.1163572343149808</v>
      </c>
      <c r="V105" s="10">
        <v>0.22853309481216449</v>
      </c>
      <c r="W105" s="10">
        <v>4.3092573971491598E-2</v>
      </c>
      <c r="X105" s="10">
        <v>2.9470310391363001E-2</v>
      </c>
      <c r="Y105" s="10">
        <v>5.8367307318967103E-2</v>
      </c>
      <c r="Z105" s="10">
        <v>0.65714285714285714</v>
      </c>
      <c r="AA105" s="10">
        <v>0.44285714285714278</v>
      </c>
      <c r="AB105" s="10">
        <v>0.84285714285714275</v>
      </c>
      <c r="AC105" s="10">
        <v>0.2381694334432776</v>
      </c>
      <c r="AD105">
        <v>0.18699262948585221</v>
      </c>
      <c r="AE105">
        <v>0.26725985716122269</v>
      </c>
    </row>
    <row r="106" spans="1:31" hidden="1">
      <c r="A106" t="s">
        <v>85</v>
      </c>
      <c r="B106" t="s">
        <v>65</v>
      </c>
      <c r="C106" t="s">
        <v>82</v>
      </c>
      <c r="D106" t="s">
        <v>71</v>
      </c>
      <c r="E106">
        <v>9</v>
      </c>
      <c r="F106">
        <v>6.5217391304347797E-2</v>
      </c>
      <c r="G106">
        <v>5</v>
      </c>
      <c r="H106" s="10">
        <v>7.0081290239675006E-2</v>
      </c>
      <c r="I106" s="10">
        <v>5.6782107788118499E-2</v>
      </c>
      <c r="J106" s="10">
        <v>8.6585851087797802E-2</v>
      </c>
      <c r="K106" s="10">
        <v>1.0745797836750171</v>
      </c>
      <c r="L106" s="10">
        <v>0.87065898608448467</v>
      </c>
      <c r="M106" s="10">
        <v>1.3276497166795671</v>
      </c>
      <c r="N106" s="10">
        <v>0.43307493540051678</v>
      </c>
      <c r="O106" s="10">
        <v>0.39086993970714901</v>
      </c>
      <c r="P106" s="10">
        <v>0.48535745047372958</v>
      </c>
      <c r="Q106" s="10">
        <v>4.5061394546733998E-3</v>
      </c>
      <c r="R106" s="10">
        <v>-9.7399534168725696E-2</v>
      </c>
      <c r="S106" s="10">
        <v>7.5438333424080198E-2</v>
      </c>
      <c r="T106" s="10">
        <v>0.20485919710026529</v>
      </c>
      <c r="U106" s="10">
        <v>2.1428571428571401E-2</v>
      </c>
      <c r="V106" s="10">
        <v>0.2753893345917886</v>
      </c>
      <c r="W106" s="10">
        <v>5.4038142727090302E-2</v>
      </c>
      <c r="X106" s="10">
        <v>5.7692307692307002E-3</v>
      </c>
      <c r="Y106" s="10">
        <v>7.4107890768973006E-2</v>
      </c>
      <c r="Z106" s="10">
        <v>0.68888888888888888</v>
      </c>
      <c r="AA106" s="10">
        <v>6.6666666666666596E-2</v>
      </c>
      <c r="AB106" s="10">
        <v>1</v>
      </c>
      <c r="AC106" s="10">
        <v>0.3750487706932864</v>
      </c>
      <c r="AD106">
        <v>0.20490980941215689</v>
      </c>
      <c r="AE106">
        <v>0.51420016393185575</v>
      </c>
    </row>
    <row r="107" spans="1:31" hidden="1">
      <c r="A107" t="s">
        <v>85</v>
      </c>
      <c r="B107" t="s">
        <v>65</v>
      </c>
      <c r="C107" t="s">
        <v>76</v>
      </c>
      <c r="D107" t="s">
        <v>67</v>
      </c>
      <c r="E107">
        <v>4</v>
      </c>
      <c r="F107">
        <v>2.8985507246376802E-2</v>
      </c>
      <c r="G107">
        <v>5</v>
      </c>
      <c r="H107" s="10">
        <v>4.2092847960302299E-2</v>
      </c>
      <c r="I107" s="10">
        <v>3.3691056631732698E-2</v>
      </c>
      <c r="J107" s="10">
        <v>5.0405741989025601E-2</v>
      </c>
      <c r="K107" s="10">
        <v>1.4522032546304311</v>
      </c>
      <c r="L107" s="10">
        <v>1.1623414537947809</v>
      </c>
      <c r="M107" s="10">
        <v>1.7389980986213851</v>
      </c>
      <c r="N107" s="10">
        <v>0.57126865671641791</v>
      </c>
      <c r="O107" s="10">
        <v>0.48694029850746268</v>
      </c>
      <c r="P107" s="10">
        <v>0.66529850746268659</v>
      </c>
      <c r="Q107" s="10">
        <v>1.12957341245367E-2</v>
      </c>
      <c r="R107" s="10">
        <v>-5.0687576022152001E-2</v>
      </c>
      <c r="S107" s="10">
        <v>6.50098801466059E-2</v>
      </c>
      <c r="T107" s="10">
        <v>0.13508981440015921</v>
      </c>
      <c r="U107" s="10">
        <v>0.1129870129870129</v>
      </c>
      <c r="V107" s="10">
        <v>0.1637931034482758</v>
      </c>
      <c r="W107" s="10">
        <v>3.1928679183779403E-2</v>
      </c>
      <c r="X107" s="10">
        <v>2.55876263548897E-2</v>
      </c>
      <c r="Y107" s="10">
        <v>4.4009866102889303E-2</v>
      </c>
      <c r="Z107" s="10">
        <v>0.85</v>
      </c>
      <c r="AA107" s="10">
        <v>0.52500000000000002</v>
      </c>
      <c r="AB107" s="10">
        <v>1</v>
      </c>
      <c r="AC107" s="10">
        <v>1.2543312439032599E-2</v>
      </c>
      <c r="AD107">
        <v>0</v>
      </c>
      <c r="AE107">
        <v>5.14561797913103E-2</v>
      </c>
    </row>
    <row r="108" spans="1:31" hidden="1">
      <c r="A108" t="s">
        <v>85</v>
      </c>
      <c r="B108" t="s">
        <v>65</v>
      </c>
      <c r="C108" t="s">
        <v>76</v>
      </c>
      <c r="D108" t="s">
        <v>68</v>
      </c>
      <c r="E108">
        <v>20</v>
      </c>
      <c r="F108">
        <v>0.14492753623188401</v>
      </c>
      <c r="G108">
        <v>5</v>
      </c>
      <c r="H108" s="10">
        <v>0.25414875304108009</v>
      </c>
      <c r="I108" s="10">
        <v>0.20471343548012419</v>
      </c>
      <c r="J108" s="10">
        <v>0.33475539664775061</v>
      </c>
      <c r="K108" s="10">
        <v>1.7536263959834519</v>
      </c>
      <c r="L108" s="10">
        <v>1.4125227048128579</v>
      </c>
      <c r="M108" s="10">
        <v>2.3098122368694791</v>
      </c>
      <c r="N108" s="10">
        <v>0.6694067796610168</v>
      </c>
      <c r="O108" s="10">
        <v>0.62389830508474575</v>
      </c>
      <c r="P108" s="10">
        <v>0.7039406779661016</v>
      </c>
      <c r="Q108" s="10">
        <v>0.14657591163854411</v>
      </c>
      <c r="R108" s="10">
        <v>-2.1227132176168399E-2</v>
      </c>
      <c r="S108" s="10">
        <v>0.24237027643459599</v>
      </c>
      <c r="T108" s="10">
        <v>0.3473076313440851</v>
      </c>
      <c r="U108" s="10">
        <v>0.12602476888191169</v>
      </c>
      <c r="V108" s="10">
        <v>0.44091847265221878</v>
      </c>
      <c r="W108" s="10">
        <v>0.2292151032516144</v>
      </c>
      <c r="X108" s="10">
        <v>0.1214285714285714</v>
      </c>
      <c r="Y108" s="10">
        <v>0.30872210953346851</v>
      </c>
      <c r="Z108" s="10">
        <v>0.41</v>
      </c>
      <c r="AA108" s="10">
        <v>0.13</v>
      </c>
      <c r="AB108" s="10">
        <v>0.59</v>
      </c>
      <c r="AC108" s="10">
        <v>0.37392344090570512</v>
      </c>
      <c r="AD108">
        <v>0.32438201416252299</v>
      </c>
      <c r="AE108">
        <v>0.44969634847965861</v>
      </c>
    </row>
    <row r="109" spans="1:31" hidden="1">
      <c r="A109" t="s">
        <v>85</v>
      </c>
      <c r="B109" t="s">
        <v>65</v>
      </c>
      <c r="C109" t="s">
        <v>76</v>
      </c>
      <c r="D109" t="s">
        <v>69</v>
      </c>
      <c r="E109">
        <v>26</v>
      </c>
      <c r="F109">
        <v>0.1884057971014492</v>
      </c>
      <c r="G109">
        <v>5</v>
      </c>
      <c r="H109" s="10">
        <v>0.53001409147891232</v>
      </c>
      <c r="I109" s="10">
        <v>0.45791202328330921</v>
      </c>
      <c r="J109" s="10">
        <v>0.58388649281235183</v>
      </c>
      <c r="K109" s="10">
        <v>2.813151716311149</v>
      </c>
      <c r="L109" s="10">
        <v>2.4304561235806408</v>
      </c>
      <c r="M109" s="10">
        <v>3.0990898464655601</v>
      </c>
      <c r="N109" s="10">
        <v>0.83021978021978016</v>
      </c>
      <c r="O109" s="10">
        <v>0.80954670329670331</v>
      </c>
      <c r="P109" s="10">
        <v>0.85171703296703305</v>
      </c>
      <c r="Q109" s="10">
        <v>0.43037687591718649</v>
      </c>
      <c r="R109" s="10">
        <v>0.30498576725799958</v>
      </c>
      <c r="S109" s="10">
        <v>0.54593633982885503</v>
      </c>
      <c r="T109" s="10">
        <v>0.55738742506289041</v>
      </c>
      <c r="U109" s="10">
        <v>0.28987240829346089</v>
      </c>
      <c r="V109" s="10">
        <v>0.76526734423331855</v>
      </c>
      <c r="W109" s="10">
        <v>0.51305944600062248</v>
      </c>
      <c r="X109" s="10">
        <v>0.47114845938375349</v>
      </c>
      <c r="Y109" s="10">
        <v>0.59185185185185185</v>
      </c>
      <c r="Z109" s="10">
        <v>0.6</v>
      </c>
      <c r="AA109" s="10">
        <v>0.2615384615384615</v>
      </c>
      <c r="AB109" s="10">
        <v>0.90769230769230758</v>
      </c>
      <c r="AC109" s="10">
        <v>0.41692191116786947</v>
      </c>
      <c r="AD109">
        <v>0.30602695358485199</v>
      </c>
      <c r="AE109">
        <v>0.53634277079056736</v>
      </c>
    </row>
    <row r="110" spans="1:31" hidden="1">
      <c r="A110" t="s">
        <v>85</v>
      </c>
      <c r="B110" t="s">
        <v>65</v>
      </c>
      <c r="C110" t="s">
        <v>76</v>
      </c>
      <c r="D110" t="s">
        <v>70</v>
      </c>
      <c r="E110">
        <v>7</v>
      </c>
      <c r="F110">
        <v>5.0724637681159403E-2</v>
      </c>
      <c r="G110">
        <v>5</v>
      </c>
      <c r="H110" s="10">
        <v>4.8874198906470503E-2</v>
      </c>
      <c r="I110" s="10">
        <v>4.2724027169666202E-2</v>
      </c>
      <c r="J110" s="10">
        <v>5.6750078756303599E-2</v>
      </c>
      <c r="K110" s="10">
        <v>0.96351992129899044</v>
      </c>
      <c r="L110" s="10">
        <v>0.84227367848770585</v>
      </c>
      <c r="M110" s="10">
        <v>1.118787266909987</v>
      </c>
      <c r="N110" s="10">
        <v>0.40348964013086142</v>
      </c>
      <c r="O110" s="10">
        <v>0.36281352235550701</v>
      </c>
      <c r="P110" s="10">
        <v>0.43511450381679379</v>
      </c>
      <c r="Q110" s="10">
        <v>-2.08368203232298E-2</v>
      </c>
      <c r="R110" s="10">
        <v>-8.4703021094237899E-2</v>
      </c>
      <c r="S110" s="10">
        <v>5.81501576927754E-2</v>
      </c>
      <c r="T110" s="10">
        <v>0.1537809233614035</v>
      </c>
      <c r="U110" s="10">
        <v>1.53846153846153E-2</v>
      </c>
      <c r="V110" s="10">
        <v>0.2230074142724745</v>
      </c>
      <c r="W110" s="10">
        <v>3.7934573800142798E-2</v>
      </c>
      <c r="X110" s="10">
        <v>3.9215686274508997E-3</v>
      </c>
      <c r="Y110" s="10">
        <v>5.4291213768115902E-2</v>
      </c>
      <c r="Z110" s="10">
        <v>0.65714285714285714</v>
      </c>
      <c r="AA110" s="10">
        <v>5.7142857142857099E-2</v>
      </c>
      <c r="AB110" s="10">
        <v>1</v>
      </c>
      <c r="AC110" s="10">
        <v>8.4774780628529806E-2</v>
      </c>
      <c r="AD110">
        <v>1.8366568226974001E-3</v>
      </c>
      <c r="AE110">
        <v>0.27971449242158319</v>
      </c>
    </row>
    <row r="111" spans="1:31" hidden="1">
      <c r="A111" t="s">
        <v>85</v>
      </c>
      <c r="B111" t="s">
        <v>65</v>
      </c>
      <c r="C111" t="s">
        <v>76</v>
      </c>
      <c r="D111" t="s">
        <v>71</v>
      </c>
      <c r="E111">
        <v>9</v>
      </c>
      <c r="F111">
        <v>6.5217391304347797E-2</v>
      </c>
      <c r="G111">
        <v>5</v>
      </c>
      <c r="H111" s="10">
        <v>7.0478750343088994E-2</v>
      </c>
      <c r="I111" s="10">
        <v>5.3747611321941002E-2</v>
      </c>
      <c r="J111" s="10">
        <v>8.5994513218668897E-2</v>
      </c>
      <c r="K111" s="10">
        <v>1.0806741719273649</v>
      </c>
      <c r="L111" s="10">
        <v>0.82413004026976311</v>
      </c>
      <c r="M111" s="10">
        <v>1.31858253601959</v>
      </c>
      <c r="N111" s="10">
        <v>0.43066322136089569</v>
      </c>
      <c r="O111" s="10">
        <v>0.35495262704565028</v>
      </c>
      <c r="P111" s="10">
        <v>0.51645133505598617</v>
      </c>
      <c r="Q111" s="10">
        <v>9.0103971424061007E-3</v>
      </c>
      <c r="R111" s="10">
        <v>-9.0643131909890096E-2</v>
      </c>
      <c r="S111" s="10">
        <v>7.8483886390703E-2</v>
      </c>
      <c r="T111" s="10">
        <v>0.25288404171990742</v>
      </c>
      <c r="U111" s="10">
        <v>0.2212920154941897</v>
      </c>
      <c r="V111" s="10">
        <v>0.27684563758389258</v>
      </c>
      <c r="W111" s="10">
        <v>6.5534867772195096E-2</v>
      </c>
      <c r="X111" s="10">
        <v>5.7306468716861E-2</v>
      </c>
      <c r="Y111" s="10">
        <v>7.1365360303413394E-2</v>
      </c>
      <c r="Z111" s="10">
        <v>0.88888888888888895</v>
      </c>
      <c r="AA111" s="10">
        <v>0.77777777777777779</v>
      </c>
      <c r="AB111" s="10">
        <v>1</v>
      </c>
      <c r="AC111" s="10">
        <v>4.4690699349939203E-2</v>
      </c>
      <c r="AD111">
        <v>3.1449183196493397E-2</v>
      </c>
      <c r="AE111">
        <v>5.82386515395696E-2</v>
      </c>
    </row>
    <row r="112" spans="1:31" hidden="1">
      <c r="A112" t="s">
        <v>85</v>
      </c>
      <c r="B112" t="s">
        <v>65</v>
      </c>
      <c r="C112" t="s">
        <v>83</v>
      </c>
      <c r="D112" t="s">
        <v>67</v>
      </c>
      <c r="E112">
        <v>4</v>
      </c>
      <c r="F112">
        <v>2.8985507246376802E-2</v>
      </c>
      <c r="G112">
        <v>5</v>
      </c>
      <c r="H112" s="10">
        <v>7.9129263742724998E-2</v>
      </c>
      <c r="I112" s="10">
        <v>3.6063455169662903E-2</v>
      </c>
      <c r="J112" s="10">
        <v>0.1515186922781859</v>
      </c>
      <c r="K112" s="10">
        <v>2.729959599124014</v>
      </c>
      <c r="L112" s="10">
        <v>1.2441892033533719</v>
      </c>
      <c r="M112" s="10">
        <v>5.2273948835974151</v>
      </c>
      <c r="N112" s="10">
        <v>0.57276119402985082</v>
      </c>
      <c r="O112" s="10">
        <v>0.44850746268656722</v>
      </c>
      <c r="P112" s="10">
        <v>0.79104477611940294</v>
      </c>
      <c r="Q112" s="10">
        <v>4.5195392120909603E-2</v>
      </c>
      <c r="R112" s="10">
        <v>-7.0788341464994395E-2</v>
      </c>
      <c r="S112" s="10">
        <v>0.1395133227476075</v>
      </c>
      <c r="T112" s="10">
        <v>0.14408375533489981</v>
      </c>
      <c r="U112" s="10">
        <v>9.1959499702203601E-2</v>
      </c>
      <c r="V112" s="10">
        <v>0.20242537313432829</v>
      </c>
      <c r="W112" s="10">
        <v>3.3223911211199303E-2</v>
      </c>
      <c r="X112" s="10">
        <v>2.12587412587412E-2</v>
      </c>
      <c r="Y112" s="10">
        <v>4.83898305084745E-2</v>
      </c>
      <c r="Z112" s="10">
        <v>0.9</v>
      </c>
      <c r="AA112" s="10">
        <v>0.55000000000000004</v>
      </c>
      <c r="AB112" s="10">
        <v>1</v>
      </c>
      <c r="AC112" s="10">
        <v>1.29162408025377E-2</v>
      </c>
      <c r="AD112">
        <v>3.4643051219457998E-3</v>
      </c>
      <c r="AE112">
        <v>2.5446915628746299E-2</v>
      </c>
    </row>
    <row r="113" spans="1:31" hidden="1">
      <c r="A113" t="s">
        <v>85</v>
      </c>
      <c r="B113" t="s">
        <v>65</v>
      </c>
      <c r="C113" t="s">
        <v>83</v>
      </c>
      <c r="D113" t="s">
        <v>68</v>
      </c>
      <c r="E113">
        <v>20</v>
      </c>
      <c r="F113">
        <v>0.14492753623188401</v>
      </c>
      <c r="G113">
        <v>5</v>
      </c>
      <c r="H113" s="10">
        <v>0.21470577763397539</v>
      </c>
      <c r="I113" s="10">
        <v>0.14520833732768559</v>
      </c>
      <c r="J113" s="10">
        <v>0.29947413098271702</v>
      </c>
      <c r="K113" s="10">
        <v>1.4814698656744301</v>
      </c>
      <c r="L113" s="10">
        <v>1.0019375275610309</v>
      </c>
      <c r="M113" s="10">
        <v>2.066371503780748</v>
      </c>
      <c r="N113" s="10">
        <v>0.5733898305084747</v>
      </c>
      <c r="O113" s="10">
        <v>0.4263559322033898</v>
      </c>
      <c r="P113" s="10">
        <v>0.65495762711864403</v>
      </c>
      <c r="Q113" s="10">
        <v>0.1413257678438489</v>
      </c>
      <c r="R113" s="10">
        <v>5.5654013280741398E-2</v>
      </c>
      <c r="S113" s="10">
        <v>0.25622109700566192</v>
      </c>
      <c r="T113" s="10">
        <v>0.35689952578839168</v>
      </c>
      <c r="U113" s="10">
        <v>0.16569016881827209</v>
      </c>
      <c r="V113" s="10">
        <v>0.50517939814814816</v>
      </c>
      <c r="W113" s="10">
        <v>0.21849742362900251</v>
      </c>
      <c r="X113" s="10">
        <v>0.19237516869095811</v>
      </c>
      <c r="Y113" s="10">
        <v>0.26738636363636359</v>
      </c>
      <c r="Z113" s="10">
        <v>0.45</v>
      </c>
      <c r="AA113" s="10">
        <v>0.16</v>
      </c>
      <c r="AB113" s="10">
        <v>0.65</v>
      </c>
      <c r="AC113" s="10">
        <v>0.16714300305964219</v>
      </c>
      <c r="AD113">
        <v>0.1275731682555824</v>
      </c>
      <c r="AE113">
        <v>0.25646680878977363</v>
      </c>
    </row>
    <row r="114" spans="1:31" hidden="1">
      <c r="A114" t="s">
        <v>85</v>
      </c>
      <c r="B114" t="s">
        <v>65</v>
      </c>
      <c r="C114" t="s">
        <v>83</v>
      </c>
      <c r="D114" t="s">
        <v>69</v>
      </c>
      <c r="E114">
        <v>26</v>
      </c>
      <c r="F114">
        <v>0.1884057971014492</v>
      </c>
      <c r="G114">
        <v>5</v>
      </c>
      <c r="H114" s="10">
        <v>0.48877765423576369</v>
      </c>
      <c r="I114" s="10">
        <v>0.42669152035812258</v>
      </c>
      <c r="J114" s="10">
        <v>0.5652217034529361</v>
      </c>
      <c r="K114" s="10">
        <v>2.594281395559054</v>
      </c>
      <c r="L114" s="10">
        <v>2.2647473003623442</v>
      </c>
      <c r="M114" s="10">
        <v>3.000022887557892</v>
      </c>
      <c r="N114" s="10">
        <v>0.79862637362637368</v>
      </c>
      <c r="O114" s="10">
        <v>0.78197115384615401</v>
      </c>
      <c r="P114" s="10">
        <v>0.81466346153846148</v>
      </c>
      <c r="Q114" s="10">
        <v>0.47368653850350462</v>
      </c>
      <c r="R114" s="10">
        <v>0.35200531780827182</v>
      </c>
      <c r="S114" s="10">
        <v>0.52646036434116894</v>
      </c>
      <c r="T114" s="10">
        <v>0.63644181862964955</v>
      </c>
      <c r="U114" s="10">
        <v>0.4822860238353196</v>
      </c>
      <c r="V114" s="10">
        <v>0.69334532374100721</v>
      </c>
      <c r="W114" s="10">
        <v>0.50358182358182357</v>
      </c>
      <c r="X114" s="10">
        <v>0.4653846153846154</v>
      </c>
      <c r="Y114" s="10">
        <v>0.53992277992277993</v>
      </c>
      <c r="Z114" s="10">
        <v>0.68461538461538463</v>
      </c>
      <c r="AA114" s="10">
        <v>0.4884615384615385</v>
      </c>
      <c r="AB114" s="10">
        <v>0.76538461538461544</v>
      </c>
      <c r="AC114" s="10">
        <v>0.29886771671712919</v>
      </c>
      <c r="AD114">
        <v>0.235723946662804</v>
      </c>
      <c r="AE114">
        <v>0.33792111045370521</v>
      </c>
    </row>
    <row r="115" spans="1:31" hidden="1">
      <c r="A115" t="s">
        <v>85</v>
      </c>
      <c r="B115" t="s">
        <v>65</v>
      </c>
      <c r="C115" t="s">
        <v>83</v>
      </c>
      <c r="D115" t="s">
        <v>70</v>
      </c>
      <c r="E115">
        <v>7</v>
      </c>
      <c r="F115">
        <v>5.0724637681159403E-2</v>
      </c>
      <c r="G115">
        <v>5</v>
      </c>
      <c r="H115" s="10">
        <v>4.74026242862386E-2</v>
      </c>
      <c r="I115" s="10">
        <v>4.0672272150951899E-2</v>
      </c>
      <c r="J115" s="10">
        <v>6.0933541720180798E-2</v>
      </c>
      <c r="K115" s="10">
        <v>0.93450887878584765</v>
      </c>
      <c r="L115" s="10">
        <v>0.80182479383305216</v>
      </c>
      <c r="M115" s="10">
        <v>1.2012612510549929</v>
      </c>
      <c r="N115" s="10">
        <v>0.4150490730643403</v>
      </c>
      <c r="O115" s="10">
        <v>0.33086150490730643</v>
      </c>
      <c r="P115" s="10">
        <v>0.55452562704471098</v>
      </c>
      <c r="Q115" s="10">
        <v>-1.33131995019745E-2</v>
      </c>
      <c r="R115" s="10">
        <v>-0.13296425731717421</v>
      </c>
      <c r="S115" s="10">
        <v>9.7680070195223706E-2</v>
      </c>
      <c r="T115" s="10">
        <v>0.16814333213213889</v>
      </c>
      <c r="U115" s="10">
        <v>6.2917222963951899E-2</v>
      </c>
      <c r="V115" s="10">
        <v>0.2420058139534883</v>
      </c>
      <c r="W115" s="10">
        <v>4.4715766778376097E-2</v>
      </c>
      <c r="X115" s="10">
        <v>1.8603074141048798E-2</v>
      </c>
      <c r="Y115" s="10">
        <v>6.8103448275861997E-2</v>
      </c>
      <c r="Z115" s="10">
        <v>0.6</v>
      </c>
      <c r="AA115" s="10">
        <v>0.15714285714285711</v>
      </c>
      <c r="AB115" s="10">
        <v>1</v>
      </c>
      <c r="AC115" s="10">
        <v>4.2046900441473301E-2</v>
      </c>
      <c r="AD115">
        <v>1.44910387665534E-2</v>
      </c>
      <c r="AE115">
        <v>6.0660661006082001E-2</v>
      </c>
    </row>
    <row r="116" spans="1:31" hidden="1">
      <c r="A116" t="s">
        <v>85</v>
      </c>
      <c r="B116" t="s">
        <v>65</v>
      </c>
      <c r="C116" t="s">
        <v>83</v>
      </c>
      <c r="D116" t="s">
        <v>71</v>
      </c>
      <c r="E116">
        <v>9</v>
      </c>
      <c r="F116">
        <v>6.5217391304347797E-2</v>
      </c>
      <c r="G116">
        <v>5</v>
      </c>
      <c r="H116" s="10">
        <v>9.7759422962148304E-2</v>
      </c>
      <c r="I116" s="10">
        <v>6.7043191174684602E-2</v>
      </c>
      <c r="J116" s="10">
        <v>0.1604731215269227</v>
      </c>
      <c r="K116" s="10">
        <v>1.4989778187529419</v>
      </c>
      <c r="L116" s="10">
        <v>1.0279955980118309</v>
      </c>
      <c r="M116" s="10">
        <v>2.4605878634128162</v>
      </c>
      <c r="N116" s="10">
        <v>0.50490956072351423</v>
      </c>
      <c r="O116" s="10">
        <v>0.41619293712316968</v>
      </c>
      <c r="P116" s="10">
        <v>0.60043066322136085</v>
      </c>
      <c r="Q116" s="10">
        <v>3.7926652335111201E-2</v>
      </c>
      <c r="R116" s="10">
        <v>-7.9383041010803596E-2</v>
      </c>
      <c r="S116" s="10">
        <v>0.14866761583479901</v>
      </c>
      <c r="T116" s="10">
        <v>0.23477124183006531</v>
      </c>
      <c r="U116" s="10">
        <v>0.12</v>
      </c>
      <c r="V116" s="10">
        <v>0.32647058823529401</v>
      </c>
      <c r="W116" s="10">
        <v>7.5298720074839398E-2</v>
      </c>
      <c r="X116" s="10">
        <v>4.0049751243780997E-2</v>
      </c>
      <c r="Y116" s="10">
        <v>0.123076923076923</v>
      </c>
      <c r="Z116" s="10">
        <v>0.62222222222222223</v>
      </c>
      <c r="AA116" s="10">
        <v>0.23333333333333331</v>
      </c>
      <c r="AB116" s="10">
        <v>1</v>
      </c>
      <c r="AC116" s="10">
        <v>5.1254519395751298E-2</v>
      </c>
      <c r="AD116">
        <v>1.7100918567078901E-2</v>
      </c>
      <c r="AE116">
        <v>7.5989455829089503E-2</v>
      </c>
    </row>
    <row r="117" spans="1:31" hidden="1">
      <c r="A117" t="s">
        <v>85</v>
      </c>
      <c r="B117" t="s">
        <v>65</v>
      </c>
      <c r="C117" t="s">
        <v>84</v>
      </c>
      <c r="D117" t="s">
        <v>67</v>
      </c>
      <c r="E117">
        <v>4</v>
      </c>
      <c r="F117">
        <v>2.8985507246376802E-2</v>
      </c>
      <c r="G117">
        <v>5</v>
      </c>
      <c r="H117" s="10">
        <v>3.2770811969977602E-2</v>
      </c>
      <c r="I117" s="10">
        <v>2.6689145394339898E-2</v>
      </c>
      <c r="J117" s="10">
        <v>4.1973042985939499E-2</v>
      </c>
      <c r="K117" s="10">
        <v>1.1305930129642301</v>
      </c>
      <c r="L117" s="10">
        <v>0.92077551610472841</v>
      </c>
      <c r="M117" s="10">
        <v>1.4480699830149151</v>
      </c>
      <c r="N117" s="10">
        <v>0.4345149253731343</v>
      </c>
      <c r="O117" s="10">
        <v>0.35419776119402979</v>
      </c>
      <c r="P117" s="10">
        <v>0.53302238805970148</v>
      </c>
      <c r="Q117" s="10">
        <v>-2.02642681193109E-2</v>
      </c>
      <c r="R117" s="10">
        <v>-0.1194213109556775</v>
      </c>
      <c r="S117" s="10">
        <v>6.5926766603416301E-2</v>
      </c>
      <c r="T117" s="10">
        <v>0.1004903371797322</v>
      </c>
      <c r="U117" s="10">
        <v>8.8495575221238E-3</v>
      </c>
      <c r="V117" s="10">
        <v>0.14761904761904759</v>
      </c>
      <c r="W117" s="10">
        <v>2.32483508080348E-2</v>
      </c>
      <c r="X117" s="10">
        <v>2.061855670103E-3</v>
      </c>
      <c r="Y117" s="10">
        <v>3.3698423189500497E-2</v>
      </c>
      <c r="Z117" s="10">
        <v>0.6</v>
      </c>
      <c r="AA117" s="10">
        <v>0.05</v>
      </c>
      <c r="AB117" s="10">
        <v>0.97499999999999998</v>
      </c>
      <c r="AC117" s="10">
        <v>6.4705220610101997E-3</v>
      </c>
      <c r="AD117">
        <v>2.1024754743832002E-3</v>
      </c>
      <c r="AE117">
        <v>1.7741053332794601E-2</v>
      </c>
    </row>
    <row r="118" spans="1:31" hidden="1">
      <c r="A118" t="s">
        <v>85</v>
      </c>
      <c r="B118" t="s">
        <v>65</v>
      </c>
      <c r="C118" t="s">
        <v>84</v>
      </c>
      <c r="D118" t="s">
        <v>68</v>
      </c>
      <c r="E118">
        <v>20</v>
      </c>
      <c r="F118">
        <v>0.14492753623188401</v>
      </c>
      <c r="G118">
        <v>5</v>
      </c>
      <c r="H118" s="10">
        <v>0.285276459048599</v>
      </c>
      <c r="I118" s="10">
        <v>0.26480327835781409</v>
      </c>
      <c r="J118" s="10">
        <v>0.31292675742901471</v>
      </c>
      <c r="K118" s="10">
        <v>1.968407567435333</v>
      </c>
      <c r="L118" s="10">
        <v>1.827142620668917</v>
      </c>
      <c r="M118" s="10">
        <v>2.1591946262602022</v>
      </c>
      <c r="N118" s="10">
        <v>0.68355932203389824</v>
      </c>
      <c r="O118" s="10">
        <v>0.66622881355932206</v>
      </c>
      <c r="P118" s="10">
        <v>0.72131355932203389</v>
      </c>
      <c r="Q118" s="10">
        <v>0.16507892942472979</v>
      </c>
      <c r="R118" s="10">
        <v>8.5354632387294405E-2</v>
      </c>
      <c r="S118" s="10">
        <v>0.25209550885296961</v>
      </c>
      <c r="T118" s="10">
        <v>0.33463071909092779</v>
      </c>
      <c r="U118" s="10">
        <v>8.02585341365461E-2</v>
      </c>
      <c r="V118" s="10">
        <v>0.51436694080617318</v>
      </c>
      <c r="W118" s="10">
        <v>0.2698244886677722</v>
      </c>
      <c r="X118" s="10">
        <v>0.1996268656716417</v>
      </c>
      <c r="Y118" s="10">
        <v>0.33124999999999999</v>
      </c>
      <c r="Z118" s="10">
        <v>0.42</v>
      </c>
      <c r="AA118" s="10">
        <v>7.0000000000000007E-2</v>
      </c>
      <c r="AB118" s="10">
        <v>0.69499999999999995</v>
      </c>
      <c r="AC118" s="10">
        <v>0.34764437170019702</v>
      </c>
      <c r="AD118">
        <v>4.1622767421842802E-2</v>
      </c>
      <c r="AE118">
        <v>0.7422491840558435</v>
      </c>
    </row>
    <row r="119" spans="1:31" hidden="1">
      <c r="A119" t="s">
        <v>85</v>
      </c>
      <c r="B119" t="s">
        <v>65</v>
      </c>
      <c r="C119" t="s">
        <v>84</v>
      </c>
      <c r="D119" t="s">
        <v>69</v>
      </c>
      <c r="E119">
        <v>26</v>
      </c>
      <c r="F119">
        <v>0.1884057971014492</v>
      </c>
      <c r="G119">
        <v>5</v>
      </c>
      <c r="H119" s="10">
        <v>0.57107802321145273</v>
      </c>
      <c r="I119" s="10">
        <v>0.53177573739678785</v>
      </c>
      <c r="J119" s="10">
        <v>0.64292733443712158</v>
      </c>
      <c r="K119" s="10">
        <v>3.031106430891557</v>
      </c>
      <c r="L119" s="10">
        <v>2.8225019907983362</v>
      </c>
      <c r="M119" s="10">
        <v>3.4124604673970298</v>
      </c>
      <c r="N119" s="10">
        <v>0.82788461538461555</v>
      </c>
      <c r="O119" s="10">
        <v>0.81905906593406597</v>
      </c>
      <c r="P119" s="10">
        <v>0.84591346153846159</v>
      </c>
      <c r="Q119" s="10">
        <v>0.45998774332623349</v>
      </c>
      <c r="R119" s="10">
        <v>0.43335965145249061</v>
      </c>
      <c r="S119" s="10">
        <v>0.47596419419298119</v>
      </c>
      <c r="T119" s="10">
        <v>0.61351980156378105</v>
      </c>
      <c r="U119" s="10">
        <v>0.49872588278121588</v>
      </c>
      <c r="V119" s="10">
        <v>0.69385502545389011</v>
      </c>
      <c r="W119" s="10">
        <v>0.50981185852640842</v>
      </c>
      <c r="X119" s="10">
        <v>0.44863928748144483</v>
      </c>
      <c r="Y119" s="10">
        <v>0.62175438596491228</v>
      </c>
      <c r="Z119" s="10">
        <v>0.66153846153846163</v>
      </c>
      <c r="AA119" s="10">
        <v>0.47692307692307689</v>
      </c>
      <c r="AB119" s="10">
        <v>0.80384615384615388</v>
      </c>
      <c r="AC119" s="10">
        <v>0.32729018687767619</v>
      </c>
      <c r="AD119">
        <v>0.11127698874885431</v>
      </c>
      <c r="AE119">
        <v>0.57809385876260233</v>
      </c>
    </row>
    <row r="120" spans="1:31" hidden="1">
      <c r="A120" t="s">
        <v>85</v>
      </c>
      <c r="B120" t="s">
        <v>65</v>
      </c>
      <c r="C120" t="s">
        <v>84</v>
      </c>
      <c r="D120" t="s">
        <v>70</v>
      </c>
      <c r="E120">
        <v>7</v>
      </c>
      <c r="F120">
        <v>5.0724637681159403E-2</v>
      </c>
      <c r="G120">
        <v>5</v>
      </c>
      <c r="H120" s="10">
        <v>4.6661294069645101E-2</v>
      </c>
      <c r="I120" s="10">
        <v>3.96978827759513E-2</v>
      </c>
      <c r="J120" s="10">
        <v>5.4656145489522197E-2</v>
      </c>
      <c r="K120" s="10">
        <v>0.91989408308729037</v>
      </c>
      <c r="L120" s="10">
        <v>0.78261540329732604</v>
      </c>
      <c r="M120" s="10">
        <v>1.0775068682220099</v>
      </c>
      <c r="N120" s="10">
        <v>0.36870229007633581</v>
      </c>
      <c r="O120" s="10">
        <v>0.28157033805888759</v>
      </c>
      <c r="P120" s="10">
        <v>0.44193020719738269</v>
      </c>
      <c r="Q120" s="10">
        <v>-4.1130405482174198E-2</v>
      </c>
      <c r="R120" s="10">
        <v>-0.14164436198517991</v>
      </c>
      <c r="S120" s="10">
        <v>5.9175846172707297E-2</v>
      </c>
      <c r="T120" s="10">
        <v>0.1552610609214225</v>
      </c>
      <c r="U120" s="10">
        <v>1.6339869281045701E-2</v>
      </c>
      <c r="V120" s="10">
        <v>0.23080504966887411</v>
      </c>
      <c r="W120" s="10">
        <v>3.8765106569984602E-2</v>
      </c>
      <c r="X120" s="10">
        <v>4.0000000000000001E-3</v>
      </c>
      <c r="Y120" s="10">
        <v>5.8878048780487802E-2</v>
      </c>
      <c r="Z120" s="10">
        <v>0.62857142857142856</v>
      </c>
      <c r="AA120" s="10">
        <v>7.1428571428571397E-2</v>
      </c>
      <c r="AB120" s="10">
        <v>0.8571428571428571</v>
      </c>
      <c r="AC120" s="10">
        <v>0.1013857621112603</v>
      </c>
      <c r="AD120">
        <v>2.1198877882640001E-3</v>
      </c>
      <c r="AE120">
        <v>0.44709573478071007</v>
      </c>
    </row>
    <row r="121" spans="1:31" hidden="1">
      <c r="A121" t="s">
        <v>85</v>
      </c>
      <c r="B121" t="s">
        <v>65</v>
      </c>
      <c r="C121" t="s">
        <v>84</v>
      </c>
      <c r="D121" t="s">
        <v>71</v>
      </c>
      <c r="E121">
        <v>9</v>
      </c>
      <c r="F121">
        <v>6.5217391304347797E-2</v>
      </c>
      <c r="G121">
        <v>5</v>
      </c>
      <c r="H121" s="10">
        <v>7.9390186149180503E-2</v>
      </c>
      <c r="I121" s="10">
        <v>5.7448656884843699E-2</v>
      </c>
      <c r="J121" s="10">
        <v>9.6533686589911294E-2</v>
      </c>
      <c r="K121" s="10">
        <v>1.2173161876207681</v>
      </c>
      <c r="L121" s="10">
        <v>0.88087940556760502</v>
      </c>
      <c r="M121" s="10">
        <v>1.480183194378641</v>
      </c>
      <c r="N121" s="10">
        <v>0.45521102497846683</v>
      </c>
      <c r="O121" s="10">
        <v>0.34560723514211888</v>
      </c>
      <c r="P121" s="10">
        <v>0.53953488372093017</v>
      </c>
      <c r="Q121" s="10">
        <v>-1.9903889858714999E-3</v>
      </c>
      <c r="R121" s="10">
        <v>-0.1065202546534444</v>
      </c>
      <c r="S121" s="10">
        <v>0.1014010884872401</v>
      </c>
      <c r="T121" s="10">
        <v>0.1591805636651048</v>
      </c>
      <c r="U121" s="10">
        <v>7.0422535211267E-3</v>
      </c>
      <c r="V121" s="10">
        <v>0.2833670374115268</v>
      </c>
      <c r="W121" s="10">
        <v>5.8181818181818099E-2</v>
      </c>
      <c r="X121" s="10">
        <v>2.8571428571427999E-3</v>
      </c>
      <c r="Y121" s="10">
        <v>9.9090909090908993E-2</v>
      </c>
      <c r="Z121" s="10">
        <v>0.28888888888888881</v>
      </c>
      <c r="AA121" s="10">
        <v>1.1111111111111099E-2</v>
      </c>
      <c r="AB121" s="10">
        <v>0.54444444444444451</v>
      </c>
      <c r="AC121" s="10">
        <v>4.9525402265221799E-2</v>
      </c>
      <c r="AD121">
        <v>1.54685426367231E-2</v>
      </c>
      <c r="AE121">
        <v>8.6272723103849994E-2</v>
      </c>
    </row>
    <row r="122" spans="1:31">
      <c r="A122" t="s">
        <v>88</v>
      </c>
      <c r="B122" t="s">
        <v>65</v>
      </c>
      <c r="C122" t="s">
        <v>80</v>
      </c>
      <c r="D122" t="s">
        <v>67</v>
      </c>
      <c r="E122">
        <v>4</v>
      </c>
      <c r="F122">
        <v>2.8985507246376802E-2</v>
      </c>
      <c r="G122">
        <v>5</v>
      </c>
      <c r="H122" s="10">
        <v>0.20443604758049611</v>
      </c>
      <c r="I122" s="10">
        <v>8.2788930870855801E-2</v>
      </c>
      <c r="J122" s="10">
        <v>0.3776568011582182</v>
      </c>
      <c r="K122" s="10">
        <v>7.0530436415271156</v>
      </c>
      <c r="L122" s="10">
        <v>2.8562181150445252</v>
      </c>
      <c r="M122" s="10">
        <v>13.029159639958531</v>
      </c>
      <c r="N122" s="10">
        <v>0.82089552238805974</v>
      </c>
      <c r="O122" s="10">
        <v>0.75951492537313436</v>
      </c>
      <c r="P122" s="10">
        <v>0.87238805970149247</v>
      </c>
      <c r="Q122" s="10">
        <v>0.14243337153572641</v>
      </c>
      <c r="R122" s="10">
        <v>2.80091935866267E-2</v>
      </c>
      <c r="S122" s="10">
        <v>0.31693275775118979</v>
      </c>
      <c r="T122" s="10">
        <v>0.23551784400294329</v>
      </c>
      <c r="U122" s="10">
        <v>0.1330941869021339</v>
      </c>
      <c r="V122" s="10">
        <v>0.40833333333333333</v>
      </c>
      <c r="W122" s="10">
        <v>9.7890211640211597E-2</v>
      </c>
      <c r="X122" s="10">
        <v>2.9791666666666598E-2</v>
      </c>
      <c r="Y122" s="10">
        <v>0.23928571428571421</v>
      </c>
      <c r="Z122" s="10">
        <v>0.8</v>
      </c>
      <c r="AA122" s="10">
        <v>0.5</v>
      </c>
      <c r="AB122" s="10">
        <v>1</v>
      </c>
      <c r="AC122" s="10">
        <v>5.7332992496497003E-2</v>
      </c>
      <c r="AD122">
        <v>1.211871882355E-4</v>
      </c>
      <c r="AE122">
        <v>0.18989776840925429</v>
      </c>
    </row>
    <row r="123" spans="1:31">
      <c r="A123" t="s">
        <v>85</v>
      </c>
      <c r="B123" t="s">
        <v>77</v>
      </c>
      <c r="C123" t="s">
        <v>80</v>
      </c>
      <c r="D123" t="s">
        <v>68</v>
      </c>
      <c r="E123">
        <v>21</v>
      </c>
      <c r="F123">
        <v>0.15</v>
      </c>
      <c r="G123">
        <v>5</v>
      </c>
      <c r="H123" s="10">
        <v>0.24566700212607989</v>
      </c>
      <c r="I123" s="10">
        <v>0.2038571463364082</v>
      </c>
      <c r="J123" s="10">
        <v>0.2811685458757619</v>
      </c>
      <c r="K123" s="10">
        <v>1.6377800141738661</v>
      </c>
      <c r="L123" s="10">
        <v>1.359047642242722</v>
      </c>
      <c r="M123" s="10">
        <v>1.8744569725050799</v>
      </c>
      <c r="N123" s="10">
        <v>0.67378951580632251</v>
      </c>
      <c r="O123" s="10">
        <v>0.57747098839535804</v>
      </c>
      <c r="P123" s="10">
        <v>0.73353341336534605</v>
      </c>
      <c r="Q123" s="10">
        <v>0.20751613119661891</v>
      </c>
      <c r="R123" s="10">
        <v>0.12277154276991541</v>
      </c>
      <c r="S123" s="10">
        <v>0.2786485842466519</v>
      </c>
      <c r="T123" s="10">
        <v>0.3994056734118992</v>
      </c>
      <c r="U123" s="10">
        <v>0.3072892408011178</v>
      </c>
      <c r="V123" s="10">
        <v>0.52985929840198631</v>
      </c>
      <c r="W123" s="10">
        <v>0.28052246603970737</v>
      </c>
      <c r="X123" s="10">
        <v>0.23413793103448269</v>
      </c>
      <c r="Y123" s="10">
        <v>0.3413793103448276</v>
      </c>
      <c r="Z123" s="10">
        <v>0.45714285714285707</v>
      </c>
      <c r="AA123" s="10">
        <v>0.33333333333333331</v>
      </c>
      <c r="AB123" s="10">
        <v>0.69047619047619047</v>
      </c>
      <c r="AC123" s="10">
        <v>0.37720450532515082</v>
      </c>
      <c r="AD123">
        <v>0.1887787941040365</v>
      </c>
      <c r="AE123">
        <v>0.57126061084470237</v>
      </c>
    </row>
    <row r="124" spans="1:31">
      <c r="A124" t="s">
        <v>85</v>
      </c>
      <c r="B124" t="s">
        <v>77</v>
      </c>
      <c r="C124" t="s">
        <v>80</v>
      </c>
      <c r="D124" t="s">
        <v>69</v>
      </c>
      <c r="E124">
        <v>26</v>
      </c>
      <c r="F124">
        <v>0.18571428571428569</v>
      </c>
      <c r="G124">
        <v>5</v>
      </c>
      <c r="H124" s="10">
        <v>0.49497774166613878</v>
      </c>
      <c r="I124" s="10">
        <v>0.39736723371575228</v>
      </c>
      <c r="J124" s="10">
        <v>0.59856357498244295</v>
      </c>
      <c r="K124" s="10">
        <v>2.66526476281767</v>
      </c>
      <c r="L124" s="10">
        <v>2.1396697200078969</v>
      </c>
      <c r="M124" s="10">
        <v>3.2230346345208472</v>
      </c>
      <c r="N124" s="10">
        <v>0.85904183535762491</v>
      </c>
      <c r="O124" s="10">
        <v>0.82415654520917681</v>
      </c>
      <c r="P124" s="10">
        <v>0.91204453441295563</v>
      </c>
      <c r="Q124" s="10">
        <v>0.49116880589855461</v>
      </c>
      <c r="R124" s="10">
        <v>0.4363235387020496</v>
      </c>
      <c r="S124" s="10">
        <v>0.56210736524789129</v>
      </c>
      <c r="T124" s="10">
        <v>0.66473447910687666</v>
      </c>
      <c r="U124" s="10">
        <v>0.50055236411842685</v>
      </c>
      <c r="V124" s="10">
        <v>0.78585081981140092</v>
      </c>
      <c r="W124" s="10">
        <v>0.49584656084656081</v>
      </c>
      <c r="X124" s="10">
        <v>0.45343915343915342</v>
      </c>
      <c r="Y124" s="10">
        <v>0.58888888888888891</v>
      </c>
      <c r="Z124" s="10">
        <v>0.74615384615384617</v>
      </c>
      <c r="AA124" s="10">
        <v>0.4884615384615385</v>
      </c>
      <c r="AB124" s="10">
        <v>0.95</v>
      </c>
      <c r="AC124" s="10">
        <v>0.43805751299045148</v>
      </c>
      <c r="AD124">
        <v>6.8298578645816496E-2</v>
      </c>
      <c r="AE124">
        <v>0.84491947758399477</v>
      </c>
    </row>
    <row r="125" spans="1:31">
      <c r="A125" t="s">
        <v>85</v>
      </c>
      <c r="B125" t="s">
        <v>77</v>
      </c>
      <c r="C125" t="s">
        <v>80</v>
      </c>
      <c r="D125" t="s">
        <v>70</v>
      </c>
      <c r="E125">
        <v>7</v>
      </c>
      <c r="F125">
        <v>0.05</v>
      </c>
      <c r="G125">
        <v>5</v>
      </c>
      <c r="H125" s="10">
        <v>0.27851698690820897</v>
      </c>
      <c r="I125" s="10">
        <v>0.20882556041341391</v>
      </c>
      <c r="J125" s="10">
        <v>0.3589276271451407</v>
      </c>
      <c r="K125" s="10">
        <v>5.5703397381641793</v>
      </c>
      <c r="L125" s="10">
        <v>4.1765112082682787</v>
      </c>
      <c r="M125" s="10">
        <v>7.1785525429028141</v>
      </c>
      <c r="N125" s="10">
        <v>0.73168635875402788</v>
      </c>
      <c r="O125" s="10">
        <v>0.68098818474758327</v>
      </c>
      <c r="P125" s="10">
        <v>0.82223415682062295</v>
      </c>
      <c r="Q125" s="10">
        <v>3.53130563933019E-2</v>
      </c>
      <c r="R125" s="10">
        <v>-1.75129097187075E-2</v>
      </c>
      <c r="S125" s="10">
        <v>0.109315503552394</v>
      </c>
      <c r="T125" s="10">
        <v>9.7838161155259298E-2</v>
      </c>
      <c r="U125" s="10">
        <v>0</v>
      </c>
      <c r="V125" s="10">
        <v>0.24750064086131759</v>
      </c>
      <c r="W125" s="10">
        <v>2.6934835076428E-2</v>
      </c>
      <c r="X125" s="10">
        <v>0</v>
      </c>
      <c r="Y125" s="10">
        <v>7.1649235720032095E-2</v>
      </c>
      <c r="Z125" s="10">
        <v>0.31428571428571428</v>
      </c>
      <c r="AA125" s="10">
        <v>0</v>
      </c>
      <c r="AB125" s="10">
        <v>0.95714285714285718</v>
      </c>
      <c r="AC125" s="10">
        <v>0.60193975990068693</v>
      </c>
      <c r="AD125">
        <v>2.8664135714709998E-3</v>
      </c>
      <c r="AE125">
        <v>0.99999999952991003</v>
      </c>
    </row>
    <row r="126" spans="1:31">
      <c r="A126" t="s">
        <v>85</v>
      </c>
      <c r="B126" t="s">
        <v>77</v>
      </c>
      <c r="C126" t="s">
        <v>80</v>
      </c>
      <c r="D126" t="s">
        <v>71</v>
      </c>
      <c r="E126">
        <v>9</v>
      </c>
      <c r="F126">
        <v>6.4285714285714196E-2</v>
      </c>
      <c r="G126">
        <v>5</v>
      </c>
      <c r="H126" s="10">
        <v>0.17935602047736521</v>
      </c>
      <c r="I126" s="10">
        <v>0.11778017813597461</v>
      </c>
      <c r="J126" s="10">
        <v>0.2314120180171087</v>
      </c>
      <c r="K126" s="10">
        <v>2.7899825407590142</v>
      </c>
      <c r="L126" s="10">
        <v>1.8321361043373841</v>
      </c>
      <c r="M126" s="10">
        <v>3.599742502488358</v>
      </c>
      <c r="N126" s="10">
        <v>0.65564037319762503</v>
      </c>
      <c r="O126" s="10">
        <v>0.55343511450381677</v>
      </c>
      <c r="P126" s="10">
        <v>0.73910093299406276</v>
      </c>
      <c r="Q126" s="10">
        <v>0.1265877772254686</v>
      </c>
      <c r="R126" s="10">
        <v>-3.0692797131833999E-2</v>
      </c>
      <c r="S126" s="10">
        <v>0.25865678590849989</v>
      </c>
      <c r="T126" s="10">
        <v>0.2608901880515001</v>
      </c>
      <c r="U126" s="10">
        <v>0.1963327370304114</v>
      </c>
      <c r="V126" s="10">
        <v>0.37832282817210189</v>
      </c>
      <c r="W126" s="10">
        <v>0.18772575814002651</v>
      </c>
      <c r="X126" s="10">
        <v>5.9142726858185099E-2</v>
      </c>
      <c r="Y126" s="10">
        <v>0.38857142857142851</v>
      </c>
      <c r="Z126" s="10">
        <v>0.51111111111111107</v>
      </c>
      <c r="AA126" s="10">
        <v>0.22222222222222221</v>
      </c>
      <c r="AB126" s="10">
        <v>0.87777777777777777</v>
      </c>
      <c r="AC126" s="10">
        <v>0.34881881658484348</v>
      </c>
      <c r="AD126">
        <v>2.0305618704007998E-3</v>
      </c>
      <c r="AE126">
        <v>0.91019744735857322</v>
      </c>
    </row>
    <row r="127" spans="1:31" hidden="1">
      <c r="A127" t="s">
        <v>85</v>
      </c>
      <c r="B127" t="s">
        <v>77</v>
      </c>
      <c r="C127" t="s">
        <v>81</v>
      </c>
      <c r="D127" t="s">
        <v>67</v>
      </c>
      <c r="E127">
        <v>4</v>
      </c>
      <c r="F127">
        <v>2.8571428571428501E-2</v>
      </c>
      <c r="G127">
        <v>5</v>
      </c>
      <c r="H127" s="10">
        <v>0.22260585819409351</v>
      </c>
      <c r="I127" s="10">
        <v>5.2279942279942197E-2</v>
      </c>
      <c r="J127" s="10">
        <v>0.33560224089635859</v>
      </c>
      <c r="K127" s="10">
        <v>7.7912050367932739</v>
      </c>
      <c r="L127" s="10">
        <v>1.82979797979798</v>
      </c>
      <c r="M127" s="10">
        <v>11.746078431372551</v>
      </c>
      <c r="N127" s="10">
        <v>0.72352941176470587</v>
      </c>
      <c r="O127" s="10">
        <v>0.58152573529411766</v>
      </c>
      <c r="P127" s="10">
        <v>0.83538602941176476</v>
      </c>
      <c r="Q127" s="10">
        <v>2.84985223371505E-2</v>
      </c>
      <c r="R127" s="10">
        <v>0</v>
      </c>
      <c r="S127" s="10">
        <v>0.1282433505171775</v>
      </c>
      <c r="T127" s="10">
        <v>0.14423076923076919</v>
      </c>
      <c r="U127" s="10">
        <v>0.12820512820512819</v>
      </c>
      <c r="V127" s="10">
        <v>0.2003205128205128</v>
      </c>
      <c r="W127" s="10">
        <v>4.78571428571428E-2</v>
      </c>
      <c r="X127" s="10">
        <v>2.8571428571428501E-2</v>
      </c>
      <c r="Y127" s="10">
        <v>0.1153571428571428</v>
      </c>
      <c r="Z127" s="10">
        <v>0.85</v>
      </c>
      <c r="AA127" s="10">
        <v>0.32500000000000001</v>
      </c>
      <c r="AB127" s="10">
        <v>1</v>
      </c>
      <c r="AC127" s="10">
        <v>3.9339990974099702E-2</v>
      </c>
      <c r="AD127">
        <v>0</v>
      </c>
      <c r="AE127">
        <v>0.17702995938344879</v>
      </c>
    </row>
    <row r="128" spans="1:31" hidden="1">
      <c r="A128" t="s">
        <v>85</v>
      </c>
      <c r="B128" t="s">
        <v>77</v>
      </c>
      <c r="C128" t="s">
        <v>81</v>
      </c>
      <c r="D128" t="s">
        <v>68</v>
      </c>
      <c r="E128">
        <v>21</v>
      </c>
      <c r="F128">
        <v>0.15</v>
      </c>
      <c r="G128">
        <v>5</v>
      </c>
      <c r="H128" s="10">
        <v>0.22148327966637171</v>
      </c>
      <c r="I128" s="10">
        <v>0.19505515754757241</v>
      </c>
      <c r="J128" s="10">
        <v>0.24157928036857279</v>
      </c>
      <c r="K128" s="10">
        <v>1.476555197775812</v>
      </c>
      <c r="L128" s="10">
        <v>1.3003677169838159</v>
      </c>
      <c r="M128" s="10">
        <v>1.610528535790485</v>
      </c>
      <c r="N128" s="10">
        <v>0.65214085634253705</v>
      </c>
      <c r="O128" s="10">
        <v>0.60818327330932376</v>
      </c>
      <c r="P128" s="10">
        <v>0.68323329331732696</v>
      </c>
      <c r="Q128" s="10">
        <v>0.11568876194600319</v>
      </c>
      <c r="R128" s="10">
        <v>4.8884752743805597E-2</v>
      </c>
      <c r="S128" s="10">
        <v>0.23635693647734071</v>
      </c>
      <c r="T128" s="10">
        <v>0.31535912004661998</v>
      </c>
      <c r="U128" s="10">
        <v>7.3863636363636298E-2</v>
      </c>
      <c r="V128" s="10">
        <v>0.51369463869463872</v>
      </c>
      <c r="W128" s="10">
        <v>0.220218086997748</v>
      </c>
      <c r="X128" s="10">
        <v>0.19307692307692309</v>
      </c>
      <c r="Y128" s="10">
        <v>0.25381355932203381</v>
      </c>
      <c r="Z128" s="10">
        <v>0.4</v>
      </c>
      <c r="AA128" s="10">
        <v>6.6666666666666596E-2</v>
      </c>
      <c r="AB128" s="10">
        <v>0.7</v>
      </c>
      <c r="AC128" s="10">
        <v>0.33093305758671637</v>
      </c>
      <c r="AD128">
        <v>7.5564944216007998E-2</v>
      </c>
      <c r="AE128">
        <v>0.75823339892916219</v>
      </c>
    </row>
    <row r="129" spans="1:31" hidden="1">
      <c r="A129" t="s">
        <v>85</v>
      </c>
      <c r="B129" t="s">
        <v>77</v>
      </c>
      <c r="C129" t="s">
        <v>81</v>
      </c>
      <c r="D129" t="s">
        <v>69</v>
      </c>
      <c r="E129">
        <v>26</v>
      </c>
      <c r="F129">
        <v>0.18571428571428569</v>
      </c>
      <c r="G129">
        <v>5</v>
      </c>
      <c r="H129" s="10">
        <v>0.45215114870237222</v>
      </c>
      <c r="I129" s="10">
        <v>0.35410154308775199</v>
      </c>
      <c r="J129" s="10">
        <v>0.54352325760029618</v>
      </c>
      <c r="K129" s="10">
        <v>2.4346600314743121</v>
      </c>
      <c r="L129" s="10">
        <v>1.9067006166263569</v>
      </c>
      <c r="M129" s="10">
        <v>2.9266636947708249</v>
      </c>
      <c r="N129" s="10">
        <v>0.84692982456140342</v>
      </c>
      <c r="O129" s="10">
        <v>0.77113697705802975</v>
      </c>
      <c r="P129" s="10">
        <v>0.88370445344129567</v>
      </c>
      <c r="Q129" s="10">
        <v>0.42130284063006551</v>
      </c>
      <c r="R129" s="10">
        <v>0.25570214362020272</v>
      </c>
      <c r="S129" s="10">
        <v>0.49641630137216969</v>
      </c>
      <c r="T129" s="10">
        <v>0.59828266155077292</v>
      </c>
      <c r="U129" s="10">
        <v>0.3539074166251866</v>
      </c>
      <c r="V129" s="10">
        <v>0.70272133860439456</v>
      </c>
      <c r="W129" s="10">
        <v>0.4539387825556736</v>
      </c>
      <c r="X129" s="10">
        <v>0.41884944920440631</v>
      </c>
      <c r="Y129" s="10">
        <v>0.48608058608058607</v>
      </c>
      <c r="Z129" s="10">
        <v>0.66153846153846152</v>
      </c>
      <c r="AA129" s="10">
        <v>0.34615384615384609</v>
      </c>
      <c r="AB129" s="10">
        <v>0.80384615384615388</v>
      </c>
      <c r="AC129" s="10">
        <v>0.47727127351081972</v>
      </c>
      <c r="AD129">
        <v>0.38717667567069841</v>
      </c>
      <c r="AE129">
        <v>0.7575375273086733</v>
      </c>
    </row>
    <row r="130" spans="1:31" hidden="1">
      <c r="A130" t="s">
        <v>85</v>
      </c>
      <c r="B130" t="s">
        <v>77</v>
      </c>
      <c r="C130" t="s">
        <v>81</v>
      </c>
      <c r="D130" t="s">
        <v>70</v>
      </c>
      <c r="E130">
        <v>7</v>
      </c>
      <c r="F130">
        <v>0.05</v>
      </c>
      <c r="G130">
        <v>5</v>
      </c>
      <c r="H130" s="10">
        <v>0.18954854669140381</v>
      </c>
      <c r="I130" s="10">
        <v>0.1403061224489795</v>
      </c>
      <c r="J130" s="10">
        <v>0.22402597402597399</v>
      </c>
      <c r="K130" s="10">
        <v>3.7909709338280768</v>
      </c>
      <c r="L130" s="10">
        <v>2.806122448979592</v>
      </c>
      <c r="M130" s="10">
        <v>4.4805194805194803</v>
      </c>
      <c r="N130" s="10">
        <v>0.62996777658431791</v>
      </c>
      <c r="O130" s="10">
        <v>0.60939849624060138</v>
      </c>
      <c r="P130" s="10">
        <v>0.67561761546723953</v>
      </c>
      <c r="Q130" s="10">
        <v>0.1114379036361836</v>
      </c>
      <c r="R130" s="10">
        <v>0</v>
      </c>
      <c r="S130" s="10">
        <v>0.24096986884894511</v>
      </c>
      <c r="T130" s="10">
        <v>0.18039460539460539</v>
      </c>
      <c r="U130" s="10">
        <v>1.51515151515151E-2</v>
      </c>
      <c r="V130" s="10">
        <v>0.28278388278388278</v>
      </c>
      <c r="W130" s="10">
        <v>0.1435064935064935</v>
      </c>
      <c r="X130" s="10">
        <v>5.0000000000000001E-3</v>
      </c>
      <c r="Y130" s="10">
        <v>0.27714285714285708</v>
      </c>
      <c r="Z130" s="10">
        <v>0.3428571428571428</v>
      </c>
      <c r="AA130" s="10">
        <v>1.42857142857142E-2</v>
      </c>
      <c r="AB130" s="10">
        <v>0.92857142857142838</v>
      </c>
      <c r="AC130" s="10">
        <v>0.1498729987474503</v>
      </c>
      <c r="AD130">
        <v>7.9979269302849001E-3</v>
      </c>
      <c r="AE130">
        <v>0.26528086180370142</v>
      </c>
    </row>
    <row r="131" spans="1:31" hidden="1">
      <c r="A131" t="s">
        <v>85</v>
      </c>
      <c r="B131" t="s">
        <v>77</v>
      </c>
      <c r="C131" t="s">
        <v>81</v>
      </c>
      <c r="D131" t="s">
        <v>71</v>
      </c>
      <c r="E131">
        <v>9</v>
      </c>
      <c r="F131">
        <v>6.4285714285714196E-2</v>
      </c>
      <c r="G131">
        <v>5</v>
      </c>
      <c r="H131" s="10">
        <v>0.1059922561447665</v>
      </c>
      <c r="I131" s="10">
        <v>9.5660191612877005E-2</v>
      </c>
      <c r="J131" s="10">
        <v>0.1279316346421609</v>
      </c>
      <c r="K131" s="10">
        <v>1.6487684289185911</v>
      </c>
      <c r="L131" s="10">
        <v>1.488047425089198</v>
      </c>
      <c r="M131" s="10">
        <v>1.9900476499891711</v>
      </c>
      <c r="N131" s="10">
        <v>0.61178965224766746</v>
      </c>
      <c r="O131" s="10">
        <v>0.59240882103477521</v>
      </c>
      <c r="P131" s="10">
        <v>0.62739609838846477</v>
      </c>
      <c r="Q131" s="10">
        <v>0.1187670136022935</v>
      </c>
      <c r="R131" s="10">
        <v>6.1964280652507002E-3</v>
      </c>
      <c r="S131" s="10">
        <v>0.20622860689007549</v>
      </c>
      <c r="T131" s="10">
        <v>0.19867093782796921</v>
      </c>
      <c r="U131" s="10">
        <v>9.8873591989987394E-2</v>
      </c>
      <c r="V131" s="10">
        <v>0.32834055971620019</v>
      </c>
      <c r="W131" s="10">
        <v>0.16344061735366081</v>
      </c>
      <c r="X131" s="10">
        <v>6.9090909090908995E-2</v>
      </c>
      <c r="Y131" s="10">
        <v>0.27714285714285708</v>
      </c>
      <c r="Z131" s="10">
        <v>0.2222222222222221</v>
      </c>
      <c r="AA131" s="10">
        <v>0.1111111111111111</v>
      </c>
      <c r="AB131" s="10">
        <v>0.42222222222222211</v>
      </c>
      <c r="AC131" s="10">
        <v>0.19739838272896401</v>
      </c>
      <c r="AD131">
        <v>0.19429961155851219</v>
      </c>
      <c r="AE131">
        <v>0.20030620328103749</v>
      </c>
    </row>
    <row r="132" spans="1:31" hidden="1">
      <c r="A132" t="s">
        <v>85</v>
      </c>
      <c r="B132" t="s">
        <v>77</v>
      </c>
      <c r="C132" t="s">
        <v>82</v>
      </c>
      <c r="D132" t="s">
        <v>67</v>
      </c>
      <c r="E132">
        <v>4</v>
      </c>
      <c r="F132">
        <v>2.8571428571428501E-2</v>
      </c>
      <c r="G132">
        <v>5</v>
      </c>
      <c r="H132" s="10">
        <v>2.3995927626327299E-2</v>
      </c>
      <c r="I132" s="10">
        <v>2.3078802045620898E-2</v>
      </c>
      <c r="J132" s="10">
        <v>2.6071411126133901E-2</v>
      </c>
      <c r="K132" s="10">
        <v>0.83985746692145613</v>
      </c>
      <c r="L132" s="10">
        <v>0.80775807159673219</v>
      </c>
      <c r="M132" s="10">
        <v>0.91249938941468678</v>
      </c>
      <c r="N132" s="10">
        <v>0.27977941176470589</v>
      </c>
      <c r="O132" s="10">
        <v>0.25128676470588229</v>
      </c>
      <c r="P132" s="10">
        <v>0.33970588235294108</v>
      </c>
      <c r="Q132" s="10">
        <v>-6.9549508758384906E-2</v>
      </c>
      <c r="R132" s="10">
        <v>-0.23518772116244821</v>
      </c>
      <c r="S132" s="10">
        <v>4.1627003037553997E-2</v>
      </c>
      <c r="T132" s="10">
        <v>9.4141283852102797E-2</v>
      </c>
      <c r="U132" s="10">
        <v>3.9231547017188999E-2</v>
      </c>
      <c r="V132" s="10">
        <v>0.13495495495495491</v>
      </c>
      <c r="W132" s="10">
        <v>2.1325455994927502E-2</v>
      </c>
      <c r="X132" s="10">
        <v>8.9747027800125001E-3</v>
      </c>
      <c r="Y132" s="10">
        <v>3.0257801899592901E-2</v>
      </c>
      <c r="Z132" s="10">
        <v>0.65</v>
      </c>
      <c r="AA132" s="10">
        <v>0.25</v>
      </c>
      <c r="AB132" s="10">
        <v>1</v>
      </c>
      <c r="AC132" s="10">
        <v>0.1108011934874114</v>
      </c>
      <c r="AD132">
        <v>3.3300702261460702E-2</v>
      </c>
      <c r="AE132">
        <v>0.16986417573442761</v>
      </c>
    </row>
    <row r="133" spans="1:31" hidden="1">
      <c r="A133" t="s">
        <v>85</v>
      </c>
      <c r="B133" t="s">
        <v>77</v>
      </c>
      <c r="C133" t="s">
        <v>82</v>
      </c>
      <c r="D133" t="s">
        <v>68</v>
      </c>
      <c r="E133">
        <v>21</v>
      </c>
      <c r="F133">
        <v>0.15</v>
      </c>
      <c r="G133">
        <v>5</v>
      </c>
      <c r="H133" s="10">
        <v>0.2007817092848411</v>
      </c>
      <c r="I133" s="10">
        <v>0.15555060867610371</v>
      </c>
      <c r="J133" s="10">
        <v>0.26135542337406859</v>
      </c>
      <c r="K133" s="10">
        <v>1.338544728565608</v>
      </c>
      <c r="L133" s="10">
        <v>1.0370040578406921</v>
      </c>
      <c r="M133" s="10">
        <v>1.742369489160458</v>
      </c>
      <c r="N133" s="10">
        <v>0.55166066426570626</v>
      </c>
      <c r="O133" s="10">
        <v>0.47218887555021999</v>
      </c>
      <c r="P133" s="10">
        <v>0.62052821128451374</v>
      </c>
      <c r="Q133" s="10">
        <v>2.6502652360100201E-2</v>
      </c>
      <c r="R133" s="10">
        <v>-7.8761887871019898E-2</v>
      </c>
      <c r="S133" s="10">
        <v>0.15080392259973779</v>
      </c>
      <c r="T133" s="10">
        <v>0.34271756949384069</v>
      </c>
      <c r="U133" s="10">
        <v>3.8759689922480599E-2</v>
      </c>
      <c r="V133" s="10">
        <v>0.45816300459887582</v>
      </c>
      <c r="W133" s="10">
        <v>0.14370054032541971</v>
      </c>
      <c r="X133" s="10">
        <v>1.42857142857142E-2</v>
      </c>
      <c r="Y133" s="10">
        <v>0.22058823529411761</v>
      </c>
      <c r="Z133" s="10">
        <v>0.5714285714285714</v>
      </c>
      <c r="AA133" s="10">
        <v>4.7619047619047603E-2</v>
      </c>
      <c r="AB133" s="10">
        <v>0.8571428571428571</v>
      </c>
      <c r="AC133" s="10">
        <v>0.43338503310057358</v>
      </c>
      <c r="AD133">
        <v>6.6990367867595602E-2</v>
      </c>
      <c r="AE133">
        <v>0.82182628656970669</v>
      </c>
    </row>
    <row r="134" spans="1:31" hidden="1">
      <c r="A134" t="s">
        <v>85</v>
      </c>
      <c r="B134" t="s">
        <v>77</v>
      </c>
      <c r="C134" t="s">
        <v>82</v>
      </c>
      <c r="D134" t="s">
        <v>69</v>
      </c>
      <c r="E134">
        <v>26</v>
      </c>
      <c r="F134">
        <v>0.18571428571428569</v>
      </c>
      <c r="G134">
        <v>5</v>
      </c>
      <c r="H134" s="10">
        <v>0.232188451456527</v>
      </c>
      <c r="I134" s="10">
        <v>0.17928777176125829</v>
      </c>
      <c r="J134" s="10">
        <v>0.29910465918502299</v>
      </c>
      <c r="K134" s="10">
        <v>1.2502455078428381</v>
      </c>
      <c r="L134" s="10">
        <v>0.96539569409908321</v>
      </c>
      <c r="M134" s="10">
        <v>1.6105635494578161</v>
      </c>
      <c r="N134" s="10">
        <v>0.6095141700404858</v>
      </c>
      <c r="O134" s="10">
        <v>0.51002024291497972</v>
      </c>
      <c r="P134" s="10">
        <v>0.68579622132253715</v>
      </c>
      <c r="Q134" s="10">
        <v>0.19560355698331289</v>
      </c>
      <c r="R134" s="10">
        <v>0.1685120633946425</v>
      </c>
      <c r="S134" s="10">
        <v>0.2525671944557456</v>
      </c>
      <c r="T134" s="10">
        <v>0.55062952496217843</v>
      </c>
      <c r="U134" s="10">
        <v>0.50073920756948553</v>
      </c>
      <c r="V134" s="10">
        <v>0.59922426629521108</v>
      </c>
      <c r="W134" s="10">
        <v>0.2465581050765383</v>
      </c>
      <c r="X134" s="10">
        <v>0.22123205741626789</v>
      </c>
      <c r="Y134" s="10">
        <v>0.26360671015843429</v>
      </c>
      <c r="Z134" s="10">
        <v>0.80769230769230771</v>
      </c>
      <c r="AA134" s="10">
        <v>0.66153846153846152</v>
      </c>
      <c r="AB134" s="10">
        <v>0.95384615384615401</v>
      </c>
      <c r="AC134" s="10">
        <v>0.40515335599068819</v>
      </c>
      <c r="AD134">
        <v>0.24048010059300259</v>
      </c>
      <c r="AE134">
        <v>0.53150822751130444</v>
      </c>
    </row>
    <row r="135" spans="1:31" hidden="1">
      <c r="A135" t="s">
        <v>85</v>
      </c>
      <c r="B135" t="s">
        <v>77</v>
      </c>
      <c r="C135" t="s">
        <v>82</v>
      </c>
      <c r="D135" t="s">
        <v>70</v>
      </c>
      <c r="E135">
        <v>7</v>
      </c>
      <c r="F135">
        <v>0.05</v>
      </c>
      <c r="G135">
        <v>5</v>
      </c>
      <c r="H135" s="10">
        <v>7.5968998962121295E-2</v>
      </c>
      <c r="I135" s="10">
        <v>5.2536007854982497E-2</v>
      </c>
      <c r="J135" s="10">
        <v>0.12887904268199629</v>
      </c>
      <c r="K135" s="10">
        <v>1.5193799792424261</v>
      </c>
      <c r="L135" s="10">
        <v>1.0507201570996509</v>
      </c>
      <c r="M135" s="10">
        <v>2.5775808536399269</v>
      </c>
      <c r="N135" s="10">
        <v>0.55810955961331898</v>
      </c>
      <c r="O135" s="10">
        <v>0.39806659505907632</v>
      </c>
      <c r="P135" s="10">
        <v>0.73737916219119226</v>
      </c>
      <c r="Q135" s="10">
        <v>3.5798194161815303E-2</v>
      </c>
      <c r="R135" s="10">
        <v>-9.25729450730884E-2</v>
      </c>
      <c r="S135" s="10">
        <v>0.21620707002795969</v>
      </c>
      <c r="T135" s="10">
        <v>0.1869146518874496</v>
      </c>
      <c r="U135" s="10">
        <v>1.2820512820512799E-2</v>
      </c>
      <c r="V135" s="10">
        <v>0.36109503414747079</v>
      </c>
      <c r="W135" s="10">
        <v>6.1084656084655999E-2</v>
      </c>
      <c r="X135" s="10">
        <v>4.0000000000000001E-3</v>
      </c>
      <c r="Y135" s="10">
        <v>0.1493571428571428</v>
      </c>
      <c r="Z135" s="10">
        <v>0.54285714285714293</v>
      </c>
      <c r="AA135" s="10">
        <v>2.8571428571428501E-2</v>
      </c>
      <c r="AB135" s="10">
        <v>0.98571428571428565</v>
      </c>
      <c r="AC135" s="10">
        <v>0.47226659414427108</v>
      </c>
      <c r="AD135">
        <v>5.3047990965004399E-2</v>
      </c>
      <c r="AE135">
        <v>0.82513156426570988</v>
      </c>
    </row>
    <row r="136" spans="1:31" hidden="1">
      <c r="A136" t="s">
        <v>85</v>
      </c>
      <c r="B136" t="s">
        <v>77</v>
      </c>
      <c r="C136" t="s">
        <v>82</v>
      </c>
      <c r="D136" t="s">
        <v>71</v>
      </c>
      <c r="E136">
        <v>9</v>
      </c>
      <c r="F136">
        <v>6.4285714285714196E-2</v>
      </c>
      <c r="G136">
        <v>5</v>
      </c>
      <c r="H136" s="10">
        <v>0.1168395789449254</v>
      </c>
      <c r="I136" s="10">
        <v>8.6982885731632403E-2</v>
      </c>
      <c r="J136" s="10">
        <v>0.16770813384868091</v>
      </c>
      <c r="K136" s="10">
        <v>1.817504561365507</v>
      </c>
      <c r="L136" s="10">
        <v>1.3530671113809489</v>
      </c>
      <c r="M136" s="10">
        <v>2.608793193201703</v>
      </c>
      <c r="N136" s="10">
        <v>0.4771840542832908</v>
      </c>
      <c r="O136" s="10">
        <v>0.36743002544529269</v>
      </c>
      <c r="P136" s="10">
        <v>0.51967769296013566</v>
      </c>
      <c r="Q136" s="10">
        <v>2.8584126550391998E-3</v>
      </c>
      <c r="R136" s="10">
        <v>-0.1235652743635595</v>
      </c>
      <c r="S136" s="10">
        <v>0.1947055413423435</v>
      </c>
      <c r="T136" s="10">
        <v>0.17088466314339509</v>
      </c>
      <c r="U136" s="10">
        <v>0.1333464257659073</v>
      </c>
      <c r="V136" s="10">
        <v>0.24768873403019739</v>
      </c>
      <c r="W136" s="10">
        <v>0.14355890669094429</v>
      </c>
      <c r="X136" s="10">
        <v>4.2895573489850798E-2</v>
      </c>
      <c r="Y136" s="10">
        <v>0.4564748201438848</v>
      </c>
      <c r="Z136" s="10">
        <v>0.44444444444444448</v>
      </c>
      <c r="AA136" s="10">
        <v>0.1222222222222222</v>
      </c>
      <c r="AB136" s="10">
        <v>0.94444444444444442</v>
      </c>
      <c r="AC136" s="10">
        <v>0.35414648971970969</v>
      </c>
      <c r="AD136">
        <v>2.0638958804604601E-2</v>
      </c>
      <c r="AE136">
        <v>0.87590435918347764</v>
      </c>
    </row>
    <row r="137" spans="1:31" hidden="1">
      <c r="A137" t="s">
        <v>85</v>
      </c>
      <c r="B137" t="s">
        <v>77</v>
      </c>
      <c r="C137" t="s">
        <v>76</v>
      </c>
      <c r="D137" t="s">
        <v>67</v>
      </c>
      <c r="E137">
        <v>4</v>
      </c>
      <c r="F137">
        <v>2.8571428571428501E-2</v>
      </c>
      <c r="G137">
        <v>5</v>
      </c>
      <c r="H137" s="10">
        <v>0.19926466723013589</v>
      </c>
      <c r="I137" s="10">
        <v>6.4935883734538305E-2</v>
      </c>
      <c r="J137" s="10">
        <v>0.35789574202886898</v>
      </c>
      <c r="K137" s="10">
        <v>6.9742633530547566</v>
      </c>
      <c r="L137" s="10">
        <v>2.2727559307088412</v>
      </c>
      <c r="M137" s="10">
        <v>12.526350971010411</v>
      </c>
      <c r="N137" s="10">
        <v>0.78363970588235299</v>
      </c>
      <c r="O137" s="10">
        <v>0.69218750000000007</v>
      </c>
      <c r="P137" s="10">
        <v>0.85459558823529402</v>
      </c>
      <c r="Q137" s="10">
        <v>0.1589792417844075</v>
      </c>
      <c r="R137" s="10">
        <v>8.0506239892888104E-2</v>
      </c>
      <c r="S137" s="10">
        <v>0.25445172311404918</v>
      </c>
      <c r="T137" s="10">
        <v>0.25680583724813788</v>
      </c>
      <c r="U137" s="10">
        <v>0.158137882018479</v>
      </c>
      <c r="V137" s="10">
        <v>0.3652777777777777</v>
      </c>
      <c r="W137" s="10">
        <v>8.3164276401564499E-2</v>
      </c>
      <c r="X137" s="10">
        <v>3.8200782268578801E-2</v>
      </c>
      <c r="Y137" s="10">
        <v>0.1225</v>
      </c>
      <c r="Z137" s="10">
        <v>0.65</v>
      </c>
      <c r="AA137" s="10">
        <v>0.5</v>
      </c>
      <c r="AB137" s="10">
        <v>0.97499999999999998</v>
      </c>
      <c r="AC137" s="10">
        <v>6.9830257465566203E-2</v>
      </c>
      <c r="AD137">
        <v>1.37263513593829E-2</v>
      </c>
      <c r="AE137">
        <v>9.7539978959597595E-2</v>
      </c>
    </row>
    <row r="138" spans="1:31" hidden="1">
      <c r="A138" t="s">
        <v>85</v>
      </c>
      <c r="B138" t="s">
        <v>77</v>
      </c>
      <c r="C138" t="s">
        <v>76</v>
      </c>
      <c r="D138" t="s">
        <v>68</v>
      </c>
      <c r="E138">
        <v>21</v>
      </c>
      <c r="F138">
        <v>0.15</v>
      </c>
      <c r="G138">
        <v>5</v>
      </c>
      <c r="H138" s="10">
        <v>0.35407849245592732</v>
      </c>
      <c r="I138" s="10">
        <v>0.33109499309314783</v>
      </c>
      <c r="J138" s="10">
        <v>0.37363396732813758</v>
      </c>
      <c r="K138" s="10">
        <v>2.3605232830395151</v>
      </c>
      <c r="L138" s="10">
        <v>2.207299953954319</v>
      </c>
      <c r="M138" s="10">
        <v>2.4908931155209171</v>
      </c>
      <c r="N138" s="10">
        <v>0.78695478191276513</v>
      </c>
      <c r="O138" s="10">
        <v>0.74965986394557826</v>
      </c>
      <c r="P138" s="10">
        <v>0.81248499399759899</v>
      </c>
      <c r="Q138" s="10">
        <v>0.29711259749980712</v>
      </c>
      <c r="R138" s="10">
        <v>0.22583288532704129</v>
      </c>
      <c r="S138" s="10">
        <v>0.38067630014796761</v>
      </c>
      <c r="T138" s="10">
        <v>0.52888999567880945</v>
      </c>
      <c r="U138" s="10">
        <v>0.42733158837305413</v>
      </c>
      <c r="V138" s="10">
        <v>0.59769230769230763</v>
      </c>
      <c r="W138" s="10">
        <v>0.30229501299878098</v>
      </c>
      <c r="X138" s="10">
        <v>0.2535714285714285</v>
      </c>
      <c r="Y138" s="10">
        <v>0.36084724005134788</v>
      </c>
      <c r="Z138" s="10">
        <v>0.66666666666666674</v>
      </c>
      <c r="AA138" s="10">
        <v>0.48571428571428571</v>
      </c>
      <c r="AB138" s="10">
        <v>0.84285714285714275</v>
      </c>
      <c r="AC138" s="10">
        <v>0.28523275238781981</v>
      </c>
      <c r="AD138">
        <v>0.1639276280540512</v>
      </c>
      <c r="AE138">
        <v>0.40366261869861619</v>
      </c>
    </row>
    <row r="139" spans="1:31" hidden="1">
      <c r="A139" t="s">
        <v>85</v>
      </c>
      <c r="B139" t="s">
        <v>77</v>
      </c>
      <c r="C139" t="s">
        <v>76</v>
      </c>
      <c r="D139" t="s">
        <v>69</v>
      </c>
      <c r="E139">
        <v>26</v>
      </c>
      <c r="F139">
        <v>0.18571428571428569</v>
      </c>
      <c r="G139">
        <v>5</v>
      </c>
      <c r="H139" s="10">
        <v>0.65745445987022744</v>
      </c>
      <c r="I139" s="10">
        <v>0.60558732411783023</v>
      </c>
      <c r="J139" s="10">
        <v>0.71390411220375394</v>
      </c>
      <c r="K139" s="10">
        <v>3.540139399301224</v>
      </c>
      <c r="L139" s="10">
        <v>3.2608548221729321</v>
      </c>
      <c r="M139" s="10">
        <v>3.8440990657125211</v>
      </c>
      <c r="N139" s="10">
        <v>0.93232118758434557</v>
      </c>
      <c r="O139" s="10">
        <v>0.91690283400809725</v>
      </c>
      <c r="P139" s="10">
        <v>0.94642375168690962</v>
      </c>
      <c r="Q139" s="10">
        <v>0.69051723059164127</v>
      </c>
      <c r="R139" s="10">
        <v>0.66379629146565422</v>
      </c>
      <c r="S139" s="10">
        <v>0.71316967791373675</v>
      </c>
      <c r="T139" s="10">
        <v>0.84706073659191272</v>
      </c>
      <c r="U139" s="10">
        <v>0.82204433497536944</v>
      </c>
      <c r="V139" s="10">
        <v>0.8674568965517242</v>
      </c>
      <c r="W139" s="10">
        <v>0.61084978706929927</v>
      </c>
      <c r="X139" s="10">
        <v>0.58635307781649237</v>
      </c>
      <c r="Y139" s="10">
        <v>0.63749999999999996</v>
      </c>
      <c r="Z139" s="10">
        <v>0.93846153846153835</v>
      </c>
      <c r="AA139" s="10">
        <v>0.88846153846153841</v>
      </c>
      <c r="AB139" s="10">
        <v>0.96153846153846156</v>
      </c>
      <c r="AC139" s="10">
        <v>0.43774652057527907</v>
      </c>
      <c r="AD139">
        <v>0.39312710020215552</v>
      </c>
      <c r="AE139">
        <v>0.4718670473959507</v>
      </c>
    </row>
    <row r="140" spans="1:31" hidden="1">
      <c r="A140" t="s">
        <v>85</v>
      </c>
      <c r="B140" t="s">
        <v>77</v>
      </c>
      <c r="C140" t="s">
        <v>76</v>
      </c>
      <c r="D140" t="s">
        <v>70</v>
      </c>
      <c r="E140">
        <v>7</v>
      </c>
      <c r="F140">
        <v>0.05</v>
      </c>
      <c r="G140">
        <v>5</v>
      </c>
      <c r="H140" s="10">
        <v>0.18649402956747221</v>
      </c>
      <c r="I140" s="10">
        <v>0.12659569050221611</v>
      </c>
      <c r="J140" s="10">
        <v>0.2664616215628603</v>
      </c>
      <c r="K140" s="10">
        <v>3.7298805913494451</v>
      </c>
      <c r="L140" s="10">
        <v>2.531913810044323</v>
      </c>
      <c r="M140" s="10">
        <v>5.3292324312572061</v>
      </c>
      <c r="N140" s="10">
        <v>0.69172932330827075</v>
      </c>
      <c r="O140" s="10">
        <v>0.58947368421052637</v>
      </c>
      <c r="P140" s="10">
        <v>0.77282491944146081</v>
      </c>
      <c r="Q140" s="10">
        <v>0.1341581017616307</v>
      </c>
      <c r="R140" s="10">
        <v>6.1265601666050898E-2</v>
      </c>
      <c r="S140" s="10">
        <v>0.21385421094061641</v>
      </c>
      <c r="T140" s="10">
        <v>0.25315656565656558</v>
      </c>
      <c r="U140" s="10">
        <v>0.16250000000000001</v>
      </c>
      <c r="V140" s="10">
        <v>0.35568181818181821</v>
      </c>
      <c r="W140" s="10">
        <v>0.11897132241959819</v>
      </c>
      <c r="X140" s="10">
        <v>5.3761755485893403E-2</v>
      </c>
      <c r="Y140" s="10">
        <v>0.23981481481481479</v>
      </c>
      <c r="Z140" s="10">
        <v>0.68571428571428572</v>
      </c>
      <c r="AA140" s="10">
        <v>0.18571428571428569</v>
      </c>
      <c r="AB140" s="10">
        <v>1</v>
      </c>
      <c r="AC140" s="10">
        <v>8.3559279354108604E-2</v>
      </c>
      <c r="AD140">
        <v>2.0149997732406499E-2</v>
      </c>
      <c r="AE140">
        <v>0.1747674168796976</v>
      </c>
    </row>
    <row r="141" spans="1:31" hidden="1">
      <c r="A141" t="s">
        <v>85</v>
      </c>
      <c r="B141" t="s">
        <v>77</v>
      </c>
      <c r="C141" t="s">
        <v>76</v>
      </c>
      <c r="D141" t="s">
        <v>71</v>
      </c>
      <c r="E141">
        <v>9</v>
      </c>
      <c r="F141">
        <v>6.4285714285714196E-2</v>
      </c>
      <c r="G141">
        <v>5</v>
      </c>
      <c r="H141" s="10">
        <v>0.17357473544475269</v>
      </c>
      <c r="I141" s="10">
        <v>0.13327886491310159</v>
      </c>
      <c r="J141" s="10">
        <v>0.22307516649837181</v>
      </c>
      <c r="K141" s="10">
        <v>2.7000514402517091</v>
      </c>
      <c r="L141" s="10">
        <v>2.073226787537136</v>
      </c>
      <c r="M141" s="10">
        <v>3.4700581455302282</v>
      </c>
      <c r="N141" s="10">
        <v>0.59966072943172188</v>
      </c>
      <c r="O141" s="10">
        <v>0.52519083969465641</v>
      </c>
      <c r="P141" s="10">
        <v>0.64834605597964379</v>
      </c>
      <c r="Q141" s="10">
        <v>0.14698681456411949</v>
      </c>
      <c r="R141" s="10">
        <v>3.2359879848848798E-2</v>
      </c>
      <c r="S141" s="10">
        <v>0.30493791271600329</v>
      </c>
      <c r="T141" s="10">
        <v>0.30430153252523578</v>
      </c>
      <c r="U141" s="10">
        <v>0.23040752351097171</v>
      </c>
      <c r="V141" s="10">
        <v>0.40068027210884349</v>
      </c>
      <c r="W141" s="10">
        <v>0.14901417423156549</v>
      </c>
      <c r="X141" s="10">
        <v>6.6387959866220703E-2</v>
      </c>
      <c r="Y141" s="10">
        <v>0.2969230769230769</v>
      </c>
      <c r="Z141" s="10">
        <v>0.62222222222222223</v>
      </c>
      <c r="AA141" s="10">
        <v>0.34444444444444439</v>
      </c>
      <c r="AB141" s="10">
        <v>0.98888888888888882</v>
      </c>
      <c r="AC141" s="10">
        <v>0.1042447746112483</v>
      </c>
      <c r="AD141">
        <v>2.5357649549220599E-2</v>
      </c>
      <c r="AE141">
        <v>0.17330776054851499</v>
      </c>
    </row>
    <row r="142" spans="1:31" hidden="1">
      <c r="A142" t="s">
        <v>85</v>
      </c>
      <c r="B142" t="s">
        <v>77</v>
      </c>
      <c r="C142" t="s">
        <v>83</v>
      </c>
      <c r="D142" t="s">
        <v>67</v>
      </c>
      <c r="E142">
        <v>4</v>
      </c>
      <c r="F142">
        <v>2.8571428571428501E-2</v>
      </c>
      <c r="G142">
        <v>5</v>
      </c>
      <c r="H142" s="10">
        <v>2.87852950118999E-2</v>
      </c>
      <c r="I142" s="10">
        <v>2.0123462274390599E-2</v>
      </c>
      <c r="J142" s="10">
        <v>4.0417301413654801E-2</v>
      </c>
      <c r="K142" s="10">
        <v>1.007485325416497</v>
      </c>
      <c r="L142" s="10">
        <v>0.70432117960367291</v>
      </c>
      <c r="M142" s="10">
        <v>1.4146055494779191</v>
      </c>
      <c r="N142" s="10">
        <v>0.26874999999999999</v>
      </c>
      <c r="O142" s="10">
        <v>0.13823529411764701</v>
      </c>
      <c r="P142" s="10">
        <v>0.37205882352941178</v>
      </c>
      <c r="Q142" s="10">
        <v>-9.1087051124796703E-2</v>
      </c>
      <c r="R142" s="10">
        <v>-0.1753638376292187</v>
      </c>
      <c r="S142" s="10">
        <v>-4.5460633718746998E-3</v>
      </c>
      <c r="T142" s="10">
        <v>6.2531969309462906E-2</v>
      </c>
      <c r="U142" s="10">
        <v>6.6666666666666003E-3</v>
      </c>
      <c r="V142" s="10">
        <v>9.7352941176470503E-2</v>
      </c>
      <c r="W142" s="10">
        <v>1.49743606877667E-2</v>
      </c>
      <c r="X142" s="10">
        <v>1.6666666666666E-3</v>
      </c>
      <c r="Y142" s="10">
        <v>2.2036046184173399E-2</v>
      </c>
      <c r="Z142" s="10">
        <v>0.35</v>
      </c>
      <c r="AA142" s="10">
        <v>2.5000000000000001E-2</v>
      </c>
      <c r="AB142" s="10">
        <v>0.72499999999999998</v>
      </c>
      <c r="AC142" s="10">
        <v>4.5193703553912903E-2</v>
      </c>
      <c r="AD142">
        <v>1.7422018005656601E-2</v>
      </c>
      <c r="AE142">
        <v>0.1099758433639354</v>
      </c>
    </row>
    <row r="143" spans="1:31" hidden="1">
      <c r="A143" t="s">
        <v>85</v>
      </c>
      <c r="B143" t="s">
        <v>77</v>
      </c>
      <c r="C143" t="s">
        <v>83</v>
      </c>
      <c r="D143" t="s">
        <v>68</v>
      </c>
      <c r="E143">
        <v>21</v>
      </c>
      <c r="F143">
        <v>0.15</v>
      </c>
      <c r="G143">
        <v>5</v>
      </c>
      <c r="H143" s="10">
        <v>0.26859869445488399</v>
      </c>
      <c r="I143" s="10">
        <v>0.22023541397712271</v>
      </c>
      <c r="J143" s="10">
        <v>0.32202591043882262</v>
      </c>
      <c r="K143" s="10">
        <v>1.7906579630325601</v>
      </c>
      <c r="L143" s="10">
        <v>1.468236093180818</v>
      </c>
      <c r="M143" s="10">
        <v>2.146839402925484</v>
      </c>
      <c r="N143" s="10">
        <v>0.66506602641056423</v>
      </c>
      <c r="O143" s="10">
        <v>0.6402561024409763</v>
      </c>
      <c r="P143" s="10">
        <v>0.6950780312124849</v>
      </c>
      <c r="Q143" s="10">
        <v>0.1371210537814222</v>
      </c>
      <c r="R143" s="10">
        <v>7.7498339379613798E-2</v>
      </c>
      <c r="S143" s="10">
        <v>0.18456228447170539</v>
      </c>
      <c r="T143" s="10">
        <v>0.31732182044272528</v>
      </c>
      <c r="U143" s="10">
        <v>0.15858877964141119</v>
      </c>
      <c r="V143" s="10">
        <v>0.44327941299091128</v>
      </c>
      <c r="W143" s="10">
        <v>0.26922600206810732</v>
      </c>
      <c r="X143" s="10">
        <v>0.173578947368421</v>
      </c>
      <c r="Y143" s="10">
        <v>0.4129870129870129</v>
      </c>
      <c r="Z143" s="10">
        <v>0.40952380952380951</v>
      </c>
      <c r="AA143" s="10">
        <v>0.14285714285714279</v>
      </c>
      <c r="AB143" s="10">
        <v>0.73809523809523803</v>
      </c>
      <c r="AC143" s="10">
        <v>0.24041083844129349</v>
      </c>
      <c r="AD143">
        <v>8.5239385752055599E-2</v>
      </c>
      <c r="AE143">
        <v>0.4403962400421495</v>
      </c>
    </row>
    <row r="144" spans="1:31" hidden="1">
      <c r="A144" t="s">
        <v>85</v>
      </c>
      <c r="B144" t="s">
        <v>77</v>
      </c>
      <c r="C144" t="s">
        <v>83</v>
      </c>
      <c r="D144" t="s">
        <v>69</v>
      </c>
      <c r="E144">
        <v>26</v>
      </c>
      <c r="F144">
        <v>0.18571428571428569</v>
      </c>
      <c r="G144">
        <v>5</v>
      </c>
      <c r="H144" s="10">
        <v>0.60894994728568741</v>
      </c>
      <c r="I144" s="10">
        <v>0.49693271953375928</v>
      </c>
      <c r="J144" s="10">
        <v>0.69158675417495463</v>
      </c>
      <c r="K144" s="10">
        <v>3.2789612546152411</v>
      </c>
      <c r="L144" s="10">
        <v>2.675791566720243</v>
      </c>
      <c r="M144" s="10">
        <v>3.723928676326679</v>
      </c>
      <c r="N144" s="10">
        <v>0.88191632928475028</v>
      </c>
      <c r="O144" s="10">
        <v>0.81346153846153846</v>
      </c>
      <c r="P144" s="10">
        <v>0.92159244264507423</v>
      </c>
      <c r="Q144" s="10">
        <v>0.59068024342738679</v>
      </c>
      <c r="R144" s="10">
        <v>0.51065150900494993</v>
      </c>
      <c r="S144" s="10">
        <v>0.65418305759344242</v>
      </c>
      <c r="T144" s="10">
        <v>0.74771339592547115</v>
      </c>
      <c r="U144" s="10">
        <v>0.67781155015197569</v>
      </c>
      <c r="V144" s="10">
        <v>0.80941015218829759</v>
      </c>
      <c r="W144" s="10">
        <v>0.56653311205942791</v>
      </c>
      <c r="X144" s="10">
        <v>0.51549549549549545</v>
      </c>
      <c r="Y144" s="10">
        <v>0.62302631578947365</v>
      </c>
      <c r="Z144" s="10">
        <v>0.81538461538461537</v>
      </c>
      <c r="AA144" s="10">
        <v>0.73461538461538456</v>
      </c>
      <c r="AB144" s="10">
        <v>0.91923076923076918</v>
      </c>
      <c r="AC144" s="10">
        <v>0.2065663670859893</v>
      </c>
      <c r="AD144">
        <v>6.8086567976087295E-2</v>
      </c>
      <c r="AE144">
        <v>0.30572877290262468</v>
      </c>
    </row>
    <row r="145" spans="1:31" hidden="1">
      <c r="A145" t="s">
        <v>85</v>
      </c>
      <c r="B145" t="s">
        <v>77</v>
      </c>
      <c r="C145" t="s">
        <v>83</v>
      </c>
      <c r="D145" t="s">
        <v>70</v>
      </c>
      <c r="E145">
        <v>7</v>
      </c>
      <c r="F145">
        <v>0.05</v>
      </c>
      <c r="G145">
        <v>5</v>
      </c>
      <c r="H145" s="10">
        <v>5.1048540386328403E-2</v>
      </c>
      <c r="I145" s="10">
        <v>4.24424867290462E-2</v>
      </c>
      <c r="J145" s="10">
        <v>5.8600116529863501E-2</v>
      </c>
      <c r="K145" s="10">
        <v>1.0209708077265689</v>
      </c>
      <c r="L145" s="10">
        <v>0.84884973458092505</v>
      </c>
      <c r="M145" s="10">
        <v>1.1720023305972711</v>
      </c>
      <c r="N145" s="10">
        <v>0.37593984962406007</v>
      </c>
      <c r="O145" s="10">
        <v>0.29065520945220191</v>
      </c>
      <c r="P145" s="10">
        <v>0.44672395273899029</v>
      </c>
      <c r="Q145" s="10">
        <v>-2.4927811610338999E-2</v>
      </c>
      <c r="R145" s="10">
        <v>-0.1376126779973714</v>
      </c>
      <c r="S145" s="10">
        <v>6.3932236143791094E-2</v>
      </c>
      <c r="T145" s="10">
        <v>0.17635686916104079</v>
      </c>
      <c r="U145" s="10">
        <v>6.7780968006562706E-2</v>
      </c>
      <c r="V145" s="10">
        <v>0.22221967648810889</v>
      </c>
      <c r="W145" s="10">
        <v>4.3784894906387303E-2</v>
      </c>
      <c r="X145" s="10">
        <v>1.8642652671755699E-2</v>
      </c>
      <c r="Y145" s="10">
        <v>5.4242614707730903E-2</v>
      </c>
      <c r="Z145" s="10">
        <v>0.74285714285714288</v>
      </c>
      <c r="AA145" s="10">
        <v>0.21428571428571419</v>
      </c>
      <c r="AB145" s="10">
        <v>0.98571428571428565</v>
      </c>
      <c r="AC145" s="10">
        <v>3.2117968815145101E-2</v>
      </c>
      <c r="AD145">
        <v>2.46381358976447E-2</v>
      </c>
      <c r="AE145">
        <v>4.67951059652187E-2</v>
      </c>
    </row>
    <row r="146" spans="1:31" hidden="1">
      <c r="A146" t="s">
        <v>85</v>
      </c>
      <c r="B146" t="s">
        <v>77</v>
      </c>
      <c r="C146" t="s">
        <v>83</v>
      </c>
      <c r="D146" t="s">
        <v>71</v>
      </c>
      <c r="E146">
        <v>9</v>
      </c>
      <c r="F146">
        <v>6.4285714285714196E-2</v>
      </c>
      <c r="G146">
        <v>5</v>
      </c>
      <c r="H146" s="10">
        <v>0.1030257117773542</v>
      </c>
      <c r="I146" s="10">
        <v>5.7060731052751598E-2</v>
      </c>
      <c r="J146" s="10">
        <v>0.13193858678169329</v>
      </c>
      <c r="K146" s="10">
        <v>1.602622183203287</v>
      </c>
      <c r="L146" s="10">
        <v>0.88761137193169237</v>
      </c>
      <c r="M146" s="10">
        <v>2.052378016604119</v>
      </c>
      <c r="N146" s="10">
        <v>0.50839694656488554</v>
      </c>
      <c r="O146" s="10">
        <v>0.37039864291772678</v>
      </c>
      <c r="P146" s="10">
        <v>0.61263782866836292</v>
      </c>
      <c r="Q146" s="10">
        <v>3.5809119184098001E-2</v>
      </c>
      <c r="R146" s="10">
        <v>-4.82073828715101E-2</v>
      </c>
      <c r="S146" s="10">
        <v>0.15733913953704909</v>
      </c>
      <c r="T146" s="10">
        <v>0.19705622001578091</v>
      </c>
      <c r="U146" s="10">
        <v>0.11160714285714279</v>
      </c>
      <c r="V146" s="10">
        <v>0.2638329604772558</v>
      </c>
      <c r="W146" s="10">
        <v>9.7991840887202503E-2</v>
      </c>
      <c r="X146" s="10">
        <v>5.34659820282413E-2</v>
      </c>
      <c r="Y146" s="10">
        <v>0.20833333333333329</v>
      </c>
      <c r="Z146" s="10">
        <v>0.44444444444444448</v>
      </c>
      <c r="AA146" s="10">
        <v>0.1222222222222222</v>
      </c>
      <c r="AB146" s="10">
        <v>0.85555555555555551</v>
      </c>
      <c r="AC146" s="10">
        <v>6.4966833454365894E-2</v>
      </c>
      <c r="AD146">
        <v>4.0527439283811202E-2</v>
      </c>
      <c r="AE146">
        <v>9.4783505252234196E-2</v>
      </c>
    </row>
    <row r="147" spans="1:31" hidden="1">
      <c r="A147" t="s">
        <v>85</v>
      </c>
      <c r="B147" t="s">
        <v>77</v>
      </c>
      <c r="C147" t="s">
        <v>84</v>
      </c>
      <c r="D147" t="s">
        <v>67</v>
      </c>
      <c r="E147">
        <v>4</v>
      </c>
      <c r="F147">
        <v>2.8571428571428501E-2</v>
      </c>
      <c r="G147">
        <v>5</v>
      </c>
      <c r="H147" s="10">
        <v>0.1250704364970141</v>
      </c>
      <c r="I147" s="10">
        <v>4.9057378171240097E-2</v>
      </c>
      <c r="J147" s="10">
        <v>0.23967914438502669</v>
      </c>
      <c r="K147" s="10">
        <v>4.377465277395495</v>
      </c>
      <c r="L147" s="10">
        <v>1.717008235993406</v>
      </c>
      <c r="M147" s="10">
        <v>8.3887700534759357</v>
      </c>
      <c r="N147" s="10">
        <v>0.78308823529411764</v>
      </c>
      <c r="O147" s="10">
        <v>0.66737132352941186</v>
      </c>
      <c r="P147" s="10">
        <v>0.91066176470588245</v>
      </c>
      <c r="Q147" s="10">
        <v>0.16146928839823069</v>
      </c>
      <c r="R147" s="10">
        <v>9.6259577154881606E-2</v>
      </c>
      <c r="S147" s="10">
        <v>0.21664454056936719</v>
      </c>
      <c r="T147" s="10">
        <v>0.2439442986402347</v>
      </c>
      <c r="U147" s="10">
        <v>0.18487282463186069</v>
      </c>
      <c r="V147" s="10">
        <v>0.28917145200984412</v>
      </c>
      <c r="W147" s="10">
        <v>6.6180095288942697E-2</v>
      </c>
      <c r="X147" s="10">
        <v>4.6359113523292597E-2</v>
      </c>
      <c r="Y147" s="10">
        <v>8.0520142784293702E-2</v>
      </c>
      <c r="Z147" s="10">
        <v>0.8</v>
      </c>
      <c r="AA147" s="10">
        <v>0.52500000000000002</v>
      </c>
      <c r="AB147" s="10">
        <v>1</v>
      </c>
      <c r="AC147" s="10">
        <v>1.5042992801148E-2</v>
      </c>
      <c r="AD147">
        <v>1.0203312646157699E-2</v>
      </c>
      <c r="AE147">
        <v>1.9961128355691801E-2</v>
      </c>
    </row>
    <row r="148" spans="1:31" hidden="1">
      <c r="A148" t="s">
        <v>85</v>
      </c>
      <c r="B148" t="s">
        <v>77</v>
      </c>
      <c r="C148" t="s">
        <v>84</v>
      </c>
      <c r="D148" t="s">
        <v>68</v>
      </c>
      <c r="E148">
        <v>21</v>
      </c>
      <c r="F148">
        <v>0.15</v>
      </c>
      <c r="G148">
        <v>5</v>
      </c>
      <c r="H148" s="10">
        <v>0.36604016742167078</v>
      </c>
      <c r="I148" s="10">
        <v>0.2864546428994203</v>
      </c>
      <c r="J148" s="10">
        <v>0.46129783585187151</v>
      </c>
      <c r="K148" s="10">
        <v>2.440267782811139</v>
      </c>
      <c r="L148" s="10">
        <v>1.909697619329469</v>
      </c>
      <c r="M148" s="10">
        <v>3.075318905679143</v>
      </c>
      <c r="N148" s="10">
        <v>0.74117647058823521</v>
      </c>
      <c r="O148" s="10">
        <v>0.6789515806322528</v>
      </c>
      <c r="P148" s="10">
        <v>0.7834333733493396</v>
      </c>
      <c r="Q148" s="10">
        <v>0.23942559678080311</v>
      </c>
      <c r="R148" s="10">
        <v>0.16160151887774449</v>
      </c>
      <c r="S148" s="10">
        <v>0.3002109336632382</v>
      </c>
      <c r="T148" s="10">
        <v>0.45536352020325588</v>
      </c>
      <c r="U148" s="10">
        <v>0.33080808080808077</v>
      </c>
      <c r="V148" s="10">
        <v>0.52014925373134324</v>
      </c>
      <c r="W148" s="10">
        <v>0.28672953877907431</v>
      </c>
      <c r="X148" s="10">
        <v>0.23868778280542979</v>
      </c>
      <c r="Y148" s="10">
        <v>0.33157894736842097</v>
      </c>
      <c r="Z148" s="10">
        <v>0.54285714285714293</v>
      </c>
      <c r="AA148" s="10">
        <v>0.3571428571428571</v>
      </c>
      <c r="AB148" s="10">
        <v>0.65714285714285714</v>
      </c>
      <c r="AC148" s="10">
        <v>0.1785917898916719</v>
      </c>
      <c r="AD148">
        <v>5.3484076166946698E-2</v>
      </c>
      <c r="AE148">
        <v>0.43894041179921761</v>
      </c>
    </row>
    <row r="149" spans="1:31" hidden="1">
      <c r="A149" t="s">
        <v>85</v>
      </c>
      <c r="B149" t="s">
        <v>77</v>
      </c>
      <c r="C149" t="s">
        <v>84</v>
      </c>
      <c r="D149" t="s">
        <v>69</v>
      </c>
      <c r="E149">
        <v>26</v>
      </c>
      <c r="F149">
        <v>0.18571428571428569</v>
      </c>
      <c r="G149">
        <v>5</v>
      </c>
      <c r="H149" s="10">
        <v>0.71673360065913339</v>
      </c>
      <c r="I149" s="10">
        <v>0.65488958425884636</v>
      </c>
      <c r="J149" s="10">
        <v>0.75787851591082511</v>
      </c>
      <c r="K149" s="10">
        <v>3.8593347727799481</v>
      </c>
      <c r="L149" s="10">
        <v>3.5263285306245571</v>
      </c>
      <c r="M149" s="10">
        <v>4.0808843164429041</v>
      </c>
      <c r="N149" s="10">
        <v>0.92085020242914983</v>
      </c>
      <c r="O149" s="10">
        <v>0.88910256410256416</v>
      </c>
      <c r="P149" s="10">
        <v>0.94159919028340078</v>
      </c>
      <c r="Q149" s="10">
        <v>0.54226443239434807</v>
      </c>
      <c r="R149" s="10">
        <v>0.37664320727727379</v>
      </c>
      <c r="S149" s="10">
        <v>0.59386058824205767</v>
      </c>
      <c r="T149" s="10">
        <v>0.69603432453959102</v>
      </c>
      <c r="U149" s="10">
        <v>0.38015607580824973</v>
      </c>
      <c r="V149" s="10">
        <v>0.81189516129032258</v>
      </c>
      <c r="W149" s="10">
        <v>0.533748000018338</v>
      </c>
      <c r="X149" s="10">
        <v>0.46687675070028012</v>
      </c>
      <c r="Y149" s="10">
        <v>0.6126696832579186</v>
      </c>
      <c r="Z149" s="10">
        <v>0.79230769230769238</v>
      </c>
      <c r="AA149" s="10">
        <v>0.35384615384615381</v>
      </c>
      <c r="AB149" s="10">
        <v>0.99615384615384617</v>
      </c>
      <c r="AC149" s="10">
        <v>0.25431328549185539</v>
      </c>
      <c r="AD149">
        <v>2.7446808314343998E-2</v>
      </c>
      <c r="AE149">
        <v>0.76396954180697119</v>
      </c>
    </row>
    <row r="150" spans="1:31" hidden="1">
      <c r="A150" t="s">
        <v>85</v>
      </c>
      <c r="B150" t="s">
        <v>77</v>
      </c>
      <c r="C150" t="s">
        <v>84</v>
      </c>
      <c r="D150" t="s">
        <v>70</v>
      </c>
      <c r="E150">
        <v>7</v>
      </c>
      <c r="F150">
        <v>0.05</v>
      </c>
      <c r="G150">
        <v>5</v>
      </c>
      <c r="H150" s="10">
        <v>0.20184713690176531</v>
      </c>
      <c r="I150" s="10">
        <v>0.12614275462377089</v>
      </c>
      <c r="J150" s="10">
        <v>0.27867131386061528</v>
      </c>
      <c r="K150" s="10">
        <v>4.0369427380353056</v>
      </c>
      <c r="L150" s="10">
        <v>2.5228550924754192</v>
      </c>
      <c r="M150" s="10">
        <v>5.573426277212306</v>
      </c>
      <c r="N150" s="10">
        <v>0.75617615467239518</v>
      </c>
      <c r="O150" s="10">
        <v>0.73340494092373798</v>
      </c>
      <c r="P150" s="10">
        <v>0.79430719656283566</v>
      </c>
      <c r="Q150" s="10">
        <v>0.19159217175122101</v>
      </c>
      <c r="R150" s="10">
        <v>0.10410816284938949</v>
      </c>
      <c r="S150" s="10">
        <v>0.29811987157943098</v>
      </c>
      <c r="T150" s="10">
        <v>0.30514534833924312</v>
      </c>
      <c r="U150" s="10">
        <v>0.255</v>
      </c>
      <c r="V150" s="10">
        <v>0.34313171283210853</v>
      </c>
      <c r="W150" s="10">
        <v>0.17122529644268769</v>
      </c>
      <c r="X150" s="10">
        <v>7.0816864295125098E-2</v>
      </c>
      <c r="Y150" s="10">
        <v>0.3736363636363636</v>
      </c>
      <c r="Z150" s="10">
        <v>0.5428571428571427</v>
      </c>
      <c r="AA150" s="10">
        <v>0.3</v>
      </c>
      <c r="AB150" s="10">
        <v>0.82857142857142851</v>
      </c>
      <c r="AC150" s="10">
        <v>6.1662863535787801E-2</v>
      </c>
      <c r="AD150">
        <v>7.0299043382971004E-3</v>
      </c>
      <c r="AE150">
        <v>0.19722643230323819</v>
      </c>
    </row>
    <row r="151" spans="1:31" hidden="1">
      <c r="A151" t="s">
        <v>85</v>
      </c>
      <c r="B151" t="s">
        <v>77</v>
      </c>
      <c r="C151" t="s">
        <v>84</v>
      </c>
      <c r="D151" t="s">
        <v>71</v>
      </c>
      <c r="E151">
        <v>9</v>
      </c>
      <c r="F151">
        <v>6.4285714285714196E-2</v>
      </c>
      <c r="G151">
        <v>5</v>
      </c>
      <c r="H151" s="10">
        <v>0.26336867651855422</v>
      </c>
      <c r="I151" s="10">
        <v>0.19958211414372379</v>
      </c>
      <c r="J151" s="10">
        <v>0.31463425247507137</v>
      </c>
      <c r="K151" s="10">
        <v>4.096846079177511</v>
      </c>
      <c r="L151" s="10">
        <v>3.104610664457927</v>
      </c>
      <c r="M151" s="10">
        <v>4.8943105940566678</v>
      </c>
      <c r="N151" s="10">
        <v>0.74096692111959295</v>
      </c>
      <c r="O151" s="10">
        <v>0.61102629346904158</v>
      </c>
      <c r="P151" s="10">
        <v>0.8193384223918575</v>
      </c>
      <c r="Q151" s="10">
        <v>0.14152150803996269</v>
      </c>
      <c r="R151" s="10">
        <v>-1.1746944510403401E-2</v>
      </c>
      <c r="S151" s="10">
        <v>0.28027076179444671</v>
      </c>
      <c r="T151" s="10">
        <v>0.27410089865253218</v>
      </c>
      <c r="U151" s="10">
        <v>2.5641025641025599E-2</v>
      </c>
      <c r="V151" s="10">
        <v>0.40549475604195168</v>
      </c>
      <c r="W151" s="10">
        <v>0.1179633699633699</v>
      </c>
      <c r="X151" s="10">
        <v>8.7912087912086993E-3</v>
      </c>
      <c r="Y151" s="10">
        <v>0.254</v>
      </c>
      <c r="Z151" s="10">
        <v>0.51111111111111107</v>
      </c>
      <c r="AA151" s="10">
        <v>4.4444444444444398E-2</v>
      </c>
      <c r="AB151" s="10">
        <v>0.87777777777777777</v>
      </c>
      <c r="AC151" s="10">
        <v>9.9991713981102098E-2</v>
      </c>
      <c r="AD151">
        <v>6.3179808080233001E-3</v>
      </c>
      <c r="AE151">
        <v>0.35201457883608611</v>
      </c>
    </row>
    <row r="152" spans="1:31">
      <c r="A152" t="s">
        <v>79</v>
      </c>
      <c r="B152" t="s">
        <v>77</v>
      </c>
      <c r="C152" t="s">
        <v>80</v>
      </c>
      <c r="D152" t="s">
        <v>67</v>
      </c>
      <c r="E152">
        <v>4</v>
      </c>
      <c r="F152">
        <v>2.8571428571428501E-2</v>
      </c>
      <c r="G152">
        <v>5</v>
      </c>
      <c r="H152" s="10">
        <v>0.18508294653428309</v>
      </c>
      <c r="I152" s="10">
        <v>0.1335599110369752</v>
      </c>
      <c r="J152" s="10">
        <v>0.2371385223199739</v>
      </c>
      <c r="K152" s="10">
        <v>6.4779031286999098</v>
      </c>
      <c r="L152" s="10">
        <v>4.6745968862941343</v>
      </c>
      <c r="M152" s="10">
        <v>8.2998482811990879</v>
      </c>
      <c r="N152" s="10">
        <v>0.78125</v>
      </c>
      <c r="O152" s="10">
        <v>0.71341911764705879</v>
      </c>
      <c r="P152" s="10">
        <v>0.82849264705882353</v>
      </c>
      <c r="Q152" s="10">
        <v>0.1924204332390321</v>
      </c>
      <c r="R152" s="10">
        <v>7.1841350428182904E-2</v>
      </c>
      <c r="S152" s="10">
        <v>0.42648497836162591</v>
      </c>
      <c r="T152" s="10">
        <v>0.27779318922923107</v>
      </c>
      <c r="U152" s="10">
        <v>0.15179502457917471</v>
      </c>
      <c r="V152" s="10">
        <v>0.543040293040293</v>
      </c>
      <c r="W152" s="10">
        <v>0.1304974882514989</v>
      </c>
      <c r="X152" s="10">
        <v>3.5634419056878898E-2</v>
      </c>
      <c r="Y152" s="10">
        <v>0.28999999999999998</v>
      </c>
      <c r="Z152" s="10">
        <v>0.65</v>
      </c>
      <c r="AA152" s="10">
        <v>0.27500000000000002</v>
      </c>
      <c r="AB152" s="10">
        <v>0.97499999999999998</v>
      </c>
      <c r="AC152" s="10">
        <v>0.2425011325240948</v>
      </c>
      <c r="AD152">
        <v>1.7683010690204E-3</v>
      </c>
      <c r="AE152">
        <v>0.69881726237291797</v>
      </c>
    </row>
    <row r="153" spans="1:31">
      <c r="A153" t="s">
        <v>85</v>
      </c>
      <c r="B153" t="s">
        <v>78</v>
      </c>
      <c r="C153" t="s">
        <v>80</v>
      </c>
      <c r="D153" t="s">
        <v>68</v>
      </c>
      <c r="E153">
        <v>20</v>
      </c>
      <c r="F153">
        <v>0.14492753623188401</v>
      </c>
      <c r="G153">
        <v>5</v>
      </c>
      <c r="H153" s="10">
        <v>0.20289056568391331</v>
      </c>
      <c r="I153" s="10">
        <v>0.17233150190483129</v>
      </c>
      <c r="J153" s="10">
        <v>0.25042540863610591</v>
      </c>
      <c r="K153" s="10">
        <v>1.3999449032190019</v>
      </c>
      <c r="L153" s="10">
        <v>1.1890873631433361</v>
      </c>
      <c r="M153" s="10">
        <v>1.7279353195891309</v>
      </c>
      <c r="N153" s="10">
        <v>0.62686440677966093</v>
      </c>
      <c r="O153" s="10">
        <v>0.54749999999999988</v>
      </c>
      <c r="P153" s="10">
        <v>0.71309322033898304</v>
      </c>
      <c r="Q153" s="10">
        <v>0.13800188623971391</v>
      </c>
      <c r="R153" s="10">
        <v>3.8792674042633701E-2</v>
      </c>
      <c r="S153" s="10">
        <v>0.23421840699675889</v>
      </c>
      <c r="T153" s="10">
        <v>0.37698028526981697</v>
      </c>
      <c r="U153" s="10">
        <v>0.27265500794912562</v>
      </c>
      <c r="V153" s="10">
        <v>0.501176328648127</v>
      </c>
      <c r="W153" s="10">
        <v>0.2221108077396122</v>
      </c>
      <c r="X153" s="10">
        <v>0.1586405529953917</v>
      </c>
      <c r="Y153" s="10">
        <v>0.27001594896331738</v>
      </c>
      <c r="Z153" s="10">
        <v>0.49</v>
      </c>
      <c r="AA153" s="10">
        <v>0.3</v>
      </c>
      <c r="AB153" s="10">
        <v>0.69499999999999995</v>
      </c>
      <c r="AC153" s="10">
        <v>0.30632422080969829</v>
      </c>
      <c r="AD153">
        <v>1.10842054302709E-2</v>
      </c>
      <c r="AE153">
        <v>0.70961296466129553</v>
      </c>
    </row>
    <row r="154" spans="1:31">
      <c r="A154" t="s">
        <v>85</v>
      </c>
      <c r="B154" t="s">
        <v>78</v>
      </c>
      <c r="C154" t="s">
        <v>80</v>
      </c>
      <c r="D154" t="s">
        <v>69</v>
      </c>
      <c r="E154">
        <v>26</v>
      </c>
      <c r="F154">
        <v>0.1884057971014492</v>
      </c>
      <c r="G154">
        <v>5</v>
      </c>
      <c r="H154" s="10">
        <v>0.49157551013750339</v>
      </c>
      <c r="I154" s="10">
        <v>0.38652838353248042</v>
      </c>
      <c r="J154" s="10">
        <v>0.62120508492338711</v>
      </c>
      <c r="K154" s="10">
        <v>2.609131553806749</v>
      </c>
      <c r="L154" s="10">
        <v>2.051573727980089</v>
      </c>
      <c r="M154" s="10">
        <v>3.2971654507472081</v>
      </c>
      <c r="N154" s="10">
        <v>0.84821428571428581</v>
      </c>
      <c r="O154" s="10">
        <v>0.79371565934065935</v>
      </c>
      <c r="P154" s="10">
        <v>0.90813873626373642</v>
      </c>
      <c r="Q154" s="10">
        <v>0.445576420395633</v>
      </c>
      <c r="R154" s="10">
        <v>0.2743741467575852</v>
      </c>
      <c r="S154" s="10">
        <v>0.5645244409658684</v>
      </c>
      <c r="T154" s="10">
        <v>0.63395693316132795</v>
      </c>
      <c r="U154" s="10">
        <v>0.42461832061068699</v>
      </c>
      <c r="V154" s="10">
        <v>0.79964157706093186</v>
      </c>
      <c r="W154" s="10">
        <v>0.45166380015429491</v>
      </c>
      <c r="X154" s="10">
        <v>0.39839901477832512</v>
      </c>
      <c r="Y154" s="10">
        <v>0.480392156862745</v>
      </c>
      <c r="Z154" s="10">
        <v>0.72307692307692306</v>
      </c>
      <c r="AA154" s="10">
        <v>0.43076923076923079</v>
      </c>
      <c r="AB154" s="10">
        <v>0.99230769230769245</v>
      </c>
      <c r="AC154" s="10">
        <v>0.40399062963537491</v>
      </c>
      <c r="AD154">
        <v>4.6058207306447899E-2</v>
      </c>
      <c r="AE154">
        <v>0.76957811939943954</v>
      </c>
    </row>
    <row r="155" spans="1:31">
      <c r="A155" t="s">
        <v>85</v>
      </c>
      <c r="B155" t="s">
        <v>78</v>
      </c>
      <c r="C155" t="s">
        <v>80</v>
      </c>
      <c r="D155" t="s">
        <v>70</v>
      </c>
      <c r="E155">
        <v>7</v>
      </c>
      <c r="F155">
        <v>5.0724637681159403E-2</v>
      </c>
      <c r="G155">
        <v>5</v>
      </c>
      <c r="H155" s="10">
        <v>0.27492794720799518</v>
      </c>
      <c r="I155" s="10">
        <v>0.20626210363177519</v>
      </c>
      <c r="J155" s="10">
        <v>0.3590467956839305</v>
      </c>
      <c r="K155" s="10">
        <v>5.4200081021004767</v>
      </c>
      <c r="L155" s="10">
        <v>4.0663100430264274</v>
      </c>
      <c r="M155" s="10">
        <v>7.0783511149117722</v>
      </c>
      <c r="N155" s="10">
        <v>0.73347873500545258</v>
      </c>
      <c r="O155" s="10">
        <v>0.68287895310796065</v>
      </c>
      <c r="P155" s="10">
        <v>0.7940021810250818</v>
      </c>
      <c r="Q155" s="10">
        <v>9.0113081064901804E-2</v>
      </c>
      <c r="R155" s="10">
        <v>-1.7774426545944098E-2</v>
      </c>
      <c r="S155" s="10">
        <v>0.1913810091806431</v>
      </c>
      <c r="T155" s="10">
        <v>0.14869718095524539</v>
      </c>
      <c r="U155" s="10">
        <v>0</v>
      </c>
      <c r="V155" s="10">
        <v>0.3219558219558219</v>
      </c>
      <c r="W155" s="10">
        <v>9.9798792756539204E-2</v>
      </c>
      <c r="X155" s="10">
        <v>0</v>
      </c>
      <c r="Y155" s="10">
        <v>0.30952380952380948</v>
      </c>
      <c r="Z155" s="10">
        <v>0.3428571428571428</v>
      </c>
      <c r="AA155" s="10">
        <v>0</v>
      </c>
      <c r="AB155" s="10">
        <v>0.84285714285714275</v>
      </c>
      <c r="AC155" s="10">
        <v>0.60237037953077255</v>
      </c>
      <c r="AD155">
        <v>6.4285822062063996E-3</v>
      </c>
      <c r="AE155">
        <v>0.99998702084775959</v>
      </c>
    </row>
    <row r="156" spans="1:31">
      <c r="A156" t="s">
        <v>85</v>
      </c>
      <c r="B156" t="s">
        <v>78</v>
      </c>
      <c r="C156" t="s">
        <v>80</v>
      </c>
      <c r="D156" t="s">
        <v>71</v>
      </c>
      <c r="E156">
        <v>9</v>
      </c>
      <c r="F156">
        <v>6.5217391304347797E-2</v>
      </c>
      <c r="G156">
        <v>5</v>
      </c>
      <c r="H156" s="10">
        <v>0.1822287014004787</v>
      </c>
      <c r="I156" s="10">
        <v>0.15480667115292429</v>
      </c>
      <c r="J156" s="10">
        <v>0.2003257516889155</v>
      </c>
      <c r="K156" s="10">
        <v>2.794173421474007</v>
      </c>
      <c r="L156" s="10">
        <v>2.3737022910115071</v>
      </c>
      <c r="M156" s="10">
        <v>3.071661525896705</v>
      </c>
      <c r="N156" s="10">
        <v>0.65236864771748482</v>
      </c>
      <c r="O156" s="10">
        <v>0.55322997416020681</v>
      </c>
      <c r="P156" s="10">
        <v>0.74142980189491814</v>
      </c>
      <c r="Q156" s="10">
        <v>0.16747736878780561</v>
      </c>
      <c r="R156" s="10">
        <v>7.9568512498785604E-2</v>
      </c>
      <c r="S156" s="10">
        <v>0.25517208649762879</v>
      </c>
      <c r="T156" s="10">
        <v>0.2612902003145906</v>
      </c>
      <c r="U156" s="10">
        <v>0.22272727272727269</v>
      </c>
      <c r="V156" s="10">
        <v>0.3279720279720279</v>
      </c>
      <c r="W156" s="10">
        <v>0.211619937694704</v>
      </c>
      <c r="X156" s="10">
        <v>7.8400830737279298E-2</v>
      </c>
      <c r="Y156" s="10">
        <v>0.38500000000000001</v>
      </c>
      <c r="Z156" s="10">
        <v>0.44444444444444448</v>
      </c>
      <c r="AA156" s="10">
        <v>0.22222222222222221</v>
      </c>
      <c r="AB156" s="10">
        <v>0.86666666666666659</v>
      </c>
      <c r="AC156" s="10">
        <v>0.42098944868403437</v>
      </c>
      <c r="AD156">
        <v>3.6579240406586998E-3</v>
      </c>
      <c r="AE156">
        <v>0.8198191503561757</v>
      </c>
    </row>
    <row r="157" spans="1:31" hidden="1">
      <c r="A157" t="s">
        <v>85</v>
      </c>
      <c r="B157" t="s">
        <v>78</v>
      </c>
      <c r="C157" t="s">
        <v>81</v>
      </c>
      <c r="D157" t="s">
        <v>67</v>
      </c>
      <c r="E157">
        <v>4</v>
      </c>
      <c r="F157">
        <v>2.8985507246376802E-2</v>
      </c>
      <c r="G157">
        <v>5</v>
      </c>
      <c r="H157" s="10">
        <v>0.11144910201336029</v>
      </c>
      <c r="I157" s="10">
        <v>4.5972714678756799E-2</v>
      </c>
      <c r="J157" s="10">
        <v>0.19578734671125969</v>
      </c>
      <c r="K157" s="10">
        <v>3.8449940194609309</v>
      </c>
      <c r="L157" s="10">
        <v>1.586058656417112</v>
      </c>
      <c r="M157" s="10">
        <v>6.7546634615384624</v>
      </c>
      <c r="N157" s="10">
        <v>0.68638059701492538</v>
      </c>
      <c r="O157" s="10">
        <v>0.56874999999999998</v>
      </c>
      <c r="P157" s="10">
        <v>0.81455223880597016</v>
      </c>
      <c r="Q157" s="10">
        <v>2.8605598752968701E-2</v>
      </c>
      <c r="R157" s="10">
        <v>0</v>
      </c>
      <c r="S157" s="10">
        <v>0.1287251943883595</v>
      </c>
      <c r="T157" s="10">
        <v>0.15267659170098191</v>
      </c>
      <c r="U157" s="10">
        <v>0.1298701298701298</v>
      </c>
      <c r="V157" s="10">
        <v>0.2324992081089641</v>
      </c>
      <c r="W157" s="10">
        <v>3.9188405797101401E-2</v>
      </c>
      <c r="X157" s="10">
        <v>2.8985507246376802E-2</v>
      </c>
      <c r="Y157" s="10">
        <v>7.4898550724637594E-2</v>
      </c>
      <c r="Z157" s="10">
        <v>0.9</v>
      </c>
      <c r="AA157" s="10">
        <v>0.55000000000000004</v>
      </c>
      <c r="AB157" s="10">
        <v>1</v>
      </c>
      <c r="AC157" s="10">
        <v>3.1181928626021201E-2</v>
      </c>
      <c r="AD157">
        <v>0</v>
      </c>
      <c r="AE157">
        <v>0.1403186788170957</v>
      </c>
    </row>
    <row r="158" spans="1:31" hidden="1">
      <c r="A158" t="s">
        <v>85</v>
      </c>
      <c r="B158" t="s">
        <v>78</v>
      </c>
      <c r="C158" t="s">
        <v>81</v>
      </c>
      <c r="D158" t="s">
        <v>68</v>
      </c>
      <c r="E158">
        <v>20</v>
      </c>
      <c r="F158">
        <v>0.14492753623188401</v>
      </c>
      <c r="G158">
        <v>5</v>
      </c>
      <c r="H158" s="10">
        <v>0.18911218383250161</v>
      </c>
      <c r="I158" s="10">
        <v>0.1589890526051764</v>
      </c>
      <c r="J158" s="10">
        <v>0.2148641234705051</v>
      </c>
      <c r="K158" s="10">
        <v>1.3048740684442619</v>
      </c>
      <c r="L158" s="10">
        <v>1.0970244629757171</v>
      </c>
      <c r="M158" s="10">
        <v>1.4825624519464851</v>
      </c>
      <c r="N158" s="10">
        <v>0.60800847457627127</v>
      </c>
      <c r="O158" s="10">
        <v>0.54552966101694922</v>
      </c>
      <c r="P158" s="10">
        <v>0.65661016949152551</v>
      </c>
      <c r="Q158" s="10">
        <v>9.0759936688235704E-2</v>
      </c>
      <c r="R158" s="10">
        <v>5.6553282279436E-3</v>
      </c>
      <c r="S158" s="10">
        <v>0.2057482087256704</v>
      </c>
      <c r="T158" s="10">
        <v>0.3161304160732239</v>
      </c>
      <c r="U158" s="10">
        <v>8.1385154880186994E-2</v>
      </c>
      <c r="V158" s="10">
        <v>0.4611607142857142</v>
      </c>
      <c r="W158" s="10">
        <v>0.18716791979949871</v>
      </c>
      <c r="X158" s="10">
        <v>0.14611528822055131</v>
      </c>
      <c r="Y158" s="10">
        <v>0.2434210526315789</v>
      </c>
      <c r="Z158" s="10">
        <v>0.41</v>
      </c>
      <c r="AA158" s="10">
        <v>0.08</v>
      </c>
      <c r="AB158" s="10">
        <v>0.59499999999999997</v>
      </c>
      <c r="AC158" s="10">
        <v>0.34758620363076898</v>
      </c>
      <c r="AD158">
        <v>0.17735665528659481</v>
      </c>
      <c r="AE158">
        <v>0.75813795139554185</v>
      </c>
    </row>
    <row r="159" spans="1:31" hidden="1">
      <c r="A159" t="s">
        <v>85</v>
      </c>
      <c r="B159" t="s">
        <v>78</v>
      </c>
      <c r="C159" t="s">
        <v>81</v>
      </c>
      <c r="D159" t="s">
        <v>69</v>
      </c>
      <c r="E159">
        <v>26</v>
      </c>
      <c r="F159">
        <v>0.1884057971014492</v>
      </c>
      <c r="G159">
        <v>5</v>
      </c>
      <c r="H159" s="10">
        <v>0.4762545669433253</v>
      </c>
      <c r="I159" s="10">
        <v>0.43092321477285178</v>
      </c>
      <c r="J159" s="10">
        <v>0.55907531625176832</v>
      </c>
      <c r="K159" s="10">
        <v>2.5278127014684189</v>
      </c>
      <c r="L159" s="10">
        <v>2.2872078322559051</v>
      </c>
      <c r="M159" s="10">
        <v>2.9673997554901548</v>
      </c>
      <c r="N159" s="10">
        <v>0.85494505494505491</v>
      </c>
      <c r="O159" s="10">
        <v>0.81328983516483522</v>
      </c>
      <c r="P159" s="10">
        <v>0.88298420329670324</v>
      </c>
      <c r="Q159" s="10">
        <v>0.5185199035295911</v>
      </c>
      <c r="R159" s="10">
        <v>0.46759725915390599</v>
      </c>
      <c r="S159" s="10">
        <v>0.58094534318038482</v>
      </c>
      <c r="T159" s="10">
        <v>0.74070728371288685</v>
      </c>
      <c r="U159" s="10">
        <v>0.68275771847200417</v>
      </c>
      <c r="V159" s="10">
        <v>0.79550787797519285</v>
      </c>
      <c r="W159" s="10">
        <v>0.45877071590103619</v>
      </c>
      <c r="X159" s="10">
        <v>0.42416545718432508</v>
      </c>
      <c r="Y159" s="10">
        <v>0.49716981132075472</v>
      </c>
      <c r="Z159" s="10">
        <v>0.87692307692307703</v>
      </c>
      <c r="AA159" s="10">
        <v>0.77692307692307694</v>
      </c>
      <c r="AB159" s="10">
        <v>0.95769230769230762</v>
      </c>
      <c r="AC159" s="10">
        <v>0.32254023519422259</v>
      </c>
      <c r="AD159">
        <v>0.21318435118029769</v>
      </c>
      <c r="AE159">
        <v>0.3955916889317142</v>
      </c>
    </row>
    <row r="160" spans="1:31" hidden="1">
      <c r="A160" t="s">
        <v>85</v>
      </c>
      <c r="B160" t="s">
        <v>78</v>
      </c>
      <c r="C160" t="s">
        <v>81</v>
      </c>
      <c r="D160" t="s">
        <v>70</v>
      </c>
      <c r="E160">
        <v>7</v>
      </c>
      <c r="F160">
        <v>5.0724637681159403E-2</v>
      </c>
      <c r="G160">
        <v>5</v>
      </c>
      <c r="H160" s="10">
        <v>0.2421975746820467</v>
      </c>
      <c r="I160" s="10">
        <v>0.1402203490091688</v>
      </c>
      <c r="J160" s="10">
        <v>0.32194616977225671</v>
      </c>
      <c r="K160" s="10">
        <v>4.7747521865889224</v>
      </c>
      <c r="L160" s="10">
        <v>2.764344023323615</v>
      </c>
      <c r="M160" s="10">
        <v>6.3469387755102034</v>
      </c>
      <c r="N160" s="10">
        <v>0.63075245365321697</v>
      </c>
      <c r="O160" s="10">
        <v>0.6126499454743729</v>
      </c>
      <c r="P160" s="10">
        <v>0.6721374045801527</v>
      </c>
      <c r="Q160" s="10">
        <v>0.11446441639936029</v>
      </c>
      <c r="R160" s="10">
        <v>0</v>
      </c>
      <c r="S160" s="10">
        <v>0.2217655743813422</v>
      </c>
      <c r="T160" s="10">
        <v>0.18160580920171909</v>
      </c>
      <c r="U160" s="10">
        <v>1.5625E-2</v>
      </c>
      <c r="V160" s="10">
        <v>0.27631578947368418</v>
      </c>
      <c r="W160" s="10">
        <v>0.15014492753623179</v>
      </c>
      <c r="X160" s="10">
        <v>5.0724637681159E-3</v>
      </c>
      <c r="Y160" s="10">
        <v>0.25</v>
      </c>
      <c r="Z160" s="10">
        <v>0.3428571428571428</v>
      </c>
      <c r="AA160" s="10">
        <v>1.42857142857142E-2</v>
      </c>
      <c r="AB160" s="10">
        <v>0.92857142857142838</v>
      </c>
      <c r="AC160" s="10">
        <v>0.11152508523660951</v>
      </c>
      <c r="AD160">
        <v>1.4233542000363999E-3</v>
      </c>
      <c r="AE160">
        <v>0.28855763129579037</v>
      </c>
    </row>
    <row r="161" spans="1:31" hidden="1">
      <c r="A161" t="s">
        <v>85</v>
      </c>
      <c r="B161" t="s">
        <v>78</v>
      </c>
      <c r="C161" t="s">
        <v>81</v>
      </c>
      <c r="D161" t="s">
        <v>71</v>
      </c>
      <c r="E161">
        <v>9</v>
      </c>
      <c r="F161">
        <v>6.5217391304347797E-2</v>
      </c>
      <c r="G161">
        <v>5</v>
      </c>
      <c r="H161" s="10">
        <v>8.5810245246061304E-2</v>
      </c>
      <c r="I161" s="10">
        <v>7.0914801223098206E-2</v>
      </c>
      <c r="J161" s="10">
        <v>9.5381164728990803E-2</v>
      </c>
      <c r="K161" s="10">
        <v>1.3157570937729399</v>
      </c>
      <c r="L161" s="10">
        <v>1.08736028542084</v>
      </c>
      <c r="M161" s="10">
        <v>1.4625111925111931</v>
      </c>
      <c r="N161" s="10">
        <v>0.56813092161929368</v>
      </c>
      <c r="O161" s="10">
        <v>0.51804478897502149</v>
      </c>
      <c r="P161" s="10">
        <v>0.60546942291128336</v>
      </c>
      <c r="Q161" s="10">
        <v>-3.8911798406604998E-3</v>
      </c>
      <c r="R161" s="10">
        <v>-7.3421991798141004E-2</v>
      </c>
      <c r="S161" s="10">
        <v>9.2505250184175603E-2</v>
      </c>
      <c r="T161" s="10">
        <v>9.2473831637918294E-2</v>
      </c>
      <c r="U161" s="10">
        <v>0</v>
      </c>
      <c r="V161" s="10">
        <v>0.1943277310924369</v>
      </c>
      <c r="W161" s="10">
        <v>5.6190476190476103E-2</v>
      </c>
      <c r="X161" s="10">
        <v>0</v>
      </c>
      <c r="Y161" s="10">
        <v>0.13</v>
      </c>
      <c r="Z161" s="10">
        <v>0.1111111111111111</v>
      </c>
      <c r="AA161" s="10">
        <v>0</v>
      </c>
      <c r="AB161" s="10">
        <v>0.22222222222222221</v>
      </c>
      <c r="AC161" s="10">
        <v>0.1950366419413162</v>
      </c>
      <c r="AD161">
        <v>0.18489054324515899</v>
      </c>
      <c r="AE161">
        <v>0.20156708097887679</v>
      </c>
    </row>
    <row r="162" spans="1:31" hidden="1">
      <c r="A162" t="s">
        <v>85</v>
      </c>
      <c r="B162" t="s">
        <v>78</v>
      </c>
      <c r="C162" t="s">
        <v>82</v>
      </c>
      <c r="D162" t="s">
        <v>67</v>
      </c>
      <c r="E162">
        <v>4</v>
      </c>
      <c r="F162">
        <v>2.8985507246376802E-2</v>
      </c>
      <c r="G162">
        <v>5</v>
      </c>
      <c r="H162" s="10">
        <v>3.5834842034512399E-2</v>
      </c>
      <c r="I162" s="10">
        <v>2.7126510778666599E-2</v>
      </c>
      <c r="J162" s="10">
        <v>4.9703681382026299E-2</v>
      </c>
      <c r="K162" s="10">
        <v>1.2363020501906781</v>
      </c>
      <c r="L162" s="10">
        <v>0.93586462186399877</v>
      </c>
      <c r="M162" s="10">
        <v>1.71477700767991</v>
      </c>
      <c r="N162" s="10">
        <v>0.45970149253731341</v>
      </c>
      <c r="O162" s="10">
        <v>0.36044776119402983</v>
      </c>
      <c r="P162" s="10">
        <v>0.54291044776119401</v>
      </c>
      <c r="Q162" s="10">
        <v>-3.0682593888900399E-2</v>
      </c>
      <c r="R162" s="10">
        <v>-4.7422799567991003E-2</v>
      </c>
      <c r="S162" s="10">
        <v>6.1072387204456E-3</v>
      </c>
      <c r="T162" s="10">
        <v>8.6519595315978304E-2</v>
      </c>
      <c r="U162" s="10">
        <v>7.2463768115942004E-3</v>
      </c>
      <c r="V162" s="10">
        <v>0.1280980603448276</v>
      </c>
      <c r="W162" s="10">
        <v>2.0303141555906599E-2</v>
      </c>
      <c r="X162" s="10">
        <v>1.8867924528301E-3</v>
      </c>
      <c r="Y162" s="10">
        <v>2.9678571428571401E-2</v>
      </c>
      <c r="Z162" s="10">
        <v>0.5</v>
      </c>
      <c r="AA162" s="10">
        <v>2.5000000000000001E-2</v>
      </c>
      <c r="AB162" s="10">
        <v>0.75</v>
      </c>
      <c r="AC162" s="10">
        <v>0.29718453628313091</v>
      </c>
      <c r="AD162">
        <v>5.4921634235712301E-2</v>
      </c>
      <c r="AE162">
        <v>0.8264325052195246</v>
      </c>
    </row>
    <row r="163" spans="1:31" hidden="1">
      <c r="A163" t="s">
        <v>85</v>
      </c>
      <c r="B163" t="s">
        <v>78</v>
      </c>
      <c r="C163" t="s">
        <v>82</v>
      </c>
      <c r="D163" t="s">
        <v>68</v>
      </c>
      <c r="E163">
        <v>20</v>
      </c>
      <c r="F163">
        <v>0.14492753623188401</v>
      </c>
      <c r="G163">
        <v>5</v>
      </c>
      <c r="H163" s="10">
        <v>0.3296816956975131</v>
      </c>
      <c r="I163" s="10">
        <v>0.27985661337258161</v>
      </c>
      <c r="J163" s="10">
        <v>0.3711243864232957</v>
      </c>
      <c r="K163" s="10">
        <v>2.274803700312841</v>
      </c>
      <c r="L163" s="10">
        <v>1.9310106322708129</v>
      </c>
      <c r="M163" s="10">
        <v>2.5607582663207409</v>
      </c>
      <c r="N163" s="10">
        <v>0.69161016949152554</v>
      </c>
      <c r="O163" s="10">
        <v>0.61614406779661013</v>
      </c>
      <c r="P163" s="10">
        <v>0.74749999999999994</v>
      </c>
      <c r="Q163" s="10">
        <v>0.22923078278560929</v>
      </c>
      <c r="R163" s="10">
        <v>0.15099945007438439</v>
      </c>
      <c r="S163" s="10">
        <v>0.32419351821147291</v>
      </c>
      <c r="T163" s="10">
        <v>0.45146954259835881</v>
      </c>
      <c r="U163" s="10">
        <v>0.26906552094522018</v>
      </c>
      <c r="V163" s="10">
        <v>0.58204334365325083</v>
      </c>
      <c r="W163" s="10">
        <v>0.26363106817082682</v>
      </c>
      <c r="X163" s="10">
        <v>0.2296409007912355</v>
      </c>
      <c r="Y163" s="10">
        <v>0.28492063492063491</v>
      </c>
      <c r="Z163" s="10">
        <v>0.58000000000000007</v>
      </c>
      <c r="AA163" s="10">
        <v>0.27</v>
      </c>
      <c r="AB163" s="10">
        <v>0.79</v>
      </c>
      <c r="AC163" s="10">
        <v>0.29724870120492097</v>
      </c>
      <c r="AD163">
        <v>0.22348616810110211</v>
      </c>
      <c r="AE163">
        <v>0.4151153599956055</v>
      </c>
    </row>
    <row r="164" spans="1:31" hidden="1">
      <c r="A164" t="s">
        <v>85</v>
      </c>
      <c r="B164" t="s">
        <v>78</v>
      </c>
      <c r="C164" t="s">
        <v>82</v>
      </c>
      <c r="D164" t="s">
        <v>69</v>
      </c>
      <c r="E164">
        <v>26</v>
      </c>
      <c r="F164">
        <v>0.1884057971014492</v>
      </c>
      <c r="G164">
        <v>5</v>
      </c>
      <c r="H164" s="10">
        <v>0.45321986944567622</v>
      </c>
      <c r="I164" s="10">
        <v>0.33925440693829489</v>
      </c>
      <c r="J164" s="10">
        <v>0.54201348499897217</v>
      </c>
      <c r="K164" s="10">
        <v>2.4055516147501281</v>
      </c>
      <c r="L164" s="10">
        <v>1.800658006057104</v>
      </c>
      <c r="M164" s="10">
        <v>2.876840804994544</v>
      </c>
      <c r="N164" s="10">
        <v>0.82541208791208798</v>
      </c>
      <c r="O164" s="10">
        <v>0.74824862637362632</v>
      </c>
      <c r="P164" s="10">
        <v>0.87630494505494505</v>
      </c>
      <c r="Q164" s="10">
        <v>0.4441542772494862</v>
      </c>
      <c r="R164" s="10">
        <v>0.35830653296507048</v>
      </c>
      <c r="S164" s="10">
        <v>0.50266727593497951</v>
      </c>
      <c r="T164" s="10">
        <v>0.6874076373053879</v>
      </c>
      <c r="U164" s="10">
        <v>0.61564449064449056</v>
      </c>
      <c r="V164" s="10">
        <v>0.73708117036337895</v>
      </c>
      <c r="W164" s="10">
        <v>0.40966555361645951</v>
      </c>
      <c r="X164" s="10">
        <v>0.36677718832891237</v>
      </c>
      <c r="Y164" s="10">
        <v>0.4533216783216783</v>
      </c>
      <c r="Z164" s="10">
        <v>0.8307692307692307</v>
      </c>
      <c r="AA164" s="10">
        <v>0.73461538461538456</v>
      </c>
      <c r="AB164" s="10">
        <v>0.91923076923076918</v>
      </c>
      <c r="AC164" s="10">
        <v>0.27543737943034308</v>
      </c>
      <c r="AD164">
        <v>0.23112578281981949</v>
      </c>
      <c r="AE164">
        <v>0.33752903897133368</v>
      </c>
    </row>
    <row r="165" spans="1:31" hidden="1">
      <c r="A165" t="s">
        <v>85</v>
      </c>
      <c r="B165" t="s">
        <v>78</v>
      </c>
      <c r="C165" t="s">
        <v>82</v>
      </c>
      <c r="D165" t="s">
        <v>70</v>
      </c>
      <c r="E165">
        <v>7</v>
      </c>
      <c r="F165">
        <v>5.0724637681159403E-2</v>
      </c>
      <c r="G165">
        <v>5</v>
      </c>
      <c r="H165" s="10">
        <v>6.4172422521285299E-2</v>
      </c>
      <c r="I165" s="10">
        <v>5.5613111222828103E-2</v>
      </c>
      <c r="J165" s="10">
        <v>7.0470537927115398E-2</v>
      </c>
      <c r="K165" s="10">
        <v>1.265113472562482</v>
      </c>
      <c r="L165" s="10">
        <v>1.096372764107183</v>
      </c>
      <c r="M165" s="10">
        <v>1.389276319134561</v>
      </c>
      <c r="N165" s="10">
        <v>0.48942202835332599</v>
      </c>
      <c r="O165" s="10">
        <v>0.4303162486368593</v>
      </c>
      <c r="P165" s="10">
        <v>0.55376226826608499</v>
      </c>
      <c r="Q165" s="10">
        <v>-1.7855653577431699E-2</v>
      </c>
      <c r="R165" s="10">
        <v>-8.2942777371113302E-2</v>
      </c>
      <c r="S165" s="10">
        <v>7.8757991645458797E-2</v>
      </c>
      <c r="T165" s="10">
        <v>0.11316582537740839</v>
      </c>
      <c r="U165" s="10">
        <v>0</v>
      </c>
      <c r="V165" s="10">
        <v>0.23090226515375201</v>
      </c>
      <c r="W165" s="10">
        <v>2.8686439902658501E-2</v>
      </c>
      <c r="X165" s="10">
        <v>0</v>
      </c>
      <c r="Y165" s="10">
        <v>5.66458687842692E-2</v>
      </c>
      <c r="Z165" s="10">
        <v>0.45714285714285707</v>
      </c>
      <c r="AA165" s="10">
        <v>0</v>
      </c>
      <c r="AB165" s="10">
        <v>1</v>
      </c>
      <c r="AC165" s="10">
        <v>0.1115801092136646</v>
      </c>
      <c r="AD165">
        <v>4.4293448710741112E-7</v>
      </c>
      <c r="AE165">
        <v>0.24827062776267819</v>
      </c>
    </row>
    <row r="166" spans="1:31" hidden="1">
      <c r="A166" t="s">
        <v>85</v>
      </c>
      <c r="B166" t="s">
        <v>78</v>
      </c>
      <c r="C166" t="s">
        <v>82</v>
      </c>
      <c r="D166" t="s">
        <v>71</v>
      </c>
      <c r="E166">
        <v>9</v>
      </c>
      <c r="F166">
        <v>6.5217391304347797E-2</v>
      </c>
      <c r="G166">
        <v>5</v>
      </c>
      <c r="H166" s="10">
        <v>0.10247060178179861</v>
      </c>
      <c r="I166" s="10">
        <v>6.9042724869805006E-2</v>
      </c>
      <c r="J166" s="10">
        <v>0.1851901205962603</v>
      </c>
      <c r="K166" s="10">
        <v>1.571215893987578</v>
      </c>
      <c r="L166" s="10">
        <v>1.058655114670344</v>
      </c>
      <c r="M166" s="10">
        <v>2.8395818491426592</v>
      </c>
      <c r="N166" s="10">
        <v>0.52282515073212754</v>
      </c>
      <c r="O166" s="10">
        <v>0.46847545219638242</v>
      </c>
      <c r="P166" s="10">
        <v>0.57062876830318698</v>
      </c>
      <c r="Q166" s="10">
        <v>-6.0006770466177004E-3</v>
      </c>
      <c r="R166" s="10">
        <v>-5.3397344071733403E-2</v>
      </c>
      <c r="S166" s="10">
        <v>6.5474608017187699E-2</v>
      </c>
      <c r="T166" s="10">
        <v>0.1460017567021549</v>
      </c>
      <c r="U166" s="10">
        <v>8.0862533692722297E-2</v>
      </c>
      <c r="V166" s="10">
        <v>0.26144397313538348</v>
      </c>
      <c r="W166" s="10">
        <v>5.6166636221783202E-2</v>
      </c>
      <c r="X166" s="10">
        <v>3.8738738738738697E-2</v>
      </c>
      <c r="Y166" s="10">
        <v>6.9341856060606E-2</v>
      </c>
      <c r="Z166" s="10">
        <v>0.33333333333333331</v>
      </c>
      <c r="AA166" s="10">
        <v>0.1111111111111111</v>
      </c>
      <c r="AB166" s="10">
        <v>0.92222222222222217</v>
      </c>
      <c r="AC166" s="10">
        <v>0.1234361719713427</v>
      </c>
      <c r="AD166">
        <v>1.2118537974811E-2</v>
      </c>
      <c r="AE166">
        <v>0.20983099930263299</v>
      </c>
    </row>
    <row r="167" spans="1:31" hidden="1">
      <c r="A167" t="s">
        <v>85</v>
      </c>
      <c r="B167" t="s">
        <v>78</v>
      </c>
      <c r="C167" t="s">
        <v>76</v>
      </c>
      <c r="D167" t="s">
        <v>67</v>
      </c>
      <c r="E167">
        <v>4</v>
      </c>
      <c r="F167">
        <v>2.8985507246376802E-2</v>
      </c>
      <c r="G167">
        <v>5</v>
      </c>
      <c r="H167" s="10">
        <v>0.1226026822392301</v>
      </c>
      <c r="I167" s="10">
        <v>6.2969805120413794E-2</v>
      </c>
      <c r="J167" s="10">
        <v>0.1895145338779626</v>
      </c>
      <c r="K167" s="10">
        <v>4.2297925372534406</v>
      </c>
      <c r="L167" s="10">
        <v>2.172458276654277</v>
      </c>
      <c r="M167" s="10">
        <v>6.5382514187897103</v>
      </c>
      <c r="N167" s="10">
        <v>0.75373134328358216</v>
      </c>
      <c r="O167" s="10">
        <v>0.66940298507462681</v>
      </c>
      <c r="P167" s="10">
        <v>0.79832089552238805</v>
      </c>
      <c r="Q167" s="10">
        <v>0.12858923812152809</v>
      </c>
      <c r="R167" s="10">
        <v>4.5868402656576001E-3</v>
      </c>
      <c r="S167" s="10">
        <v>0.21260900760318369</v>
      </c>
      <c r="T167" s="10">
        <v>0.22384313507194739</v>
      </c>
      <c r="U167" s="10">
        <v>0.13065573770491801</v>
      </c>
      <c r="V167" s="10">
        <v>0.31663837011884549</v>
      </c>
      <c r="W167" s="10">
        <v>6.7257264170525299E-2</v>
      </c>
      <c r="X167" s="10">
        <v>3.0534989252447998E-2</v>
      </c>
      <c r="Y167" s="10">
        <v>0.12731707317073171</v>
      </c>
      <c r="Z167" s="10">
        <v>0.75</v>
      </c>
      <c r="AA167" s="10">
        <v>0.52500000000000002</v>
      </c>
      <c r="AB167" s="10">
        <v>0.97499999999999998</v>
      </c>
      <c r="AC167" s="10">
        <v>4.7273942410364103E-2</v>
      </c>
      <c r="AD167">
        <v>1.50752780388561E-2</v>
      </c>
      <c r="AE167">
        <v>0.1044346499973407</v>
      </c>
    </row>
    <row r="168" spans="1:31" hidden="1">
      <c r="A168" t="s">
        <v>85</v>
      </c>
      <c r="B168" t="s">
        <v>78</v>
      </c>
      <c r="C168" t="s">
        <v>76</v>
      </c>
      <c r="D168" t="s">
        <v>68</v>
      </c>
      <c r="E168">
        <v>20</v>
      </c>
      <c r="F168">
        <v>0.14492753623188401</v>
      </c>
      <c r="G168">
        <v>5</v>
      </c>
      <c r="H168" s="10">
        <v>0.35646520123907888</v>
      </c>
      <c r="I168" s="10">
        <v>0.32758384937502949</v>
      </c>
      <c r="J168" s="10">
        <v>0.38782926751105529</v>
      </c>
      <c r="K168" s="10">
        <v>2.459609888549644</v>
      </c>
      <c r="L168" s="10">
        <v>2.2603285606877042</v>
      </c>
      <c r="M168" s="10">
        <v>2.6760219458262808</v>
      </c>
      <c r="N168" s="10">
        <v>0.78398305084745767</v>
      </c>
      <c r="O168" s="10">
        <v>0.7456779661016949</v>
      </c>
      <c r="P168" s="10">
        <v>0.80686440677966098</v>
      </c>
      <c r="Q168" s="10">
        <v>0.27886555919052147</v>
      </c>
      <c r="R168" s="10">
        <v>0.23404828773901579</v>
      </c>
      <c r="S168" s="10">
        <v>0.39876155613633663</v>
      </c>
      <c r="T168" s="10">
        <v>0.45678135564201039</v>
      </c>
      <c r="U168" s="10">
        <v>0.32230576441102748</v>
      </c>
      <c r="V168" s="10">
        <v>0.65509280850666918</v>
      </c>
      <c r="W168" s="10">
        <v>0.31992596250716071</v>
      </c>
      <c r="X168" s="10">
        <v>0.23346206269877329</v>
      </c>
      <c r="Y168" s="10">
        <v>0.39478260869565218</v>
      </c>
      <c r="Z168" s="10">
        <v>0.56999999999999995</v>
      </c>
      <c r="AA168" s="10">
        <v>0.31</v>
      </c>
      <c r="AB168" s="10">
        <v>0.93500000000000005</v>
      </c>
      <c r="AC168" s="10">
        <v>0.32974734292928848</v>
      </c>
      <c r="AD168">
        <v>0.16271473199958619</v>
      </c>
      <c r="AE168">
        <v>0.4572374237325682</v>
      </c>
    </row>
    <row r="169" spans="1:31" hidden="1">
      <c r="A169" t="s">
        <v>85</v>
      </c>
      <c r="B169" t="s">
        <v>78</v>
      </c>
      <c r="C169" t="s">
        <v>76</v>
      </c>
      <c r="D169" t="s">
        <v>69</v>
      </c>
      <c r="E169">
        <v>26</v>
      </c>
      <c r="F169">
        <v>0.1884057971014492</v>
      </c>
      <c r="G169">
        <v>5</v>
      </c>
      <c r="H169" s="10">
        <v>0.66062959502043384</v>
      </c>
      <c r="I169" s="10">
        <v>0.62231447069060963</v>
      </c>
      <c r="J169" s="10">
        <v>0.7358030131747274</v>
      </c>
      <c r="K169" s="10">
        <v>3.5064186197238412</v>
      </c>
      <c r="L169" s="10">
        <v>3.3030537290501591</v>
      </c>
      <c r="M169" s="10">
        <v>3.905415993004322</v>
      </c>
      <c r="N169" s="10">
        <v>0.93276098901098903</v>
      </c>
      <c r="O169" s="10">
        <v>0.91727335164835155</v>
      </c>
      <c r="P169" s="10">
        <v>0.94429945054945041</v>
      </c>
      <c r="Q169" s="10">
        <v>0.69137235314708101</v>
      </c>
      <c r="R169" s="10">
        <v>0.60939447122667056</v>
      </c>
      <c r="S169" s="10">
        <v>0.75012133880494558</v>
      </c>
      <c r="T169" s="10">
        <v>0.85690040780355758</v>
      </c>
      <c r="U169" s="10">
        <v>0.81613591887564485</v>
      </c>
      <c r="V169" s="10">
        <v>0.88467789598108737</v>
      </c>
      <c r="W169" s="10">
        <v>0.60113397369494925</v>
      </c>
      <c r="X169" s="10">
        <v>0.50952380952380949</v>
      </c>
      <c r="Y169" s="10">
        <v>0.67060810810810811</v>
      </c>
      <c r="Z169" s="10">
        <v>0.96153846153846156</v>
      </c>
      <c r="AA169" s="10">
        <v>0.96153846153846156</v>
      </c>
      <c r="AB169" s="10">
        <v>0.96153846153846156</v>
      </c>
      <c r="AC169" s="10">
        <v>0.41280183298294543</v>
      </c>
      <c r="AD169">
        <v>0.31813644974819599</v>
      </c>
      <c r="AE169">
        <v>0.46063239878573359</v>
      </c>
    </row>
    <row r="170" spans="1:31" hidden="1">
      <c r="A170" t="s">
        <v>85</v>
      </c>
      <c r="B170" t="s">
        <v>78</v>
      </c>
      <c r="C170" t="s">
        <v>76</v>
      </c>
      <c r="D170" t="s">
        <v>70</v>
      </c>
      <c r="E170">
        <v>7</v>
      </c>
      <c r="F170">
        <v>5.0724637681159403E-2</v>
      </c>
      <c r="G170">
        <v>5</v>
      </c>
      <c r="H170" s="10">
        <v>0.1315236063249712</v>
      </c>
      <c r="I170" s="10">
        <v>0.100413154733142</v>
      </c>
      <c r="J170" s="10">
        <v>0.17459873068373599</v>
      </c>
      <c r="K170" s="10">
        <v>2.5928939532637179</v>
      </c>
      <c r="L170" s="10">
        <v>1.979573621881942</v>
      </c>
      <c r="M170" s="10">
        <v>3.4420892620507968</v>
      </c>
      <c r="N170" s="10">
        <v>0.66085059978189753</v>
      </c>
      <c r="O170" s="10">
        <v>0.59869138495092689</v>
      </c>
      <c r="P170" s="10">
        <v>0.71559432933478728</v>
      </c>
      <c r="Q170" s="10">
        <v>0.11009033332807069</v>
      </c>
      <c r="R170" s="10">
        <v>1.9749362828826002E-3</v>
      </c>
      <c r="S170" s="10">
        <v>0.2301506432783933</v>
      </c>
      <c r="T170" s="10">
        <v>0.26903172048585011</v>
      </c>
      <c r="U170" s="10">
        <v>0.2109711573566995</v>
      </c>
      <c r="V170" s="10">
        <v>0.3431201550387597</v>
      </c>
      <c r="W170" s="10">
        <v>9.4185948105560094E-2</v>
      </c>
      <c r="X170" s="10">
        <v>5.0761662964138303E-2</v>
      </c>
      <c r="Y170" s="10">
        <v>0.18930232558139529</v>
      </c>
      <c r="Z170" s="10">
        <v>0.79999999999999993</v>
      </c>
      <c r="AA170" s="10">
        <v>0.44285714285714278</v>
      </c>
      <c r="AB170" s="10">
        <v>1</v>
      </c>
      <c r="AC170" s="10">
        <v>6.2161431324768701E-2</v>
      </c>
      <c r="AD170">
        <v>4.3086133921754997E-3</v>
      </c>
      <c r="AE170">
        <v>0.12521612954964639</v>
      </c>
    </row>
    <row r="171" spans="1:31" hidden="1">
      <c r="A171" t="s">
        <v>85</v>
      </c>
      <c r="B171" t="s">
        <v>78</v>
      </c>
      <c r="C171" t="s">
        <v>76</v>
      </c>
      <c r="D171" t="s">
        <v>71</v>
      </c>
      <c r="E171">
        <v>9</v>
      </c>
      <c r="F171">
        <v>6.5217391304347797E-2</v>
      </c>
      <c r="G171">
        <v>5</v>
      </c>
      <c r="H171" s="10">
        <v>0.13913307704281919</v>
      </c>
      <c r="I171" s="10">
        <v>9.2553749245028502E-2</v>
      </c>
      <c r="J171" s="10">
        <v>0.17588707742749859</v>
      </c>
      <c r="K171" s="10">
        <v>2.1333738479898949</v>
      </c>
      <c r="L171" s="10">
        <v>1.4191574884237721</v>
      </c>
      <c r="M171" s="10">
        <v>2.696935187221646</v>
      </c>
      <c r="N171" s="10">
        <v>0.56726959517657194</v>
      </c>
      <c r="O171" s="10">
        <v>0.50835486649440143</v>
      </c>
      <c r="P171" s="10">
        <v>0.63522825150732121</v>
      </c>
      <c r="Q171" s="10">
        <v>7.0891201740766796E-2</v>
      </c>
      <c r="R171" s="10">
        <v>-6.2199953005665004E-3</v>
      </c>
      <c r="S171" s="10">
        <v>0.18951472291955321</v>
      </c>
      <c r="T171" s="10">
        <v>0.2353557983130338</v>
      </c>
      <c r="U171" s="10">
        <v>0.14895330112721411</v>
      </c>
      <c r="V171" s="10">
        <v>0.35704514363885093</v>
      </c>
      <c r="W171" s="10">
        <v>9.7010546642899501E-2</v>
      </c>
      <c r="X171" s="10">
        <v>6.1163101604278E-2</v>
      </c>
      <c r="Y171" s="10">
        <v>0.1517361111111111</v>
      </c>
      <c r="Z171" s="10">
        <v>0.46666666666666667</v>
      </c>
      <c r="AA171" s="10">
        <v>0.22222222222222221</v>
      </c>
      <c r="AB171" s="10">
        <v>0.9555555555555556</v>
      </c>
      <c r="AC171" s="10">
        <v>0.1066705849975694</v>
      </c>
      <c r="AD171">
        <v>2.8428418572462401E-2</v>
      </c>
      <c r="AE171">
        <v>0.14902490581545541</v>
      </c>
    </row>
    <row r="172" spans="1:31" hidden="1">
      <c r="A172" t="s">
        <v>85</v>
      </c>
      <c r="B172" t="s">
        <v>78</v>
      </c>
      <c r="C172" t="s">
        <v>83</v>
      </c>
      <c r="D172" t="s">
        <v>67</v>
      </c>
      <c r="E172">
        <v>4</v>
      </c>
      <c r="F172">
        <v>2.8985507246376802E-2</v>
      </c>
      <c r="G172">
        <v>5</v>
      </c>
      <c r="H172" s="10">
        <v>0.1237333796974129</v>
      </c>
      <c r="I172" s="10">
        <v>2.44728613175141E-2</v>
      </c>
      <c r="J172" s="10">
        <v>0.26184934656818248</v>
      </c>
      <c r="K172" s="10">
        <v>4.2688015995607449</v>
      </c>
      <c r="L172" s="10">
        <v>0.84431371545423739</v>
      </c>
      <c r="M172" s="10">
        <v>9.0338024566023005</v>
      </c>
      <c r="N172" s="10">
        <v>0.4888059701492537</v>
      </c>
      <c r="O172" s="10">
        <v>0.217910447761194</v>
      </c>
      <c r="P172" s="10">
        <v>0.62891791044776113</v>
      </c>
      <c r="Q172" s="10">
        <v>9.1949304442476398E-2</v>
      </c>
      <c r="R172" s="10">
        <v>-2.7792939697486699E-2</v>
      </c>
      <c r="S172" s="10">
        <v>0.31474578969267442</v>
      </c>
      <c r="T172" s="10">
        <v>0.1394731342149263</v>
      </c>
      <c r="U172" s="10">
        <v>1.1627906976744099E-2</v>
      </c>
      <c r="V172" s="10">
        <v>0.265625</v>
      </c>
      <c r="W172" s="10">
        <v>0.1191192583227981</v>
      </c>
      <c r="X172" s="10">
        <v>2.6548672566371E-3</v>
      </c>
      <c r="Y172" s="10">
        <v>0.45357142857142851</v>
      </c>
      <c r="Z172" s="10">
        <v>0.6</v>
      </c>
      <c r="AA172" s="10">
        <v>2.5000000000000001E-2</v>
      </c>
      <c r="AB172" s="10">
        <v>1</v>
      </c>
      <c r="AC172" s="10">
        <v>4.3212043048779798E-2</v>
      </c>
      <c r="AD172">
        <v>1.82225549317112E-2</v>
      </c>
      <c r="AE172">
        <v>8.7178943442599605E-2</v>
      </c>
    </row>
    <row r="173" spans="1:31" hidden="1">
      <c r="A173" t="s">
        <v>85</v>
      </c>
      <c r="B173" t="s">
        <v>78</v>
      </c>
      <c r="C173" t="s">
        <v>83</v>
      </c>
      <c r="D173" t="s">
        <v>68</v>
      </c>
      <c r="E173">
        <v>20</v>
      </c>
      <c r="F173">
        <v>0.14492753623188401</v>
      </c>
      <c r="G173">
        <v>5</v>
      </c>
      <c r="H173" s="10">
        <v>0.25183533789152862</v>
      </c>
      <c r="I173" s="10">
        <v>0.2160299911333049</v>
      </c>
      <c r="J173" s="10">
        <v>0.29023968137391298</v>
      </c>
      <c r="K173" s="10">
        <v>1.737663831451548</v>
      </c>
      <c r="L173" s="10">
        <v>1.490606938819804</v>
      </c>
      <c r="M173" s="10">
        <v>2.0026538014800002</v>
      </c>
      <c r="N173" s="10">
        <v>0.66207627118644075</v>
      </c>
      <c r="O173" s="10">
        <v>0.63730932203389834</v>
      </c>
      <c r="P173" s="10">
        <v>0.69372881355932203</v>
      </c>
      <c r="Q173" s="10">
        <v>9.8402451030121102E-2</v>
      </c>
      <c r="R173" s="10">
        <v>-3.3935969965110998E-3</v>
      </c>
      <c r="S173" s="10">
        <v>0.15938968211208471</v>
      </c>
      <c r="T173" s="10">
        <v>0.25285021930774321</v>
      </c>
      <c r="U173" s="10">
        <v>6.2630616509926795E-2</v>
      </c>
      <c r="V173" s="10">
        <v>0.3807203389830508</v>
      </c>
      <c r="W173" s="10">
        <v>0.21553691922112969</v>
      </c>
      <c r="X173" s="10">
        <v>0.13301282051282051</v>
      </c>
      <c r="Y173" s="10">
        <v>0.28082706766917293</v>
      </c>
      <c r="Z173" s="10">
        <v>0.28999999999999998</v>
      </c>
      <c r="AA173" s="10">
        <v>5.5E-2</v>
      </c>
      <c r="AB173" s="10">
        <v>0.45</v>
      </c>
      <c r="AC173" s="10">
        <v>0.25241263639630412</v>
      </c>
      <c r="AD173">
        <v>0.12896783570805739</v>
      </c>
      <c r="AE173">
        <v>0.4500597503067672</v>
      </c>
    </row>
    <row r="174" spans="1:31" hidden="1">
      <c r="A174" t="s">
        <v>85</v>
      </c>
      <c r="B174" t="s">
        <v>78</v>
      </c>
      <c r="C174" t="s">
        <v>83</v>
      </c>
      <c r="D174" t="s">
        <v>69</v>
      </c>
      <c r="E174">
        <v>26</v>
      </c>
      <c r="F174">
        <v>0.1884057971014492</v>
      </c>
      <c r="G174">
        <v>5</v>
      </c>
      <c r="H174" s="10">
        <v>0.57803433109779234</v>
      </c>
      <c r="I174" s="10">
        <v>0.48806081202273582</v>
      </c>
      <c r="J174" s="10">
        <v>0.65978227339282292</v>
      </c>
      <c r="K174" s="10">
        <v>3.0680283727498212</v>
      </c>
      <c r="L174" s="10">
        <v>2.5904766176591361</v>
      </c>
      <c r="M174" s="10">
        <v>3.5019212972388289</v>
      </c>
      <c r="N174" s="10">
        <v>0.87582417582417593</v>
      </c>
      <c r="O174" s="10">
        <v>0.82687156593406597</v>
      </c>
      <c r="P174" s="10">
        <v>0.91086881868131875</v>
      </c>
      <c r="Q174" s="10">
        <v>0.60651820850414062</v>
      </c>
      <c r="R174" s="10">
        <v>0.55848500071918383</v>
      </c>
      <c r="S174" s="10">
        <v>0.65715149142825002</v>
      </c>
      <c r="T174" s="10">
        <v>0.75884716666101393</v>
      </c>
      <c r="U174" s="10">
        <v>0.69708029197080301</v>
      </c>
      <c r="V174" s="10">
        <v>0.82468869731800765</v>
      </c>
      <c r="W174" s="10">
        <v>0.58195032060885721</v>
      </c>
      <c r="X174" s="10">
        <v>0.56831081081081081</v>
      </c>
      <c r="Y174" s="10">
        <v>0.60399113082039912</v>
      </c>
      <c r="Z174" s="10">
        <v>0.82307692307692304</v>
      </c>
      <c r="AA174" s="10">
        <v>0.73461538461538456</v>
      </c>
      <c r="AB174" s="10">
        <v>0.91923076923076918</v>
      </c>
      <c r="AC174" s="10">
        <v>0.18148915135615881</v>
      </c>
      <c r="AD174">
        <v>0.1158169105036396</v>
      </c>
      <c r="AE174">
        <v>0.23811931413373419</v>
      </c>
    </row>
    <row r="175" spans="1:31" hidden="1">
      <c r="A175" t="s">
        <v>85</v>
      </c>
      <c r="B175" t="s">
        <v>78</v>
      </c>
      <c r="C175" t="s">
        <v>83</v>
      </c>
      <c r="D175" t="s">
        <v>70</v>
      </c>
      <c r="E175">
        <v>7</v>
      </c>
      <c r="F175">
        <v>5.0724637681159403E-2</v>
      </c>
      <c r="G175">
        <v>5</v>
      </c>
      <c r="H175" s="10">
        <v>5.9362796951648499E-2</v>
      </c>
      <c r="I175" s="10">
        <v>4.15273806615781E-2</v>
      </c>
      <c r="J175" s="10">
        <v>7.9197980148253494E-2</v>
      </c>
      <c r="K175" s="10">
        <v>1.1702951399039281</v>
      </c>
      <c r="L175" s="10">
        <v>0.81868264732825491</v>
      </c>
      <c r="M175" s="10">
        <v>1.561331608636997</v>
      </c>
      <c r="N175" s="10">
        <v>0.40577971646673933</v>
      </c>
      <c r="O175" s="10">
        <v>0.33522355507088319</v>
      </c>
      <c r="P175" s="10">
        <v>0.45654307524536519</v>
      </c>
      <c r="Q175" s="10">
        <v>-3.83143898297401E-2</v>
      </c>
      <c r="R175" s="10">
        <v>-0.270288383697454</v>
      </c>
      <c r="S175" s="10">
        <v>8.9933387636741996E-2</v>
      </c>
      <c r="T175" s="10">
        <v>0.19371637624059981</v>
      </c>
      <c r="U175" s="10">
        <v>0.1108240764660294</v>
      </c>
      <c r="V175" s="10">
        <v>0.2368663594470046</v>
      </c>
      <c r="W175" s="10">
        <v>4.7680582993637602E-2</v>
      </c>
      <c r="X175" s="10">
        <v>2.7304460245636701E-2</v>
      </c>
      <c r="Y175" s="10">
        <v>5.8452987494210198E-2</v>
      </c>
      <c r="Z175" s="10">
        <v>0.82857142857142863</v>
      </c>
      <c r="AA175" s="10">
        <v>0.47142857142857142</v>
      </c>
      <c r="AB175" s="10">
        <v>1</v>
      </c>
      <c r="AC175" s="10">
        <v>2.8704797447578399E-2</v>
      </c>
      <c r="AD175">
        <v>2.4369462935130801E-2</v>
      </c>
      <c r="AE175">
        <v>3.6248338917532999E-2</v>
      </c>
    </row>
    <row r="176" spans="1:31" hidden="1">
      <c r="A176" t="s">
        <v>85</v>
      </c>
      <c r="B176" t="s">
        <v>78</v>
      </c>
      <c r="C176" t="s">
        <v>83</v>
      </c>
      <c r="D176" t="s">
        <v>71</v>
      </c>
      <c r="E176">
        <v>9</v>
      </c>
      <c r="F176">
        <v>6.5217391304347797E-2</v>
      </c>
      <c r="G176">
        <v>5</v>
      </c>
      <c r="H176" s="10">
        <v>8.4095842277799704E-2</v>
      </c>
      <c r="I176" s="10">
        <v>6.09240817557914E-2</v>
      </c>
      <c r="J176" s="10">
        <v>0.11712421463061699</v>
      </c>
      <c r="K176" s="10">
        <v>1.2894695815929289</v>
      </c>
      <c r="L176" s="10">
        <v>0.93416925358880243</v>
      </c>
      <c r="M176" s="10">
        <v>1.7959046243361281</v>
      </c>
      <c r="N176" s="10">
        <v>0.4707149009474591</v>
      </c>
      <c r="O176" s="10">
        <v>0.3973729543496986</v>
      </c>
      <c r="P176" s="10">
        <v>0.5683031869078381</v>
      </c>
      <c r="Q176" s="10">
        <v>3.1617077185031497E-2</v>
      </c>
      <c r="R176" s="10">
        <v>-3.4534723424396001E-2</v>
      </c>
      <c r="S176" s="10">
        <v>7.7352730922273905E-2</v>
      </c>
      <c r="T176" s="10">
        <v>0.16074149930224479</v>
      </c>
      <c r="U176" s="10">
        <v>8.7382297551789001E-2</v>
      </c>
      <c r="V176" s="10">
        <v>0.27637178051511752</v>
      </c>
      <c r="W176" s="10">
        <v>8.47152916681288E-2</v>
      </c>
      <c r="X176" s="10">
        <v>4.59100957995578E-2</v>
      </c>
      <c r="Y176" s="10">
        <v>0.1236111111111111</v>
      </c>
      <c r="Z176" s="10">
        <v>0.33333333333333331</v>
      </c>
      <c r="AA176" s="10">
        <v>0.1111111111111111</v>
      </c>
      <c r="AB176" s="10">
        <v>0.84444444444444433</v>
      </c>
      <c r="AC176" s="10">
        <v>7.8316094933977301E-2</v>
      </c>
      <c r="AD176">
        <v>4.6162406290604197E-2</v>
      </c>
      <c r="AE176">
        <v>0.1064942557559681</v>
      </c>
    </row>
    <row r="177" spans="1:31" hidden="1">
      <c r="A177" t="s">
        <v>85</v>
      </c>
      <c r="B177" t="s">
        <v>78</v>
      </c>
      <c r="C177" t="s">
        <v>84</v>
      </c>
      <c r="D177" t="s">
        <v>67</v>
      </c>
      <c r="E177">
        <v>4</v>
      </c>
      <c r="F177">
        <v>2.8985507246376802E-2</v>
      </c>
      <c r="G177">
        <v>5</v>
      </c>
      <c r="H177" s="10">
        <v>0.1176701275613196</v>
      </c>
      <c r="I177" s="10">
        <v>4.6673112463254701E-2</v>
      </c>
      <c r="J177" s="10">
        <v>0.27576738695736358</v>
      </c>
      <c r="K177" s="10">
        <v>4.0596194008655271</v>
      </c>
      <c r="L177" s="10">
        <v>1.610222379982287</v>
      </c>
      <c r="M177" s="10">
        <v>9.5139748500290438</v>
      </c>
      <c r="N177" s="10">
        <v>0.70951492537313432</v>
      </c>
      <c r="O177" s="10">
        <v>0.65046641791044779</v>
      </c>
      <c r="P177" s="10">
        <v>0.83516791044776129</v>
      </c>
      <c r="Q177" s="10">
        <v>0.1002839418749927</v>
      </c>
      <c r="R177" s="10">
        <v>5.3201548203449897E-2</v>
      </c>
      <c r="S177" s="10">
        <v>0.14275993982948409</v>
      </c>
      <c r="T177" s="10">
        <v>0.18389577305456389</v>
      </c>
      <c r="U177" s="10">
        <v>0.15459057071960289</v>
      </c>
      <c r="V177" s="10">
        <v>0.22810047095761379</v>
      </c>
      <c r="W177" s="10">
        <v>4.6703050255096697E-2</v>
      </c>
      <c r="X177" s="10">
        <v>3.9375750300119999E-2</v>
      </c>
      <c r="Y177" s="10">
        <v>5.99800895968143E-2</v>
      </c>
      <c r="Z177" s="10">
        <v>0.75</v>
      </c>
      <c r="AA177" s="10">
        <v>0.5</v>
      </c>
      <c r="AB177" s="10">
        <v>1</v>
      </c>
      <c r="AC177" s="10">
        <v>1.17149082891708E-2</v>
      </c>
      <c r="AD177">
        <v>6.9722483459574002E-3</v>
      </c>
      <c r="AE177">
        <v>1.41416420601589E-2</v>
      </c>
    </row>
    <row r="178" spans="1:31" hidden="1">
      <c r="A178" t="s">
        <v>85</v>
      </c>
      <c r="B178" t="s">
        <v>78</v>
      </c>
      <c r="C178" t="s">
        <v>84</v>
      </c>
      <c r="D178" t="s">
        <v>68</v>
      </c>
      <c r="E178">
        <v>20</v>
      </c>
      <c r="F178">
        <v>0.14492753623188401</v>
      </c>
      <c r="G178">
        <v>5</v>
      </c>
      <c r="H178" s="10">
        <v>0.33047091048446359</v>
      </c>
      <c r="I178" s="10">
        <v>0.2616544899185379</v>
      </c>
      <c r="J178" s="10">
        <v>0.39182514499007809</v>
      </c>
      <c r="K178" s="10">
        <v>2.280249282342798</v>
      </c>
      <c r="L178" s="10">
        <v>1.805415980437912</v>
      </c>
      <c r="M178" s="10">
        <v>2.703593500431539</v>
      </c>
      <c r="N178" s="10">
        <v>0.73881355932203385</v>
      </c>
      <c r="O178" s="10">
        <v>0.68199152542372876</v>
      </c>
      <c r="P178" s="10">
        <v>0.7859322033898305</v>
      </c>
      <c r="Q178" s="10">
        <v>0.25499828429792482</v>
      </c>
      <c r="R178" s="10">
        <v>0.18723449381402779</v>
      </c>
      <c r="S178" s="10">
        <v>0.33389605821292617</v>
      </c>
      <c r="T178" s="10">
        <v>0.41333698707799421</v>
      </c>
      <c r="U178" s="10">
        <v>0.2394688644688644</v>
      </c>
      <c r="V178" s="10">
        <v>0.50085645769099008</v>
      </c>
      <c r="W178" s="10">
        <v>0.32898674316388909</v>
      </c>
      <c r="X178" s="10">
        <v>0.24570217917675541</v>
      </c>
      <c r="Y178" s="10">
        <v>0.39636363636363631</v>
      </c>
      <c r="Z178" s="10">
        <v>0.46999999999999992</v>
      </c>
      <c r="AA178" s="10">
        <v>0.22500000000000001</v>
      </c>
      <c r="AB178" s="10">
        <v>0.67999999999999994</v>
      </c>
      <c r="AC178" s="10">
        <v>0.33749765337741561</v>
      </c>
      <c r="AD178">
        <v>5.0710595032977202E-2</v>
      </c>
      <c r="AE178">
        <v>0.8129116305725359</v>
      </c>
    </row>
    <row r="179" spans="1:31" hidden="1">
      <c r="A179" t="s">
        <v>85</v>
      </c>
      <c r="B179" t="s">
        <v>78</v>
      </c>
      <c r="C179" t="s">
        <v>84</v>
      </c>
      <c r="D179" t="s">
        <v>69</v>
      </c>
      <c r="E179">
        <v>26</v>
      </c>
      <c r="F179">
        <v>0.1884057971014492</v>
      </c>
      <c r="G179">
        <v>5</v>
      </c>
      <c r="H179" s="10">
        <v>0.71171151379063791</v>
      </c>
      <c r="I179" s="10">
        <v>0.65127854753197334</v>
      </c>
      <c r="J179" s="10">
        <v>0.75506872705353689</v>
      </c>
      <c r="K179" s="10">
        <v>3.7775457270426172</v>
      </c>
      <c r="L179" s="10">
        <v>3.4567861369004742</v>
      </c>
      <c r="M179" s="10">
        <v>4.0076724743610814</v>
      </c>
      <c r="N179" s="10">
        <v>0.91751373626373645</v>
      </c>
      <c r="O179" s="10">
        <v>0.88901098901098896</v>
      </c>
      <c r="P179" s="10">
        <v>0.93849587912087917</v>
      </c>
      <c r="Q179" s="10">
        <v>0.56752175328716459</v>
      </c>
      <c r="R179" s="10">
        <v>0.39000554742777438</v>
      </c>
      <c r="S179" s="10">
        <v>0.65269055963071476</v>
      </c>
      <c r="T179" s="10">
        <v>0.7225678177371978</v>
      </c>
      <c r="U179" s="10">
        <v>0.4175420168067227</v>
      </c>
      <c r="V179" s="10">
        <v>0.82698393622561395</v>
      </c>
      <c r="W179" s="10">
        <v>0.54594947841915498</v>
      </c>
      <c r="X179" s="10">
        <v>0.47451114922813031</v>
      </c>
      <c r="Y179" s="10">
        <v>0.65062500000000001</v>
      </c>
      <c r="Z179" s="10">
        <v>0.82307692307692315</v>
      </c>
      <c r="AA179" s="10">
        <v>0.3923076923076923</v>
      </c>
      <c r="AB179" s="10">
        <v>1</v>
      </c>
      <c r="AC179" s="10">
        <v>0.25002276167528131</v>
      </c>
      <c r="AD179">
        <v>2.3102432651698E-2</v>
      </c>
      <c r="AE179">
        <v>0.71473930548243803</v>
      </c>
    </row>
    <row r="180" spans="1:31" hidden="1">
      <c r="A180" t="s">
        <v>85</v>
      </c>
      <c r="B180" t="s">
        <v>78</v>
      </c>
      <c r="C180" t="s">
        <v>84</v>
      </c>
      <c r="D180" t="s">
        <v>70</v>
      </c>
      <c r="E180">
        <v>7</v>
      </c>
      <c r="F180">
        <v>5.0724637681159403E-2</v>
      </c>
      <c r="G180">
        <v>5</v>
      </c>
      <c r="H180" s="10">
        <v>0.1007110699960103</v>
      </c>
      <c r="I180" s="10">
        <v>7.3699342593258596E-2</v>
      </c>
      <c r="J180" s="10">
        <v>0.1455075905742034</v>
      </c>
      <c r="K180" s="10">
        <v>1.9854468084927741</v>
      </c>
      <c r="L180" s="10">
        <v>1.452929896838528</v>
      </c>
      <c r="M180" s="10">
        <v>2.8685782141771532</v>
      </c>
      <c r="N180" s="10">
        <v>0.65474372955288984</v>
      </c>
      <c r="O180" s="10">
        <v>0.60152671755725196</v>
      </c>
      <c r="P180" s="10">
        <v>0.71788440567066525</v>
      </c>
      <c r="Q180" s="10">
        <v>0.1424025927312777</v>
      </c>
      <c r="R180" s="10">
        <v>4.2159719954428403E-2</v>
      </c>
      <c r="S180" s="10">
        <v>0.19046062002212999</v>
      </c>
      <c r="T180" s="10">
        <v>0.2845092449922958</v>
      </c>
      <c r="U180" s="10">
        <v>0.2186779661016949</v>
      </c>
      <c r="V180" s="10">
        <v>0.31761363636363638</v>
      </c>
      <c r="W180" s="10">
        <v>7.5950604866873397E-2</v>
      </c>
      <c r="X180" s="10">
        <v>5.7216494845360802E-2</v>
      </c>
      <c r="Y180" s="10">
        <v>8.5162601626016202E-2</v>
      </c>
      <c r="Z180" s="10">
        <v>0.91428571428571437</v>
      </c>
      <c r="AA180" s="10">
        <v>0.72857142857142854</v>
      </c>
      <c r="AB180" s="10">
        <v>1</v>
      </c>
      <c r="AC180" s="10">
        <v>7.3944898314128003E-3</v>
      </c>
      <c r="AD180">
        <v>6.1883399633891004E-3</v>
      </c>
      <c r="AE180">
        <v>8.8550148763243998E-3</v>
      </c>
    </row>
    <row r="181" spans="1:31" hidden="1">
      <c r="A181" t="s">
        <v>85</v>
      </c>
      <c r="B181" t="s">
        <v>78</v>
      </c>
      <c r="C181" t="s">
        <v>84</v>
      </c>
      <c r="D181" t="s">
        <v>71</v>
      </c>
      <c r="E181">
        <v>9</v>
      </c>
      <c r="F181">
        <v>6.5217391304347797E-2</v>
      </c>
      <c r="G181">
        <v>5</v>
      </c>
      <c r="H181" s="10">
        <v>0.22388642099032249</v>
      </c>
      <c r="I181" s="10">
        <v>0.1761265325673923</v>
      </c>
      <c r="J181" s="10">
        <v>0.31401660171080598</v>
      </c>
      <c r="K181" s="10">
        <v>3.4329251218516119</v>
      </c>
      <c r="L181" s="10">
        <v>2.7006068327000161</v>
      </c>
      <c r="M181" s="10">
        <v>4.81492122623236</v>
      </c>
      <c r="N181" s="10">
        <v>0.68837209302325575</v>
      </c>
      <c r="O181" s="10">
        <v>0.62911283376399652</v>
      </c>
      <c r="P181" s="10">
        <v>0.76640826873385015</v>
      </c>
      <c r="Q181" s="10">
        <v>0.11104297240348029</v>
      </c>
      <c r="R181" s="10">
        <v>-7.9954475103176E-3</v>
      </c>
      <c r="S181" s="10">
        <v>0.1849062972602438</v>
      </c>
      <c r="T181" s="10">
        <v>0.2569763569763569</v>
      </c>
      <c r="U181" s="10">
        <v>0.15</v>
      </c>
      <c r="V181" s="10">
        <v>0.36146076146076139</v>
      </c>
      <c r="W181" s="10">
        <v>0.1152309171917015</v>
      </c>
      <c r="X181" s="10">
        <v>6.1764705882352902E-2</v>
      </c>
      <c r="Y181" s="10">
        <v>0.21081081081081079</v>
      </c>
      <c r="Z181" s="10">
        <v>0.51111111111111107</v>
      </c>
      <c r="AA181" s="10">
        <v>0.22222222222222221</v>
      </c>
      <c r="AB181" s="10">
        <v>0.88888888888888884</v>
      </c>
      <c r="AC181" s="10">
        <v>3.8039518994559998E-2</v>
      </c>
      <c r="AD181">
        <v>7.9597962919468E-3</v>
      </c>
      <c r="AE181">
        <v>0.11267234477798579</v>
      </c>
    </row>
    <row r="182" spans="1:31">
      <c r="A182" t="s">
        <v>85</v>
      </c>
      <c r="B182" t="s">
        <v>77</v>
      </c>
      <c r="C182" t="s">
        <v>80</v>
      </c>
      <c r="D182" t="s">
        <v>67</v>
      </c>
      <c r="E182">
        <v>4</v>
      </c>
      <c r="F182">
        <v>2.8571428571428501E-2</v>
      </c>
      <c r="G182">
        <v>5</v>
      </c>
      <c r="H182" s="10">
        <v>0.14996625289705651</v>
      </c>
      <c r="I182" s="10">
        <v>6.3720775333152804E-2</v>
      </c>
      <c r="J182" s="10">
        <v>0.3394329975579975</v>
      </c>
      <c r="K182" s="10">
        <v>5.248818851396976</v>
      </c>
      <c r="L182" s="10">
        <v>2.230227136660349</v>
      </c>
      <c r="M182" s="10">
        <v>11.880154914529911</v>
      </c>
      <c r="N182" s="10">
        <v>0.77794117647058825</v>
      </c>
      <c r="O182" s="10">
        <v>0.65808823529411764</v>
      </c>
      <c r="P182" s="10">
        <v>0.85772058823529407</v>
      </c>
      <c r="Q182" s="10">
        <v>0.12045654837819809</v>
      </c>
      <c r="R182" s="10">
        <v>-9.7073116983181999E-3</v>
      </c>
      <c r="S182" s="10">
        <v>0.20661480181673869</v>
      </c>
      <c r="T182" s="10">
        <v>0.1948132123258759</v>
      </c>
      <c r="U182" s="10">
        <v>1.94174757281553E-2</v>
      </c>
      <c r="V182" s="10">
        <v>0.30625000000000002</v>
      </c>
      <c r="W182" s="10">
        <v>5.59328236824983E-2</v>
      </c>
      <c r="X182" s="10">
        <v>4.5977011494251997E-3</v>
      </c>
      <c r="Y182" s="10">
        <v>9.2708333333333295E-2</v>
      </c>
      <c r="Z182" s="10">
        <v>0.6</v>
      </c>
      <c r="AA182" s="10">
        <v>0.05</v>
      </c>
      <c r="AB182" s="10">
        <v>0.97499999999999998</v>
      </c>
      <c r="AC182" s="10">
        <v>0.19085539628514731</v>
      </c>
      <c r="AD182">
        <v>3.2827970181338001E-3</v>
      </c>
      <c r="AE182">
        <v>0.80379468450702451</v>
      </c>
    </row>
    <row r="183" spans="1:31">
      <c r="A183" t="s">
        <v>86</v>
      </c>
      <c r="B183" t="s">
        <v>65</v>
      </c>
      <c r="C183" t="s">
        <v>80</v>
      </c>
      <c r="D183" t="s">
        <v>68</v>
      </c>
      <c r="E183">
        <v>20</v>
      </c>
      <c r="F183">
        <v>0.14492753623188401</v>
      </c>
      <c r="G183">
        <v>5</v>
      </c>
      <c r="H183" s="10">
        <v>0.21165427088025321</v>
      </c>
      <c r="I183" s="10">
        <v>0.18298748037510651</v>
      </c>
      <c r="J183" s="10">
        <v>0.2446462672903979</v>
      </c>
      <c r="K183" s="10">
        <v>1.4604144690737471</v>
      </c>
      <c r="L183" s="10">
        <v>1.262613614588235</v>
      </c>
      <c r="M183" s="10">
        <v>1.6880592443037461</v>
      </c>
      <c r="N183" s="10">
        <v>0.63042372881355924</v>
      </c>
      <c r="O183" s="10">
        <v>0.58021186440677963</v>
      </c>
      <c r="P183" s="10">
        <v>0.67432203389830503</v>
      </c>
      <c r="Q183" s="10">
        <v>0.1417248268218628</v>
      </c>
      <c r="R183" s="10">
        <v>7.7813127388751693E-2</v>
      </c>
      <c r="S183" s="10">
        <v>0.2013322977901402</v>
      </c>
      <c r="T183" s="10">
        <v>0.40890469015673492</v>
      </c>
      <c r="U183" s="10">
        <v>0.25057603686635938</v>
      </c>
      <c r="V183" s="10">
        <v>0.49114387134164011</v>
      </c>
      <c r="W183" s="10">
        <v>0.20103445812914961</v>
      </c>
      <c r="X183" s="10">
        <v>0.1663414634146341</v>
      </c>
      <c r="Y183" s="10">
        <v>0.22951680672268909</v>
      </c>
      <c r="Z183" s="10">
        <v>0.61</v>
      </c>
      <c r="AA183" s="10">
        <v>0.27</v>
      </c>
      <c r="AB183" s="10">
        <v>0.97</v>
      </c>
      <c r="AC183" s="10">
        <v>0.38719632874629728</v>
      </c>
      <c r="AD183">
        <v>2.69504189956855E-2</v>
      </c>
      <c r="AE183">
        <v>0.73225800260695906</v>
      </c>
    </row>
    <row r="184" spans="1:31">
      <c r="A184" t="s">
        <v>86</v>
      </c>
      <c r="B184" t="s">
        <v>65</v>
      </c>
      <c r="C184" t="s">
        <v>80</v>
      </c>
      <c r="D184" t="s">
        <v>69</v>
      </c>
      <c r="E184">
        <v>26</v>
      </c>
      <c r="F184">
        <v>0.1884057971014492</v>
      </c>
      <c r="G184">
        <v>5</v>
      </c>
      <c r="H184" s="10">
        <v>0.42982042610945398</v>
      </c>
      <c r="I184" s="10">
        <v>0.40743484463662111</v>
      </c>
      <c r="J184" s="10">
        <v>0.46851678245666922</v>
      </c>
      <c r="K184" s="10">
        <v>2.2813545693501789</v>
      </c>
      <c r="L184" s="10">
        <v>2.162538790763604</v>
      </c>
      <c r="M184" s="10">
        <v>2.4867429222700128</v>
      </c>
      <c r="N184" s="10">
        <v>0.81195054945054945</v>
      </c>
      <c r="O184" s="10">
        <v>0.80398351648351651</v>
      </c>
      <c r="P184" s="10">
        <v>0.81730769230769229</v>
      </c>
      <c r="Q184" s="10">
        <v>0.4786172162222444</v>
      </c>
      <c r="R184" s="10">
        <v>0.44763935308654801</v>
      </c>
      <c r="S184" s="10">
        <v>0.52780780476510691</v>
      </c>
      <c r="T184" s="10">
        <v>0.68951272685786302</v>
      </c>
      <c r="U184" s="10">
        <v>0.65205000478973085</v>
      </c>
      <c r="V184" s="10">
        <v>0.74653428250281006</v>
      </c>
      <c r="W184" s="10">
        <v>0.4578317626709778</v>
      </c>
      <c r="X184" s="10">
        <v>0.41882300089847257</v>
      </c>
      <c r="Y184" s="10">
        <v>0.48540031397174249</v>
      </c>
      <c r="Z184" s="10">
        <v>0.79230769230769238</v>
      </c>
      <c r="AA184" s="10">
        <v>0.73076923076923073</v>
      </c>
      <c r="AB184" s="10">
        <v>0.88076923076923075</v>
      </c>
      <c r="AC184" s="10">
        <v>0.52555714846218982</v>
      </c>
      <c r="AD184">
        <v>0.42611097835420919</v>
      </c>
      <c r="AE184">
        <v>0.63346186233598201</v>
      </c>
    </row>
    <row r="185" spans="1:31">
      <c r="A185" t="s">
        <v>86</v>
      </c>
      <c r="B185" t="s">
        <v>65</v>
      </c>
      <c r="C185" t="s">
        <v>80</v>
      </c>
      <c r="D185" t="s">
        <v>70</v>
      </c>
      <c r="E185">
        <v>7</v>
      </c>
      <c r="F185">
        <v>5.0724637681159403E-2</v>
      </c>
      <c r="G185">
        <v>5</v>
      </c>
      <c r="H185" s="10">
        <v>5.7096423785853098E-2</v>
      </c>
      <c r="I185" s="10">
        <v>4.9828620702650601E-2</v>
      </c>
      <c r="J185" s="10">
        <v>6.8006156846205396E-2</v>
      </c>
      <c r="K185" s="10">
        <v>1.1256152117782481</v>
      </c>
      <c r="L185" s="10">
        <v>0.98233566528082683</v>
      </c>
      <c r="M185" s="10">
        <v>1.340692806396621</v>
      </c>
      <c r="N185" s="10">
        <v>0.45474372955288989</v>
      </c>
      <c r="O185" s="10">
        <v>0.40599781897491821</v>
      </c>
      <c r="P185" s="10">
        <v>0.5294438386041439</v>
      </c>
      <c r="Q185" s="10">
        <v>1.33202873722286E-2</v>
      </c>
      <c r="R185" s="10">
        <v>-8.0156965793105994E-2</v>
      </c>
      <c r="S185" s="10">
        <v>0.1180708273290233</v>
      </c>
      <c r="T185" s="10">
        <v>0.21052013187884819</v>
      </c>
      <c r="U185" s="10">
        <v>0.1689873417721518</v>
      </c>
      <c r="V185" s="10">
        <v>0.25600789096126247</v>
      </c>
      <c r="W185" s="10">
        <v>5.4026540019748798E-2</v>
      </c>
      <c r="X185" s="10">
        <v>4.6300366300366297E-2</v>
      </c>
      <c r="Y185" s="10">
        <v>6.4649122807017498E-2</v>
      </c>
      <c r="Z185" s="10">
        <v>0.8</v>
      </c>
      <c r="AA185" s="10">
        <v>0.47142857142857142</v>
      </c>
      <c r="AB185" s="10">
        <v>0.98571428571428565</v>
      </c>
      <c r="AC185" s="10">
        <v>2.45670040948394E-2</v>
      </c>
      <c r="AD185">
        <v>1.2180736582369999E-4</v>
      </c>
      <c r="AE185">
        <v>9.1236544923607693E-2</v>
      </c>
    </row>
    <row r="186" spans="1:31">
      <c r="A186" t="s">
        <v>86</v>
      </c>
      <c r="B186" t="s">
        <v>65</v>
      </c>
      <c r="C186" t="s">
        <v>80</v>
      </c>
      <c r="D186" t="s">
        <v>71</v>
      </c>
      <c r="E186">
        <v>9</v>
      </c>
      <c r="F186">
        <v>6.5217391304347797E-2</v>
      </c>
      <c r="G186">
        <v>5</v>
      </c>
      <c r="H186" s="10">
        <v>6.3261285950051496E-2</v>
      </c>
      <c r="I186" s="10">
        <v>5.30931375129143E-2</v>
      </c>
      <c r="J186" s="10">
        <v>7.6258663952981795E-2</v>
      </c>
      <c r="K186" s="10">
        <v>0.97000638456745636</v>
      </c>
      <c r="L186" s="10">
        <v>0.81409477519801987</v>
      </c>
      <c r="M186" s="10">
        <v>1.169299513945721</v>
      </c>
      <c r="N186" s="10">
        <v>0.39310938845822557</v>
      </c>
      <c r="O186" s="10">
        <v>0.35305770887166238</v>
      </c>
      <c r="P186" s="10">
        <v>0.46141257536606373</v>
      </c>
      <c r="Q186" s="10">
        <v>-2.9297338413996201E-2</v>
      </c>
      <c r="R186" s="10">
        <v>-0.15373277457203721</v>
      </c>
      <c r="S186" s="10">
        <v>0.1083655546374528</v>
      </c>
      <c r="T186" s="10">
        <v>0.176421936269052</v>
      </c>
      <c r="U186" s="10">
        <v>1.8248175182481698E-2</v>
      </c>
      <c r="V186" s="10">
        <v>0.28757412898443291</v>
      </c>
      <c r="W186" s="10">
        <v>5.2561088621177303E-2</v>
      </c>
      <c r="X186" s="10">
        <v>4.9504950495049002E-3</v>
      </c>
      <c r="Y186" s="10">
        <v>8.4901477832512298E-2</v>
      </c>
      <c r="Z186" s="10">
        <v>0.51111111111111107</v>
      </c>
      <c r="AA186" s="10">
        <v>3.3333333333333298E-2</v>
      </c>
      <c r="AB186" s="10">
        <v>0.96666666666666679</v>
      </c>
      <c r="AC186" s="10">
        <v>0.28086969443753351</v>
      </c>
      <c r="AD186">
        <v>6.6684681175559002E-3</v>
      </c>
      <c r="AE186">
        <v>0.81253252363641948</v>
      </c>
    </row>
    <row r="187" spans="1:31" hidden="1">
      <c r="A187" t="s">
        <v>86</v>
      </c>
      <c r="B187" t="s">
        <v>65</v>
      </c>
      <c r="C187" t="s">
        <v>81</v>
      </c>
      <c r="D187" t="s">
        <v>67</v>
      </c>
      <c r="E187">
        <v>4</v>
      </c>
      <c r="F187">
        <v>2.8985507246376802E-2</v>
      </c>
      <c r="G187">
        <v>5</v>
      </c>
      <c r="H187" s="10">
        <v>6.9278028734550398E-2</v>
      </c>
      <c r="I187" s="10">
        <v>4.57651044607566E-2</v>
      </c>
      <c r="J187" s="10">
        <v>8.3689182194616907E-2</v>
      </c>
      <c r="K187" s="10">
        <v>2.3900919913419911</v>
      </c>
      <c r="L187" s="10">
        <v>1.578896103896104</v>
      </c>
      <c r="M187" s="10">
        <v>2.887276785714286</v>
      </c>
      <c r="N187" s="10">
        <v>0.63171641791044775</v>
      </c>
      <c r="O187" s="10">
        <v>0.55447761194029843</v>
      </c>
      <c r="P187" s="10">
        <v>0.68563432835820892</v>
      </c>
      <c r="Q187" s="10">
        <v>6.3281052734742299E-2</v>
      </c>
      <c r="R187" s="10">
        <v>0</v>
      </c>
      <c r="S187" s="10">
        <v>0.19011297966877419</v>
      </c>
      <c r="T187" s="10">
        <v>0.17698967698967691</v>
      </c>
      <c r="U187" s="10">
        <v>0.1298701298701298</v>
      </c>
      <c r="V187" s="10">
        <v>0.29195804195804198</v>
      </c>
      <c r="W187" s="10">
        <v>6.09207161125319E-2</v>
      </c>
      <c r="X187" s="10">
        <v>2.8985507246376802E-2</v>
      </c>
      <c r="Y187" s="10">
        <v>0.11588235294117639</v>
      </c>
      <c r="Z187" s="10">
        <v>0.75</v>
      </c>
      <c r="AA187" s="10">
        <v>0.27500000000000002</v>
      </c>
      <c r="AB187" s="10">
        <v>1</v>
      </c>
      <c r="AC187" s="10">
        <v>6.9570849724246694E-2</v>
      </c>
      <c r="AD187">
        <v>0</v>
      </c>
      <c r="AE187">
        <v>0.18233287185872299</v>
      </c>
    </row>
    <row r="188" spans="1:31" hidden="1">
      <c r="A188" t="s">
        <v>86</v>
      </c>
      <c r="B188" t="s">
        <v>65</v>
      </c>
      <c r="C188" t="s">
        <v>81</v>
      </c>
      <c r="D188" t="s">
        <v>68</v>
      </c>
      <c r="E188">
        <v>20</v>
      </c>
      <c r="F188">
        <v>0.14492753623188401</v>
      </c>
      <c r="G188">
        <v>5</v>
      </c>
      <c r="H188" s="10">
        <v>0.25056855055335808</v>
      </c>
      <c r="I188" s="10">
        <v>0.20076396024109561</v>
      </c>
      <c r="J188" s="10">
        <v>0.29632815575512422</v>
      </c>
      <c r="K188" s="10">
        <v>1.7289229988181709</v>
      </c>
      <c r="L188" s="10">
        <v>1.38527132566356</v>
      </c>
      <c r="M188" s="10">
        <v>2.0446642747103572</v>
      </c>
      <c r="N188" s="10">
        <v>0.66423728813559324</v>
      </c>
      <c r="O188" s="10">
        <v>0.61038135593220344</v>
      </c>
      <c r="P188" s="10">
        <v>0.69398305084745771</v>
      </c>
      <c r="Q188" s="10">
        <v>0.14030458843252541</v>
      </c>
      <c r="R188" s="10">
        <v>-4.0674605874579998E-4</v>
      </c>
      <c r="S188" s="10">
        <v>0.26315597403380891</v>
      </c>
      <c r="T188" s="10">
        <v>0.2655513317378751</v>
      </c>
      <c r="U188" s="10">
        <v>5.7233924611973297E-2</v>
      </c>
      <c r="V188" s="10">
        <v>0.4636093838326738</v>
      </c>
      <c r="W188" s="10">
        <v>0.28414066776135738</v>
      </c>
      <c r="X188" s="10">
        <v>0.1339285714285714</v>
      </c>
      <c r="Y188" s="10">
        <v>0.48055555555555551</v>
      </c>
      <c r="Z188" s="10">
        <v>0.3</v>
      </c>
      <c r="AA188" s="10">
        <v>0.05</v>
      </c>
      <c r="AB188" s="10">
        <v>0.54</v>
      </c>
      <c r="AC188" s="10">
        <v>0.42384813559374818</v>
      </c>
      <c r="AD188">
        <v>0.21718252860576129</v>
      </c>
      <c r="AE188">
        <v>0.70668689975178056</v>
      </c>
    </row>
    <row r="189" spans="1:31" hidden="1">
      <c r="A189" t="s">
        <v>86</v>
      </c>
      <c r="B189" t="s">
        <v>65</v>
      </c>
      <c r="C189" t="s">
        <v>81</v>
      </c>
      <c r="D189" t="s">
        <v>69</v>
      </c>
      <c r="E189">
        <v>26</v>
      </c>
      <c r="F189">
        <v>0.1884057971014492</v>
      </c>
      <c r="G189">
        <v>5</v>
      </c>
      <c r="H189" s="10">
        <v>0.49020558788075042</v>
      </c>
      <c r="I189" s="10">
        <v>0.40512668321869882</v>
      </c>
      <c r="J189" s="10">
        <v>0.53847201920748833</v>
      </c>
      <c r="K189" s="10">
        <v>2.601860427982444</v>
      </c>
      <c r="L189" s="10">
        <v>2.1502877801607858</v>
      </c>
      <c r="M189" s="10">
        <v>2.85804379425513</v>
      </c>
      <c r="N189" s="10">
        <v>0.77517170329670326</v>
      </c>
      <c r="O189" s="10">
        <v>0.75070398351648349</v>
      </c>
      <c r="P189" s="10">
        <v>0.81480082417582422</v>
      </c>
      <c r="Q189" s="10">
        <v>0.38600397497142808</v>
      </c>
      <c r="R189" s="10">
        <v>0.27665655209799911</v>
      </c>
      <c r="S189" s="10">
        <v>0.49981161331841789</v>
      </c>
      <c r="T189" s="10">
        <v>0.52824005381927874</v>
      </c>
      <c r="U189" s="10">
        <v>0.39591733870967738</v>
      </c>
      <c r="V189" s="10">
        <v>0.68282312925170063</v>
      </c>
      <c r="W189" s="10">
        <v>0.47610680447889753</v>
      </c>
      <c r="X189" s="10">
        <v>0.39748062015503871</v>
      </c>
      <c r="Y189" s="10">
        <v>0.54685185185185192</v>
      </c>
      <c r="Z189" s="10">
        <v>0.55384615384615388</v>
      </c>
      <c r="AA189" s="10">
        <v>0.38846153846153841</v>
      </c>
      <c r="AB189" s="10">
        <v>0.75769230769230766</v>
      </c>
      <c r="AC189" s="10">
        <v>0.36286431630745009</v>
      </c>
      <c r="AD189">
        <v>0.21991801661939181</v>
      </c>
      <c r="AE189">
        <v>0.56294355202473589</v>
      </c>
    </row>
    <row r="190" spans="1:31" hidden="1">
      <c r="A190" t="s">
        <v>86</v>
      </c>
      <c r="B190" t="s">
        <v>65</v>
      </c>
      <c r="C190" t="s">
        <v>81</v>
      </c>
      <c r="D190" t="s">
        <v>70</v>
      </c>
      <c r="E190">
        <v>7</v>
      </c>
      <c r="F190">
        <v>5.0724637681159403E-2</v>
      </c>
      <c r="G190">
        <v>5</v>
      </c>
      <c r="H190" s="10">
        <v>5.0724637681159403E-2</v>
      </c>
      <c r="I190" s="10">
        <v>5.0724637681159403E-2</v>
      </c>
      <c r="J190" s="10">
        <v>5.0724637681159403E-2</v>
      </c>
      <c r="K190" s="10">
        <v>1</v>
      </c>
      <c r="L190" s="10">
        <v>1</v>
      </c>
      <c r="M190" s="10">
        <v>1</v>
      </c>
      <c r="N190" s="10">
        <v>0.4244274809160305</v>
      </c>
      <c r="O190" s="10">
        <v>0.4087786259541985</v>
      </c>
      <c r="P190" s="10">
        <v>0.4351145038167939</v>
      </c>
      <c r="Q190" s="10">
        <v>0</v>
      </c>
      <c r="R190" s="10">
        <v>0</v>
      </c>
      <c r="S190" s="10">
        <v>0</v>
      </c>
      <c r="T190" s="10">
        <v>0.21084337349397589</v>
      </c>
      <c r="U190" s="10">
        <v>0.21084337349397589</v>
      </c>
      <c r="V190" s="10">
        <v>0.21084337349397589</v>
      </c>
      <c r="W190" s="10">
        <v>5.0724637681159403E-2</v>
      </c>
      <c r="X190" s="10">
        <v>5.0724637681159403E-2</v>
      </c>
      <c r="Y190" s="10">
        <v>5.0724637681159403E-2</v>
      </c>
      <c r="Z190" s="10">
        <v>1</v>
      </c>
      <c r="AA190" s="10">
        <v>1</v>
      </c>
      <c r="AB190" s="10">
        <v>1</v>
      </c>
      <c r="AC190" s="10">
        <v>0</v>
      </c>
      <c r="AD190">
        <v>0</v>
      </c>
      <c r="AE190">
        <v>0</v>
      </c>
    </row>
    <row r="191" spans="1:31" hidden="1">
      <c r="A191" t="s">
        <v>86</v>
      </c>
      <c r="B191" t="s">
        <v>65</v>
      </c>
      <c r="C191" t="s">
        <v>81</v>
      </c>
      <c r="D191" t="s">
        <v>71</v>
      </c>
      <c r="E191">
        <v>9</v>
      </c>
      <c r="F191">
        <v>6.5217391304347797E-2</v>
      </c>
      <c r="G191">
        <v>5</v>
      </c>
      <c r="H191" s="10">
        <v>6.4972011348822897E-2</v>
      </c>
      <c r="I191" s="10">
        <v>6.2847941108810604E-2</v>
      </c>
      <c r="J191" s="10">
        <v>6.9806763285024095E-2</v>
      </c>
      <c r="K191" s="10">
        <v>0.99623750734861838</v>
      </c>
      <c r="L191" s="10">
        <v>0.96366843033509675</v>
      </c>
      <c r="M191" s="10">
        <v>1.07037037037037</v>
      </c>
      <c r="N191" s="10">
        <v>0.4351421188630491</v>
      </c>
      <c r="O191" s="10">
        <v>0.40525409130060291</v>
      </c>
      <c r="P191" s="10">
        <v>0.46063738156761408</v>
      </c>
      <c r="Q191" s="10">
        <v>0</v>
      </c>
      <c r="R191" s="10">
        <v>0</v>
      </c>
      <c r="S191" s="10">
        <v>0</v>
      </c>
      <c r="T191" s="10">
        <v>0.25862068965517238</v>
      </c>
      <c r="U191" s="10">
        <v>0.25862068965517238</v>
      </c>
      <c r="V191" s="10">
        <v>0.25862068965517238</v>
      </c>
      <c r="W191" s="10">
        <v>6.5217391304347797E-2</v>
      </c>
      <c r="X191" s="10">
        <v>6.5217391304347797E-2</v>
      </c>
      <c r="Y191" s="10">
        <v>6.5217391304347797E-2</v>
      </c>
      <c r="Z191" s="10">
        <v>1</v>
      </c>
      <c r="AA191" s="10">
        <v>1</v>
      </c>
      <c r="AB191" s="10">
        <v>1</v>
      </c>
      <c r="AC191" s="10">
        <v>0</v>
      </c>
      <c r="AD191">
        <v>0</v>
      </c>
      <c r="AE191">
        <v>0</v>
      </c>
    </row>
    <row r="192" spans="1:31" hidden="1">
      <c r="A192" t="s">
        <v>86</v>
      </c>
      <c r="B192" t="s">
        <v>65</v>
      </c>
      <c r="C192" t="s">
        <v>82</v>
      </c>
      <c r="D192" t="s">
        <v>67</v>
      </c>
      <c r="E192">
        <v>4</v>
      </c>
      <c r="F192">
        <v>2.8985507246376802E-2</v>
      </c>
      <c r="G192">
        <v>5</v>
      </c>
      <c r="H192" s="10">
        <v>4.6664631006291403E-2</v>
      </c>
      <c r="I192" s="10">
        <v>2.53313510700795E-2</v>
      </c>
      <c r="J192" s="10">
        <v>6.5570068050390298E-2</v>
      </c>
      <c r="K192" s="10">
        <v>1.6099297697170529</v>
      </c>
      <c r="L192" s="10">
        <v>0.87393161191774482</v>
      </c>
      <c r="M192" s="10">
        <v>2.2621673477384681</v>
      </c>
      <c r="N192" s="10">
        <v>0.56828358208955232</v>
      </c>
      <c r="O192" s="10">
        <v>0.30074626865671639</v>
      </c>
      <c r="P192" s="10">
        <v>0.7218283582089553</v>
      </c>
      <c r="Q192" s="10">
        <v>-2.0074340809576902E-2</v>
      </c>
      <c r="R192" s="10">
        <v>-0.18400261837372511</v>
      </c>
      <c r="S192" s="10">
        <v>5.3319116797472699E-2</v>
      </c>
      <c r="T192" s="10">
        <v>0.1124129762297635</v>
      </c>
      <c r="U192" s="10">
        <v>6.8943105689431003E-2</v>
      </c>
      <c r="V192" s="10">
        <v>0.14084507042253519</v>
      </c>
      <c r="W192" s="10">
        <v>2.5762969752204198E-2</v>
      </c>
      <c r="X192" s="10">
        <v>1.66304190227635E-2</v>
      </c>
      <c r="Y192" s="10">
        <v>3.1746031746031703E-2</v>
      </c>
      <c r="Z192" s="10">
        <v>0.75</v>
      </c>
      <c r="AA192" s="10">
        <v>0.27500000000000002</v>
      </c>
      <c r="AB192" s="10">
        <v>1</v>
      </c>
      <c r="AC192" s="10">
        <v>0.24397821029566899</v>
      </c>
      <c r="AD192">
        <v>0.12636849506383141</v>
      </c>
      <c r="AE192">
        <v>0.50196821758692944</v>
      </c>
    </row>
    <row r="193" spans="1:31" hidden="1">
      <c r="A193" t="s">
        <v>86</v>
      </c>
      <c r="B193" t="s">
        <v>65</v>
      </c>
      <c r="C193" t="s">
        <v>82</v>
      </c>
      <c r="D193" t="s">
        <v>68</v>
      </c>
      <c r="E193">
        <v>20</v>
      </c>
      <c r="F193">
        <v>0.14492753623188401</v>
      </c>
      <c r="G193">
        <v>5</v>
      </c>
      <c r="H193" s="10">
        <v>0.2252417580109862</v>
      </c>
      <c r="I193" s="10">
        <v>0.18907794825059779</v>
      </c>
      <c r="J193" s="10">
        <v>0.27688821710673922</v>
      </c>
      <c r="K193" s="10">
        <v>1.554168130275805</v>
      </c>
      <c r="L193" s="10">
        <v>1.304637842929125</v>
      </c>
      <c r="M193" s="10">
        <v>1.910528698036501</v>
      </c>
      <c r="N193" s="10">
        <v>0.6551694915254237</v>
      </c>
      <c r="O193" s="10">
        <v>0.58186440677966111</v>
      </c>
      <c r="P193" s="10">
        <v>0.72817796610169483</v>
      </c>
      <c r="Q193" s="10">
        <v>0.1515277982988612</v>
      </c>
      <c r="R193" s="10">
        <v>4.2569220921577597E-2</v>
      </c>
      <c r="S193" s="10">
        <v>0.22619586100041211</v>
      </c>
      <c r="T193" s="10">
        <v>0.4058511603705291</v>
      </c>
      <c r="U193" s="10">
        <v>0.2423605805958747</v>
      </c>
      <c r="V193" s="10">
        <v>0.48717253839205049</v>
      </c>
      <c r="W193" s="10">
        <v>0.2124184433452726</v>
      </c>
      <c r="X193" s="10">
        <v>0.1606666666666666</v>
      </c>
      <c r="Y193" s="10">
        <v>0.26509977827051001</v>
      </c>
      <c r="Z193" s="10">
        <v>0.57999999999999996</v>
      </c>
      <c r="AA193" s="10">
        <v>0.27</v>
      </c>
      <c r="AB193" s="10">
        <v>0.96499999999999997</v>
      </c>
      <c r="AC193" s="10">
        <v>0.30538962670008379</v>
      </c>
      <c r="AD193">
        <v>0.1644367934314131</v>
      </c>
      <c r="AE193">
        <v>0.36875399623157917</v>
      </c>
    </row>
    <row r="194" spans="1:31" hidden="1">
      <c r="A194" t="s">
        <v>86</v>
      </c>
      <c r="B194" t="s">
        <v>65</v>
      </c>
      <c r="C194" t="s">
        <v>82</v>
      </c>
      <c r="D194" t="s">
        <v>69</v>
      </c>
      <c r="E194">
        <v>26</v>
      </c>
      <c r="F194">
        <v>0.1884057971014492</v>
      </c>
      <c r="G194">
        <v>5</v>
      </c>
      <c r="H194" s="10">
        <v>0.27450165108737828</v>
      </c>
      <c r="I194" s="10">
        <v>0.24730443099842031</v>
      </c>
      <c r="J194" s="10">
        <v>0.31053853504761031</v>
      </c>
      <c r="K194" s="10">
        <v>1.456970301925316</v>
      </c>
      <c r="L194" s="10">
        <v>1.3126158260685381</v>
      </c>
      <c r="M194" s="10">
        <v>1.64824299371424</v>
      </c>
      <c r="N194" s="10">
        <v>0.6622252747252747</v>
      </c>
      <c r="O194" s="10">
        <v>0.63066620879120872</v>
      </c>
      <c r="P194" s="10">
        <v>0.69883241758241765</v>
      </c>
      <c r="Q194" s="10">
        <v>0.16160501228209251</v>
      </c>
      <c r="R194" s="10">
        <v>5.8848569160035002E-2</v>
      </c>
      <c r="S194" s="10">
        <v>0.28459762469453231</v>
      </c>
      <c r="T194" s="10">
        <v>0.50837366827299713</v>
      </c>
      <c r="U194" s="10">
        <v>0.43706189410887392</v>
      </c>
      <c r="V194" s="10">
        <v>0.56600561600561594</v>
      </c>
      <c r="W194" s="10">
        <v>0.25797018690517137</v>
      </c>
      <c r="X194" s="10">
        <v>0.19311145510835909</v>
      </c>
      <c r="Y194" s="10">
        <v>0.3348888888888889</v>
      </c>
      <c r="Z194" s="10">
        <v>0.7153846153846154</v>
      </c>
      <c r="AA194" s="10">
        <v>0.5115384615384615</v>
      </c>
      <c r="AB194" s="10">
        <v>0.98076923076923084</v>
      </c>
      <c r="AC194" s="10">
        <v>0.41571122191502158</v>
      </c>
      <c r="AD194">
        <v>0.16337252755056461</v>
      </c>
      <c r="AE194">
        <v>0.5073004112119841</v>
      </c>
    </row>
    <row r="195" spans="1:31" hidden="1">
      <c r="A195" t="s">
        <v>86</v>
      </c>
      <c r="B195" t="s">
        <v>65</v>
      </c>
      <c r="C195" t="s">
        <v>82</v>
      </c>
      <c r="D195" t="s">
        <v>70</v>
      </c>
      <c r="E195">
        <v>7</v>
      </c>
      <c r="F195">
        <v>5.0724637681159403E-2</v>
      </c>
      <c r="G195">
        <v>5</v>
      </c>
      <c r="H195" s="10">
        <v>5.2763924017356599E-2</v>
      </c>
      <c r="I195" s="10">
        <v>3.8390068632128301E-2</v>
      </c>
      <c r="J195" s="10">
        <v>7.3592709234840098E-2</v>
      </c>
      <c r="K195" s="10">
        <v>1.040203073485032</v>
      </c>
      <c r="L195" s="10">
        <v>0.75683278160481626</v>
      </c>
      <c r="M195" s="10">
        <v>1.4508276963439919</v>
      </c>
      <c r="N195" s="10">
        <v>0.35921483097055618</v>
      </c>
      <c r="O195" s="10">
        <v>0.27840785169029442</v>
      </c>
      <c r="P195" s="10">
        <v>0.49378407851690292</v>
      </c>
      <c r="Q195" s="10">
        <v>-6.2498591195558797E-2</v>
      </c>
      <c r="R195" s="10">
        <v>-8.3373295652275595E-2</v>
      </c>
      <c r="S195" s="10">
        <v>-3.8128673284532802E-2</v>
      </c>
      <c r="T195" s="10">
        <v>0.15036078805623479</v>
      </c>
      <c r="U195" s="10">
        <v>7.9503105590062101E-2</v>
      </c>
      <c r="V195" s="10">
        <v>0.19318089015924861</v>
      </c>
      <c r="W195" s="10">
        <v>3.9921273272531102E-2</v>
      </c>
      <c r="X195" s="10">
        <v>2.5847323408299001E-2</v>
      </c>
      <c r="Y195" s="10">
        <v>4.7135069654754697E-2</v>
      </c>
      <c r="Z195" s="10">
        <v>0.54285714285714282</v>
      </c>
      <c r="AA195" s="10">
        <v>0.1714285714285714</v>
      </c>
      <c r="AB195" s="10">
        <v>0.8571428571428571</v>
      </c>
      <c r="AC195" s="10">
        <v>0.36668592208397999</v>
      </c>
      <c r="AD195">
        <v>8.6078705288655605E-2</v>
      </c>
      <c r="AE195">
        <v>0.53660241031298506</v>
      </c>
    </row>
    <row r="196" spans="1:31" hidden="1">
      <c r="A196" t="s">
        <v>86</v>
      </c>
      <c r="B196" t="s">
        <v>65</v>
      </c>
      <c r="C196" t="s">
        <v>82</v>
      </c>
      <c r="D196" t="s">
        <v>71</v>
      </c>
      <c r="E196">
        <v>9</v>
      </c>
      <c r="F196">
        <v>6.5217391304347797E-2</v>
      </c>
      <c r="G196">
        <v>5</v>
      </c>
      <c r="H196" s="10">
        <v>7.61937414954518E-2</v>
      </c>
      <c r="I196" s="10">
        <v>5.4727292445515503E-2</v>
      </c>
      <c r="J196" s="10">
        <v>9.4079282541170997E-2</v>
      </c>
      <c r="K196" s="10">
        <v>1.1683040362635939</v>
      </c>
      <c r="L196" s="10">
        <v>0.83915181749790557</v>
      </c>
      <c r="M196" s="10">
        <v>1.4425489989646221</v>
      </c>
      <c r="N196" s="10">
        <v>0.48871662360034451</v>
      </c>
      <c r="O196" s="10">
        <v>0.36020671834625317</v>
      </c>
      <c r="P196" s="10">
        <v>0.57493540051679581</v>
      </c>
      <c r="Q196" s="10">
        <v>4.1511953658977203E-2</v>
      </c>
      <c r="R196" s="10">
        <v>-9.9061632482447107E-2</v>
      </c>
      <c r="S196" s="10">
        <v>0.10939922240491839</v>
      </c>
      <c r="T196" s="10">
        <v>0.26851765213178352</v>
      </c>
      <c r="U196" s="10">
        <v>0.2222793928479547</v>
      </c>
      <c r="V196" s="10">
        <v>0.3012082853855006</v>
      </c>
      <c r="W196" s="10">
        <v>7.0000753459942403E-2</v>
      </c>
      <c r="X196" s="10">
        <v>5.7166917293232998E-2</v>
      </c>
      <c r="Y196" s="10">
        <v>8.2377049180327802E-2</v>
      </c>
      <c r="Z196" s="10">
        <v>0.93333333333333324</v>
      </c>
      <c r="AA196" s="10">
        <v>0.78888888888888886</v>
      </c>
      <c r="AB196" s="10">
        <v>1</v>
      </c>
      <c r="AC196" s="10">
        <v>0.19698978110428081</v>
      </c>
      <c r="AD196">
        <v>0.14925503102973531</v>
      </c>
      <c r="AE196">
        <v>0.3226799527281356</v>
      </c>
    </row>
    <row r="197" spans="1:31" hidden="1">
      <c r="A197" t="s">
        <v>86</v>
      </c>
      <c r="B197" t="s">
        <v>65</v>
      </c>
      <c r="C197" t="s">
        <v>76</v>
      </c>
      <c r="D197" t="s">
        <v>67</v>
      </c>
      <c r="E197">
        <v>4</v>
      </c>
      <c r="F197">
        <v>2.8985507246376802E-2</v>
      </c>
      <c r="G197">
        <v>5</v>
      </c>
      <c r="H197" s="10">
        <v>3.9666488601921103E-2</v>
      </c>
      <c r="I197" s="10">
        <v>3.3030593844742502E-2</v>
      </c>
      <c r="J197" s="10">
        <v>4.7043451890980303E-2</v>
      </c>
      <c r="K197" s="10">
        <v>1.368493856766279</v>
      </c>
      <c r="L197" s="10">
        <v>1.139555487643618</v>
      </c>
      <c r="M197" s="10">
        <v>1.6229990902388209</v>
      </c>
      <c r="N197" s="10">
        <v>0.54925373134328359</v>
      </c>
      <c r="O197" s="10">
        <v>0.4701492537313432</v>
      </c>
      <c r="P197" s="10">
        <v>0.6397388059701492</v>
      </c>
      <c r="Q197" s="10">
        <v>8.8389388492140702E-2</v>
      </c>
      <c r="R197" s="10">
        <v>4.0230572990730497E-2</v>
      </c>
      <c r="S197" s="10">
        <v>0.16880190020661129</v>
      </c>
      <c r="T197" s="10">
        <v>0.17395362930045641</v>
      </c>
      <c r="U197" s="10">
        <v>0.136147609728823</v>
      </c>
      <c r="V197" s="10">
        <v>0.23382352941176471</v>
      </c>
      <c r="W197" s="10">
        <v>4.17425871690724E-2</v>
      </c>
      <c r="X197" s="10">
        <v>3.05578391074574E-2</v>
      </c>
      <c r="Y197" s="10">
        <v>5.7943143812709E-2</v>
      </c>
      <c r="Z197" s="10">
        <v>0.95</v>
      </c>
      <c r="AA197" s="10">
        <v>0.77500000000000002</v>
      </c>
      <c r="AB197" s="10">
        <v>1</v>
      </c>
      <c r="AC197" s="10">
        <v>1.9093371722239998E-2</v>
      </c>
      <c r="AD197">
        <v>6.5162106398060002E-4</v>
      </c>
      <c r="AE197">
        <v>4.7654419973742097E-2</v>
      </c>
    </row>
    <row r="198" spans="1:31" hidden="1">
      <c r="A198" t="s">
        <v>86</v>
      </c>
      <c r="B198" t="s">
        <v>65</v>
      </c>
      <c r="C198" t="s">
        <v>76</v>
      </c>
      <c r="D198" t="s">
        <v>68</v>
      </c>
      <c r="E198">
        <v>20</v>
      </c>
      <c r="F198">
        <v>0.14492753623188401</v>
      </c>
      <c r="G198">
        <v>5</v>
      </c>
      <c r="H198" s="10">
        <v>0.26031007421950908</v>
      </c>
      <c r="I198" s="10">
        <v>0.20350421142969649</v>
      </c>
      <c r="J198" s="10">
        <v>0.32031337061961979</v>
      </c>
      <c r="K198" s="10">
        <v>1.7961395121146131</v>
      </c>
      <c r="L198" s="10">
        <v>1.4041790588649059</v>
      </c>
      <c r="M198" s="10">
        <v>2.2101622572753761</v>
      </c>
      <c r="N198" s="10">
        <v>0.66067796610169494</v>
      </c>
      <c r="O198" s="10">
        <v>0.61788135593220328</v>
      </c>
      <c r="P198" s="10">
        <v>0.70449152542372884</v>
      </c>
      <c r="Q198" s="10">
        <v>0.21032260745905129</v>
      </c>
      <c r="R198" s="10">
        <v>0.14900186907138921</v>
      </c>
      <c r="S198" s="10">
        <v>0.277576948230913</v>
      </c>
      <c r="T198" s="10">
        <v>0.42355395696154291</v>
      </c>
      <c r="U198" s="10">
        <v>0.35425101214574889</v>
      </c>
      <c r="V198" s="10">
        <v>0.47658862876254182</v>
      </c>
      <c r="W198" s="10">
        <v>0.26717067564126379</v>
      </c>
      <c r="X198" s="10">
        <v>0.2357647058823529</v>
      </c>
      <c r="Y198" s="10">
        <v>0.31316017316017308</v>
      </c>
      <c r="Z198" s="10">
        <v>0.5</v>
      </c>
      <c r="AA198" s="10">
        <v>0.40500000000000003</v>
      </c>
      <c r="AB198" s="10">
        <v>0.59499999999999997</v>
      </c>
      <c r="AC198" s="10">
        <v>0.36013240139618108</v>
      </c>
      <c r="AD198">
        <v>0.296484771089085</v>
      </c>
      <c r="AE198">
        <v>0.41792969658406742</v>
      </c>
    </row>
    <row r="199" spans="1:31" hidden="1">
      <c r="A199" t="s">
        <v>86</v>
      </c>
      <c r="B199" t="s">
        <v>65</v>
      </c>
      <c r="C199" t="s">
        <v>76</v>
      </c>
      <c r="D199" t="s">
        <v>69</v>
      </c>
      <c r="E199">
        <v>26</v>
      </c>
      <c r="F199">
        <v>0.1884057971014492</v>
      </c>
      <c r="G199">
        <v>5</v>
      </c>
      <c r="H199" s="10">
        <v>0.53042150705322588</v>
      </c>
      <c r="I199" s="10">
        <v>0.47243165761611511</v>
      </c>
      <c r="J199" s="10">
        <v>0.58431586656869028</v>
      </c>
      <c r="K199" s="10">
        <v>2.8153141528209682</v>
      </c>
      <c r="L199" s="10">
        <v>2.5075218750393802</v>
      </c>
      <c r="M199" s="10">
        <v>3.1013688302492022</v>
      </c>
      <c r="N199" s="10">
        <v>0.83440934065934069</v>
      </c>
      <c r="O199" s="10">
        <v>0.81826923076923075</v>
      </c>
      <c r="P199" s="10">
        <v>0.85679945054945061</v>
      </c>
      <c r="Q199" s="10">
        <v>0.40271923531532039</v>
      </c>
      <c r="R199" s="10">
        <v>0.338503940632087</v>
      </c>
      <c r="S199" s="10">
        <v>0.49156421538663331</v>
      </c>
      <c r="T199" s="10">
        <v>0.52656880583968246</v>
      </c>
      <c r="U199" s="10">
        <v>0.32042467138523761</v>
      </c>
      <c r="V199" s="10">
        <v>0.71462639109697934</v>
      </c>
      <c r="W199" s="10">
        <v>0.50397773654916511</v>
      </c>
      <c r="X199" s="10">
        <v>0.4495361781076066</v>
      </c>
      <c r="Y199" s="10">
        <v>0.62272727272727268</v>
      </c>
      <c r="Z199" s="10">
        <v>0.56153846153846154</v>
      </c>
      <c r="AA199" s="10">
        <v>0.28846153846153838</v>
      </c>
      <c r="AB199" s="10">
        <v>0.83846153846153848</v>
      </c>
      <c r="AC199" s="10">
        <v>0.4203472104425155</v>
      </c>
      <c r="AD199">
        <v>0.30355139032899398</v>
      </c>
      <c r="AE199">
        <v>0.53312058392904571</v>
      </c>
    </row>
    <row r="200" spans="1:31" hidden="1">
      <c r="A200" t="s">
        <v>86</v>
      </c>
      <c r="B200" t="s">
        <v>65</v>
      </c>
      <c r="C200" t="s">
        <v>76</v>
      </c>
      <c r="D200" t="s">
        <v>70</v>
      </c>
      <c r="E200">
        <v>7</v>
      </c>
      <c r="F200">
        <v>5.0724637681159403E-2</v>
      </c>
      <c r="G200">
        <v>5</v>
      </c>
      <c r="H200" s="10">
        <v>4.7011087458544203E-2</v>
      </c>
      <c r="I200" s="10">
        <v>4.0613625560357199E-2</v>
      </c>
      <c r="J200" s="10">
        <v>5.4199892384825699E-2</v>
      </c>
      <c r="K200" s="10">
        <v>0.92679000989701443</v>
      </c>
      <c r="L200" s="10">
        <v>0.80066861818990043</v>
      </c>
      <c r="M200" s="10">
        <v>1.068512164157994</v>
      </c>
      <c r="N200" s="10">
        <v>0.39040348964013077</v>
      </c>
      <c r="O200" s="10">
        <v>0.3269356597600872</v>
      </c>
      <c r="P200" s="10">
        <v>0.44601962922573613</v>
      </c>
      <c r="Q200" s="10">
        <v>-1.05197345956759E-2</v>
      </c>
      <c r="R200" s="10">
        <v>-3.4459352706829899E-2</v>
      </c>
      <c r="S200" s="10">
        <v>1.8091855303984699E-2</v>
      </c>
      <c r="T200" s="10">
        <v>0.1223817262549657</v>
      </c>
      <c r="U200" s="10">
        <v>0</v>
      </c>
      <c r="V200" s="10">
        <v>0.21097417840375579</v>
      </c>
      <c r="W200" s="10">
        <v>3.0675064944307998E-2</v>
      </c>
      <c r="X200" s="10">
        <v>0</v>
      </c>
      <c r="Y200" s="10">
        <v>5.2540834845734997E-2</v>
      </c>
      <c r="Z200" s="10">
        <v>0.4857142857142856</v>
      </c>
      <c r="AA200" s="10">
        <v>0</v>
      </c>
      <c r="AB200" s="10">
        <v>0.8571428571428571</v>
      </c>
      <c r="AC200" s="10">
        <v>0.13288710761222519</v>
      </c>
      <c r="AD200">
        <v>2.76245617114666E-2</v>
      </c>
      <c r="AE200">
        <v>0.27914463653050658</v>
      </c>
    </row>
    <row r="201" spans="1:31" hidden="1">
      <c r="A201" t="s">
        <v>86</v>
      </c>
      <c r="B201" t="s">
        <v>65</v>
      </c>
      <c r="C201" t="s">
        <v>76</v>
      </c>
      <c r="D201" t="s">
        <v>71</v>
      </c>
      <c r="E201">
        <v>9</v>
      </c>
      <c r="F201">
        <v>6.5217391304347797E-2</v>
      </c>
      <c r="G201">
        <v>5</v>
      </c>
      <c r="H201" s="10">
        <v>6.6766535019033596E-2</v>
      </c>
      <c r="I201" s="10">
        <v>5.1889301219425601E-2</v>
      </c>
      <c r="J201" s="10">
        <v>8.1741574878131204E-2</v>
      </c>
      <c r="K201" s="10">
        <v>1.023753536958516</v>
      </c>
      <c r="L201" s="10">
        <v>0.79563595203119331</v>
      </c>
      <c r="M201" s="10">
        <v>1.253370814798012</v>
      </c>
      <c r="N201" s="10">
        <v>0.4227390180878553</v>
      </c>
      <c r="O201" s="10">
        <v>0.33686477174849261</v>
      </c>
      <c r="P201" s="10">
        <v>0.48466838931955208</v>
      </c>
      <c r="Q201" s="10">
        <v>3.1741014670035E-3</v>
      </c>
      <c r="R201" s="10">
        <v>-6.9950323592303298E-2</v>
      </c>
      <c r="S201" s="10">
        <v>7.7344994570948705E-2</v>
      </c>
      <c r="T201" s="10">
        <v>0.2516686435216296</v>
      </c>
      <c r="U201" s="10">
        <v>0.23104636591478689</v>
      </c>
      <c r="V201" s="10">
        <v>0.27590528205895559</v>
      </c>
      <c r="W201" s="10">
        <v>6.5131046934325906E-2</v>
      </c>
      <c r="X201" s="10">
        <v>6.0417215056593802E-2</v>
      </c>
      <c r="Y201" s="10">
        <v>7.0810777559055099E-2</v>
      </c>
      <c r="Z201" s="10">
        <v>0.88888888888888895</v>
      </c>
      <c r="AA201" s="10">
        <v>0.77777777777777779</v>
      </c>
      <c r="AB201" s="10">
        <v>1</v>
      </c>
      <c r="AC201" s="10">
        <v>4.5775042539532997E-2</v>
      </c>
      <c r="AD201">
        <v>2.7768730518039401E-2</v>
      </c>
      <c r="AE201">
        <v>6.7650689635269406E-2</v>
      </c>
    </row>
    <row r="202" spans="1:31" hidden="1">
      <c r="A202" t="s">
        <v>86</v>
      </c>
      <c r="B202" t="s">
        <v>65</v>
      </c>
      <c r="C202" t="s">
        <v>83</v>
      </c>
      <c r="D202" t="s">
        <v>67</v>
      </c>
      <c r="E202">
        <v>4</v>
      </c>
      <c r="F202">
        <v>2.8985507246376802E-2</v>
      </c>
      <c r="G202">
        <v>5</v>
      </c>
      <c r="H202" s="10">
        <v>7.8905245403098595E-2</v>
      </c>
      <c r="I202" s="10">
        <v>3.5904885851548697E-2</v>
      </c>
      <c r="J202" s="10">
        <v>0.15344001236858379</v>
      </c>
      <c r="K202" s="10">
        <v>2.7222309664069022</v>
      </c>
      <c r="L202" s="10">
        <v>1.2387185618784331</v>
      </c>
      <c r="M202" s="10">
        <v>5.2936804267161417</v>
      </c>
      <c r="N202" s="10">
        <v>0.56940298507462683</v>
      </c>
      <c r="O202" s="10">
        <v>0.43544776119402978</v>
      </c>
      <c r="P202" s="10">
        <v>0.78488805970149245</v>
      </c>
      <c r="Q202" s="10">
        <v>4.6542580691787398E-2</v>
      </c>
      <c r="R202" s="10">
        <v>-7.0510766670978497E-2</v>
      </c>
      <c r="S202" s="10">
        <v>0.13816794583280809</v>
      </c>
      <c r="T202" s="10">
        <v>0.14452675356925559</v>
      </c>
      <c r="U202" s="10">
        <v>9.2053973013493204E-2</v>
      </c>
      <c r="V202" s="10">
        <v>0.20083418588179741</v>
      </c>
      <c r="W202" s="10">
        <v>3.3325019377007901E-2</v>
      </c>
      <c r="X202" s="10">
        <v>2.1282593375616599E-2</v>
      </c>
      <c r="Y202" s="10">
        <v>4.7922705314009599E-2</v>
      </c>
      <c r="Z202" s="10">
        <v>0.9</v>
      </c>
      <c r="AA202" s="10">
        <v>0.55000000000000004</v>
      </c>
      <c r="AB202" s="10">
        <v>1</v>
      </c>
      <c r="AC202" s="10">
        <v>1.29945036155074E-2</v>
      </c>
      <c r="AD202">
        <v>3.8690049593088E-3</v>
      </c>
      <c r="AE202">
        <v>2.55264844189864E-2</v>
      </c>
    </row>
    <row r="203" spans="1:31" hidden="1">
      <c r="A203" t="s">
        <v>86</v>
      </c>
      <c r="B203" t="s">
        <v>65</v>
      </c>
      <c r="C203" t="s">
        <v>83</v>
      </c>
      <c r="D203" t="s">
        <v>68</v>
      </c>
      <c r="E203">
        <v>20</v>
      </c>
      <c r="F203">
        <v>0.14492753623188401</v>
      </c>
      <c r="G203">
        <v>5</v>
      </c>
      <c r="H203" s="10">
        <v>0.2277972694759853</v>
      </c>
      <c r="I203" s="10">
        <v>0.1608225928317932</v>
      </c>
      <c r="J203" s="10">
        <v>0.32304005177652401</v>
      </c>
      <c r="K203" s="10">
        <v>1.5718011593842991</v>
      </c>
      <c r="L203" s="10">
        <v>1.109675890539374</v>
      </c>
      <c r="M203" s="10">
        <v>2.228976357258015</v>
      </c>
      <c r="N203" s="10">
        <v>0.58949152542372885</v>
      </c>
      <c r="O203" s="10">
        <v>0.42580508474576267</v>
      </c>
      <c r="P203" s="10">
        <v>0.68156779661016942</v>
      </c>
      <c r="Q203" s="10">
        <v>0.1353869147486968</v>
      </c>
      <c r="R203" s="10">
        <v>-7.0966885101763997E-3</v>
      </c>
      <c r="S203" s="10">
        <v>0.2685543694685294</v>
      </c>
      <c r="T203" s="10">
        <v>0.34392946174238398</v>
      </c>
      <c r="U203" s="10">
        <v>0.1174641148325358</v>
      </c>
      <c r="V203" s="10">
        <v>0.51008724100327163</v>
      </c>
      <c r="W203" s="10">
        <v>0.2123610504647245</v>
      </c>
      <c r="X203" s="10">
        <v>0.1366666666666666</v>
      </c>
      <c r="Y203" s="10">
        <v>0.27873806998939549</v>
      </c>
      <c r="Z203" s="10">
        <v>0.42</v>
      </c>
      <c r="AA203" s="10">
        <v>0.115</v>
      </c>
      <c r="AB203" s="10">
        <v>0.64500000000000002</v>
      </c>
      <c r="AC203" s="10">
        <v>0.17509671514205111</v>
      </c>
      <c r="AD203">
        <v>0.132934298917773</v>
      </c>
      <c r="AE203">
        <v>0.26576433401212091</v>
      </c>
    </row>
    <row r="204" spans="1:31" hidden="1">
      <c r="A204" t="s">
        <v>86</v>
      </c>
      <c r="B204" t="s">
        <v>65</v>
      </c>
      <c r="C204" t="s">
        <v>83</v>
      </c>
      <c r="D204" t="s">
        <v>69</v>
      </c>
      <c r="E204">
        <v>26</v>
      </c>
      <c r="F204">
        <v>0.1884057971014492</v>
      </c>
      <c r="G204">
        <v>5</v>
      </c>
      <c r="H204" s="10">
        <v>0.48180714369218142</v>
      </c>
      <c r="I204" s="10">
        <v>0.4205872663786685</v>
      </c>
      <c r="J204" s="10">
        <v>0.55372962149500182</v>
      </c>
      <c r="K204" s="10">
        <v>2.5572840703661939</v>
      </c>
      <c r="L204" s="10">
        <v>2.2323477984713942</v>
      </c>
      <c r="M204" s="10">
        <v>2.9390264525503942</v>
      </c>
      <c r="N204" s="10">
        <v>0.79629120879120874</v>
      </c>
      <c r="O204" s="10">
        <v>0.78094093406593412</v>
      </c>
      <c r="P204" s="10">
        <v>0.8073145604395604</v>
      </c>
      <c r="Q204" s="10">
        <v>0.47368653850350462</v>
      </c>
      <c r="R204" s="10">
        <v>0.35200531780827182</v>
      </c>
      <c r="S204" s="10">
        <v>0.52646036434116894</v>
      </c>
      <c r="T204" s="10">
        <v>0.63644181862964955</v>
      </c>
      <c r="U204" s="10">
        <v>0.4822860238353196</v>
      </c>
      <c r="V204" s="10">
        <v>0.69334532374100721</v>
      </c>
      <c r="W204" s="10">
        <v>0.50358182358182357</v>
      </c>
      <c r="X204" s="10">
        <v>0.4653846153846154</v>
      </c>
      <c r="Y204" s="10">
        <v>0.53992277992277993</v>
      </c>
      <c r="Z204" s="10">
        <v>0.68461538461538463</v>
      </c>
      <c r="AA204" s="10">
        <v>0.4884615384615385</v>
      </c>
      <c r="AB204" s="10">
        <v>0.76538461538461544</v>
      </c>
      <c r="AC204" s="10">
        <v>0.29517721162461741</v>
      </c>
      <c r="AD204">
        <v>0.2359950890486992</v>
      </c>
      <c r="AE204">
        <v>0.33579050181417658</v>
      </c>
    </row>
    <row r="205" spans="1:31" hidden="1">
      <c r="A205" t="s">
        <v>86</v>
      </c>
      <c r="B205" t="s">
        <v>65</v>
      </c>
      <c r="C205" t="s">
        <v>83</v>
      </c>
      <c r="D205" t="s">
        <v>70</v>
      </c>
      <c r="E205">
        <v>7</v>
      </c>
      <c r="F205">
        <v>5.0724637681159403E-2</v>
      </c>
      <c r="G205">
        <v>5</v>
      </c>
      <c r="H205" s="10">
        <v>4.5873230998549397E-2</v>
      </c>
      <c r="I205" s="10">
        <v>3.98440378344634E-2</v>
      </c>
      <c r="J205" s="10">
        <v>5.4988331255199398E-2</v>
      </c>
      <c r="K205" s="10">
        <v>0.90435798254283239</v>
      </c>
      <c r="L205" s="10">
        <v>0.78549674587942264</v>
      </c>
      <c r="M205" s="10">
        <v>1.084055673316789</v>
      </c>
      <c r="N205" s="10">
        <v>0.39738276990185389</v>
      </c>
      <c r="O205" s="10">
        <v>0.31624863685932381</v>
      </c>
      <c r="P205" s="10">
        <v>0.50207197382769908</v>
      </c>
      <c r="Q205" s="10">
        <v>6.2574437392760003E-3</v>
      </c>
      <c r="R205" s="10">
        <v>-0.13192686532281789</v>
      </c>
      <c r="S205" s="10">
        <v>8.0106928836597702E-2</v>
      </c>
      <c r="T205" s="10">
        <v>0.1850234184183587</v>
      </c>
      <c r="U205" s="10">
        <v>6.8830394411789703E-2</v>
      </c>
      <c r="V205" s="10">
        <v>0.23148508851664279</v>
      </c>
      <c r="W205" s="10">
        <v>4.6468517905562098E-2</v>
      </c>
      <c r="X205" s="10">
        <v>1.92362093352192E-2</v>
      </c>
      <c r="Y205" s="10">
        <v>5.68195121951219E-2</v>
      </c>
      <c r="Z205" s="10">
        <v>0.74285714285714288</v>
      </c>
      <c r="AA205" s="10">
        <v>0.1999999999999999</v>
      </c>
      <c r="AB205" s="10">
        <v>1</v>
      </c>
      <c r="AC205" s="10">
        <v>3.5441858679922902E-2</v>
      </c>
      <c r="AD205">
        <v>2.5875624342218701E-2</v>
      </c>
      <c r="AE205">
        <v>5.8243842099668201E-2</v>
      </c>
    </row>
    <row r="206" spans="1:31" hidden="1">
      <c r="A206" t="s">
        <v>86</v>
      </c>
      <c r="B206" t="s">
        <v>65</v>
      </c>
      <c r="C206" t="s">
        <v>83</v>
      </c>
      <c r="D206" t="s">
        <v>71</v>
      </c>
      <c r="E206">
        <v>9</v>
      </c>
      <c r="F206">
        <v>6.5217391304347797E-2</v>
      </c>
      <c r="G206">
        <v>5</v>
      </c>
      <c r="H206" s="10">
        <v>0.1024699614711452</v>
      </c>
      <c r="I206" s="10">
        <v>6.7950620879589793E-2</v>
      </c>
      <c r="J206" s="10">
        <v>0.1620772390571773</v>
      </c>
      <c r="K206" s="10">
        <v>1.5712060758908939</v>
      </c>
      <c r="L206" s="10">
        <v>1.0419095201537101</v>
      </c>
      <c r="M206" s="10">
        <v>2.4851843322100531</v>
      </c>
      <c r="N206" s="10">
        <v>0.50267011197243749</v>
      </c>
      <c r="O206" s="10">
        <v>0.4130921619293712</v>
      </c>
      <c r="P206" s="10">
        <v>0.59095607235142111</v>
      </c>
      <c r="Q206" s="10">
        <v>2.6196690086656002E-3</v>
      </c>
      <c r="R206" s="10">
        <v>-8.4452843118788395E-2</v>
      </c>
      <c r="S206" s="10">
        <v>4.5635624294951799E-2</v>
      </c>
      <c r="T206" s="10">
        <v>0.21375789765882641</v>
      </c>
      <c r="U206" s="10">
        <v>0.12027027027027019</v>
      </c>
      <c r="V206" s="10">
        <v>0.26470588235294118</v>
      </c>
      <c r="W206" s="10">
        <v>6.2433686754027502E-2</v>
      </c>
      <c r="X206" s="10">
        <v>3.9518900343642603E-2</v>
      </c>
      <c r="Y206" s="10">
        <v>7.7769049489395101E-2</v>
      </c>
      <c r="Z206" s="10">
        <v>0.64444444444444449</v>
      </c>
      <c r="AA206" s="10">
        <v>0.23333333333333331</v>
      </c>
      <c r="AB206" s="10">
        <v>1</v>
      </c>
      <c r="AC206" s="10">
        <v>4.2347254112792297E-2</v>
      </c>
      <c r="AD206">
        <v>1.84306978789083E-2</v>
      </c>
      <c r="AE206">
        <v>7.0724746025502397E-2</v>
      </c>
    </row>
    <row r="207" spans="1:31" hidden="1">
      <c r="A207" t="s">
        <v>86</v>
      </c>
      <c r="B207" t="s">
        <v>65</v>
      </c>
      <c r="C207" t="s">
        <v>84</v>
      </c>
      <c r="D207" t="s">
        <v>67</v>
      </c>
      <c r="E207">
        <v>4</v>
      </c>
      <c r="F207">
        <v>2.8985507246376802E-2</v>
      </c>
      <c r="G207">
        <v>5</v>
      </c>
      <c r="H207" s="10">
        <v>3.3856556545974803E-2</v>
      </c>
      <c r="I207" s="10">
        <v>2.9150429501552801E-2</v>
      </c>
      <c r="J207" s="10">
        <v>4.0503426331551302E-2</v>
      </c>
      <c r="K207" s="10">
        <v>1.1680512008361319</v>
      </c>
      <c r="L207" s="10">
        <v>1.0056898178035729</v>
      </c>
      <c r="M207" s="10">
        <v>1.3973682084385211</v>
      </c>
      <c r="N207" s="10">
        <v>0.44813432835820899</v>
      </c>
      <c r="O207" s="10">
        <v>0.37966417910447758</v>
      </c>
      <c r="P207" s="10">
        <v>0.52472014925373134</v>
      </c>
      <c r="Q207" s="10">
        <v>1.8531783332697699E-2</v>
      </c>
      <c r="R207" s="10">
        <v>-0.1092144956002616</v>
      </c>
      <c r="S207" s="10">
        <v>0.10089972315664621</v>
      </c>
      <c r="T207" s="10">
        <v>0.1180864987717636</v>
      </c>
      <c r="U207" s="10">
        <v>1.21951219512195E-2</v>
      </c>
      <c r="V207" s="10">
        <v>0.16829040437741891</v>
      </c>
      <c r="W207" s="10">
        <v>2.73244877642898E-2</v>
      </c>
      <c r="X207" s="10">
        <v>2.803738317757E-3</v>
      </c>
      <c r="Y207" s="10">
        <v>3.8897721250662397E-2</v>
      </c>
      <c r="Z207" s="10">
        <v>0.7</v>
      </c>
      <c r="AA207" s="10">
        <v>7.4999999999999997E-2</v>
      </c>
      <c r="AB207" s="10">
        <v>1</v>
      </c>
      <c r="AC207" s="10">
        <v>6.5356771076452999E-3</v>
      </c>
      <c r="AD207">
        <v>2.3601306120609E-3</v>
      </c>
      <c r="AE207">
        <v>1.8202809974859999E-2</v>
      </c>
    </row>
    <row r="208" spans="1:31" hidden="1">
      <c r="A208" t="s">
        <v>86</v>
      </c>
      <c r="B208" t="s">
        <v>65</v>
      </c>
      <c r="C208" t="s">
        <v>84</v>
      </c>
      <c r="D208" t="s">
        <v>68</v>
      </c>
      <c r="E208">
        <v>20</v>
      </c>
      <c r="F208">
        <v>0.14492753623188401</v>
      </c>
      <c r="G208">
        <v>5</v>
      </c>
      <c r="H208" s="10">
        <v>0.2975106946930835</v>
      </c>
      <c r="I208" s="10">
        <v>0.25949658211982102</v>
      </c>
      <c r="J208" s="10">
        <v>0.34623336871838167</v>
      </c>
      <c r="K208" s="10">
        <v>2.0528237933822759</v>
      </c>
      <c r="L208" s="10">
        <v>1.7905264166267649</v>
      </c>
      <c r="M208" s="10">
        <v>2.3890102441568342</v>
      </c>
      <c r="N208" s="10">
        <v>0.68991525423728817</v>
      </c>
      <c r="O208" s="10">
        <v>0.66466101694915247</v>
      </c>
      <c r="P208" s="10">
        <v>0.72961864406779653</v>
      </c>
      <c r="Q208" s="10">
        <v>0.15984085468610229</v>
      </c>
      <c r="R208" s="10">
        <v>8.2929865415800205E-2</v>
      </c>
      <c r="S208" s="10">
        <v>0.26956279016014989</v>
      </c>
      <c r="T208" s="10">
        <v>0.291958547343527</v>
      </c>
      <c r="U208" s="10">
        <v>7.7205373217005893E-2</v>
      </c>
      <c r="V208" s="10">
        <v>0.40702039794769118</v>
      </c>
      <c r="W208" s="10">
        <v>0.31394096099978452</v>
      </c>
      <c r="X208" s="10">
        <v>0.19954751131221721</v>
      </c>
      <c r="Y208" s="10">
        <v>0.54761904761904756</v>
      </c>
      <c r="Z208" s="10">
        <v>0.33999999999999991</v>
      </c>
      <c r="AA208" s="10">
        <v>6.5000000000000002E-2</v>
      </c>
      <c r="AB208" s="10">
        <v>0.5</v>
      </c>
      <c r="AC208" s="10">
        <v>0.37262716952340691</v>
      </c>
      <c r="AD208">
        <v>0.1021427357256712</v>
      </c>
      <c r="AE208">
        <v>0.78585759164430402</v>
      </c>
    </row>
    <row r="209" spans="1:31" hidden="1">
      <c r="A209" t="s">
        <v>86</v>
      </c>
      <c r="B209" t="s">
        <v>65</v>
      </c>
      <c r="C209" t="s">
        <v>84</v>
      </c>
      <c r="D209" t="s">
        <v>69</v>
      </c>
      <c r="E209">
        <v>26</v>
      </c>
      <c r="F209">
        <v>0.1884057971014492</v>
      </c>
      <c r="G209">
        <v>5</v>
      </c>
      <c r="H209" s="10">
        <v>0.56936985241935323</v>
      </c>
      <c r="I209" s="10">
        <v>0.54192121621932876</v>
      </c>
      <c r="J209" s="10">
        <v>0.65279854682936711</v>
      </c>
      <c r="K209" s="10">
        <v>3.0220399859181062</v>
      </c>
      <c r="L209" s="10">
        <v>2.876351070702591</v>
      </c>
      <c r="M209" s="10">
        <v>3.464853825478948</v>
      </c>
      <c r="N209" s="10">
        <v>0.83440934065934069</v>
      </c>
      <c r="O209" s="10">
        <v>0.82317994505494507</v>
      </c>
      <c r="P209" s="10">
        <v>0.85024038461538454</v>
      </c>
      <c r="Q209" s="10">
        <v>0.46218151498355031</v>
      </c>
      <c r="R209" s="10">
        <v>0.40520424935132221</v>
      </c>
      <c r="S209" s="10">
        <v>0.51240841678787341</v>
      </c>
      <c r="T209" s="10">
        <v>0.63249038594815266</v>
      </c>
      <c r="U209" s="10">
        <v>0.57813598745064099</v>
      </c>
      <c r="V209" s="10">
        <v>0.70792563600782776</v>
      </c>
      <c r="W209" s="10">
        <v>0.49295431112592297</v>
      </c>
      <c r="X209" s="10">
        <v>0.45285714285714279</v>
      </c>
      <c r="Y209" s="10">
        <v>0.54806687565308254</v>
      </c>
      <c r="Z209" s="10">
        <v>0.68461538461538463</v>
      </c>
      <c r="AA209" s="10">
        <v>0.61538461538461542</v>
      </c>
      <c r="AB209" s="10">
        <v>0.8</v>
      </c>
      <c r="AC209" s="10">
        <v>0.27557030631279827</v>
      </c>
      <c r="AD209">
        <v>0.166925524397112</v>
      </c>
      <c r="AE209">
        <v>0.53589896717562746</v>
      </c>
    </row>
    <row r="210" spans="1:31" hidden="1">
      <c r="A210" t="s">
        <v>86</v>
      </c>
      <c r="B210" t="s">
        <v>65</v>
      </c>
      <c r="C210" t="s">
        <v>84</v>
      </c>
      <c r="D210" t="s">
        <v>70</v>
      </c>
      <c r="E210">
        <v>7</v>
      </c>
      <c r="F210">
        <v>5.0724637681159403E-2</v>
      </c>
      <c r="G210">
        <v>5</v>
      </c>
      <c r="H210" s="10">
        <v>5.0353837524076801E-2</v>
      </c>
      <c r="I210" s="10">
        <v>4.1380683520880798E-2</v>
      </c>
      <c r="J210" s="10">
        <v>5.9542293816967198E-2</v>
      </c>
      <c r="K210" s="10">
        <v>0.99268993976037279</v>
      </c>
      <c r="L210" s="10">
        <v>0.81579061798307928</v>
      </c>
      <c r="M210" s="10">
        <v>1.1738337923916411</v>
      </c>
      <c r="N210" s="10">
        <v>0.4</v>
      </c>
      <c r="O210" s="10">
        <v>0.31439476553980372</v>
      </c>
      <c r="P210" s="10">
        <v>0.45779716466739367</v>
      </c>
      <c r="Q210" s="10">
        <v>-3.5367223189489198E-2</v>
      </c>
      <c r="R210" s="10">
        <v>-0.10690825555716101</v>
      </c>
      <c r="S210" s="10">
        <v>3.1013417436146901E-2</v>
      </c>
      <c r="T210" s="10">
        <v>0.18967535158712009</v>
      </c>
      <c r="U210" s="10">
        <v>0.1513189448441247</v>
      </c>
      <c r="V210" s="10">
        <v>0.2143358710917288</v>
      </c>
      <c r="W210" s="10">
        <v>4.65247519534394E-2</v>
      </c>
      <c r="X210" s="10">
        <v>3.8149364317588599E-2</v>
      </c>
      <c r="Y210" s="10">
        <v>5.17391304347826E-2</v>
      </c>
      <c r="Z210" s="10">
        <v>0.82857142857142851</v>
      </c>
      <c r="AA210" s="10">
        <v>0.58571428571428563</v>
      </c>
      <c r="AB210" s="10">
        <v>1</v>
      </c>
      <c r="AC210" s="10">
        <v>2.3463787228341E-3</v>
      </c>
      <c r="AD210">
        <v>9.5949999858670003E-4</v>
      </c>
      <c r="AE210">
        <v>4.0591818700080997E-3</v>
      </c>
    </row>
    <row r="211" spans="1:31" hidden="1">
      <c r="A211" t="s">
        <v>86</v>
      </c>
      <c r="B211" t="s">
        <v>65</v>
      </c>
      <c r="C211" t="s">
        <v>84</v>
      </c>
      <c r="D211" t="s">
        <v>71</v>
      </c>
      <c r="E211">
        <v>9</v>
      </c>
      <c r="F211">
        <v>6.5217391304347797E-2</v>
      </c>
      <c r="G211">
        <v>5</v>
      </c>
      <c r="H211" s="10">
        <v>7.0087324978282003E-2</v>
      </c>
      <c r="I211" s="10">
        <v>5.4329550293830797E-2</v>
      </c>
      <c r="J211" s="10">
        <v>8.0233501051551206E-2</v>
      </c>
      <c r="K211" s="10">
        <v>1.074672316333658</v>
      </c>
      <c r="L211" s="10">
        <v>0.83305310450540682</v>
      </c>
      <c r="M211" s="10">
        <v>1.2302470161237851</v>
      </c>
      <c r="N211" s="10">
        <v>0.43634797588285951</v>
      </c>
      <c r="O211" s="10">
        <v>0.33406546080964677</v>
      </c>
      <c r="P211" s="10">
        <v>0.50900086132644273</v>
      </c>
      <c r="Q211" s="10">
        <v>-8.2215456386365501E-2</v>
      </c>
      <c r="R211" s="10">
        <v>-0.30799825891374311</v>
      </c>
      <c r="S211" s="10">
        <v>0.1026587033777365</v>
      </c>
      <c r="T211" s="10">
        <v>0.2180740536907467</v>
      </c>
      <c r="U211" s="10">
        <v>0.17251737116386789</v>
      </c>
      <c r="V211" s="10">
        <v>0.29097853014037978</v>
      </c>
      <c r="W211" s="10">
        <v>6.6467982360483999E-2</v>
      </c>
      <c r="X211" s="10">
        <v>5.0397329942784397E-2</v>
      </c>
      <c r="Y211" s="10">
        <v>0.1</v>
      </c>
      <c r="Z211" s="10">
        <v>0.57777777777777772</v>
      </c>
      <c r="AA211" s="10">
        <v>0.34444444444444439</v>
      </c>
      <c r="AB211" s="10">
        <v>0.86666666666666659</v>
      </c>
      <c r="AC211" s="10">
        <v>1.30727102863485E-2</v>
      </c>
      <c r="AD211">
        <v>9.4140710864189995E-4</v>
      </c>
      <c r="AE211">
        <v>2.56342793247901E-2</v>
      </c>
    </row>
    <row r="212" spans="1:31">
      <c r="A212" t="s">
        <v>86</v>
      </c>
      <c r="B212" t="s">
        <v>77</v>
      </c>
      <c r="C212" t="s">
        <v>80</v>
      </c>
      <c r="D212" t="s">
        <v>67</v>
      </c>
      <c r="E212">
        <v>4</v>
      </c>
      <c r="F212">
        <v>2.8571428571428501E-2</v>
      </c>
      <c r="G212">
        <v>5</v>
      </c>
      <c r="H212" s="10">
        <v>0.37552566997735398</v>
      </c>
      <c r="I212" s="10">
        <v>0.16190970667263771</v>
      </c>
      <c r="J212" s="10">
        <v>0.73123015873015862</v>
      </c>
      <c r="K212" s="10">
        <v>13.143398449207391</v>
      </c>
      <c r="L212" s="10">
        <v>5.6668397335423197</v>
      </c>
      <c r="M212" s="10">
        <v>25.593055555555559</v>
      </c>
      <c r="N212" s="10">
        <v>0.90183823529411755</v>
      </c>
      <c r="O212" s="10">
        <v>0.76470588235294112</v>
      </c>
      <c r="P212" s="10">
        <v>0.98750000000000004</v>
      </c>
      <c r="Q212" s="10">
        <v>0.41889538448815211</v>
      </c>
      <c r="R212" s="10">
        <v>0.23316378306796129</v>
      </c>
      <c r="S212" s="10">
        <v>0.56677989085974345</v>
      </c>
      <c r="T212" s="10">
        <v>0.4463629429304487</v>
      </c>
      <c r="U212" s="10">
        <v>0.30434782608695649</v>
      </c>
      <c r="V212" s="10">
        <v>0.52631578947368418</v>
      </c>
      <c r="W212" s="10">
        <v>0.40557053009883193</v>
      </c>
      <c r="X212" s="10">
        <v>9.6495956873315303E-2</v>
      </c>
      <c r="Y212" s="10">
        <v>0.66666666666666663</v>
      </c>
      <c r="Z212" s="10">
        <v>0.6</v>
      </c>
      <c r="AA212" s="10">
        <v>0.5</v>
      </c>
      <c r="AB212" s="10">
        <v>0.95</v>
      </c>
      <c r="AC212" s="10">
        <v>0.27429491609596879</v>
      </c>
      <c r="AD212">
        <v>1.5007296402760901E-2</v>
      </c>
      <c r="AE212">
        <v>0.54671256069929897</v>
      </c>
    </row>
    <row r="213" spans="1:31">
      <c r="A213" t="s">
        <v>86</v>
      </c>
      <c r="B213" t="s">
        <v>77</v>
      </c>
      <c r="C213" t="s">
        <v>80</v>
      </c>
      <c r="D213" t="s">
        <v>68</v>
      </c>
      <c r="E213">
        <v>21</v>
      </c>
      <c r="F213">
        <v>0.15</v>
      </c>
      <c r="G213">
        <v>5</v>
      </c>
      <c r="H213" s="10">
        <v>0.37704281905991949</v>
      </c>
      <c r="I213" s="10">
        <v>0.3556595857500624</v>
      </c>
      <c r="J213" s="10">
        <v>0.41016533857752763</v>
      </c>
      <c r="K213" s="10">
        <v>2.513618793732797</v>
      </c>
      <c r="L213" s="10">
        <v>2.3710639050004159</v>
      </c>
      <c r="M213" s="10">
        <v>2.7344355905168509</v>
      </c>
      <c r="N213" s="10">
        <v>0.64849939975990389</v>
      </c>
      <c r="O213" s="10">
        <v>0.59831932773109242</v>
      </c>
      <c r="P213" s="10">
        <v>0.72292917166866733</v>
      </c>
      <c r="Q213" s="10">
        <v>0.25404115510468761</v>
      </c>
      <c r="R213" s="10">
        <v>0.1763227762591536</v>
      </c>
      <c r="S213" s="10">
        <v>0.36484410129021311</v>
      </c>
      <c r="T213" s="10">
        <v>0.37377602902241991</v>
      </c>
      <c r="U213" s="10">
        <v>0.18611937128292261</v>
      </c>
      <c r="V213" s="10">
        <v>0.56216809051027472</v>
      </c>
      <c r="W213" s="10">
        <v>0.40306557247691938</v>
      </c>
      <c r="X213" s="10">
        <v>0.23215892053973011</v>
      </c>
      <c r="Y213" s="10">
        <v>0.71184210526315783</v>
      </c>
      <c r="Z213" s="10">
        <v>0.419047619047619</v>
      </c>
      <c r="AA213" s="10">
        <v>0.1619047619047618</v>
      </c>
      <c r="AB213" s="10">
        <v>0.66190476190476188</v>
      </c>
      <c r="AC213" s="10">
        <v>0.46628700402404688</v>
      </c>
      <c r="AD213">
        <v>7.2100647038828403E-2</v>
      </c>
      <c r="AE213">
        <v>0.9642076747591336</v>
      </c>
    </row>
    <row r="214" spans="1:31">
      <c r="A214" t="s">
        <v>86</v>
      </c>
      <c r="B214" t="s">
        <v>77</v>
      </c>
      <c r="C214" t="s">
        <v>80</v>
      </c>
      <c r="D214" t="s">
        <v>69</v>
      </c>
      <c r="E214">
        <v>26</v>
      </c>
      <c r="F214">
        <v>0.18571428571428569</v>
      </c>
      <c r="G214">
        <v>5</v>
      </c>
      <c r="H214" s="10">
        <v>0.50250262619013408</v>
      </c>
      <c r="I214" s="10">
        <v>0.38949793579885378</v>
      </c>
      <c r="J214" s="10">
        <v>0.63550047324566916</v>
      </c>
      <c r="K214" s="10">
        <v>2.7057833717930291</v>
      </c>
      <c r="L214" s="10">
        <v>2.0972965773784442</v>
      </c>
      <c r="M214" s="10">
        <v>3.421925625168988</v>
      </c>
      <c r="N214" s="10">
        <v>0.86781376518218634</v>
      </c>
      <c r="O214" s="10">
        <v>0.80954790823211875</v>
      </c>
      <c r="P214" s="10">
        <v>0.92297570850202437</v>
      </c>
      <c r="Q214" s="10">
        <v>0.54549572730322915</v>
      </c>
      <c r="R214" s="10">
        <v>0.47213273647317988</v>
      </c>
      <c r="S214" s="10">
        <v>0.64551504750248934</v>
      </c>
      <c r="T214" s="10">
        <v>0.75835853909715034</v>
      </c>
      <c r="U214" s="10">
        <v>0.69551282051282048</v>
      </c>
      <c r="V214" s="10">
        <v>0.8429371748699479</v>
      </c>
      <c r="W214" s="10">
        <v>0.47532651807953041</v>
      </c>
      <c r="X214" s="10">
        <v>0.3915614236509759</v>
      </c>
      <c r="Y214" s="10">
        <v>0.53445657332700514</v>
      </c>
      <c r="Z214" s="10">
        <v>0.9</v>
      </c>
      <c r="AA214" s="10">
        <v>0.77692307692307694</v>
      </c>
      <c r="AB214" s="10">
        <v>1</v>
      </c>
      <c r="AC214" s="10">
        <v>0.18070234431395649</v>
      </c>
      <c r="AD214">
        <v>3.8064690844720403E-2</v>
      </c>
      <c r="AE214">
        <v>0.44419224181860079</v>
      </c>
    </row>
    <row r="215" spans="1:31">
      <c r="A215" t="s">
        <v>86</v>
      </c>
      <c r="B215" t="s">
        <v>77</v>
      </c>
      <c r="C215" t="s">
        <v>80</v>
      </c>
      <c r="D215" t="s">
        <v>70</v>
      </c>
      <c r="E215">
        <v>7</v>
      </c>
      <c r="F215">
        <v>0.05</v>
      </c>
      <c r="G215">
        <v>5</v>
      </c>
      <c r="H215" s="10">
        <v>0.27094701029183249</v>
      </c>
      <c r="I215" s="10">
        <v>0.1098435298313223</v>
      </c>
      <c r="J215" s="10">
        <v>0.32900672623446509</v>
      </c>
      <c r="K215" s="10">
        <v>5.41894020583665</v>
      </c>
      <c r="L215" s="10">
        <v>2.196870596626447</v>
      </c>
      <c r="M215" s="10">
        <v>6.5801345246893028</v>
      </c>
      <c r="N215" s="10">
        <v>0.68646616541353378</v>
      </c>
      <c r="O215" s="10">
        <v>0.40236305048335119</v>
      </c>
      <c r="P215" s="10">
        <v>0.83039742212674539</v>
      </c>
      <c r="Q215" s="10">
        <v>0.25214974449585031</v>
      </c>
      <c r="R215" s="10">
        <v>-0.1987847681603265</v>
      </c>
      <c r="S215" s="10">
        <v>0.480786370997002</v>
      </c>
      <c r="T215" s="10">
        <v>0.32671487401436028</v>
      </c>
      <c r="U215" s="10">
        <v>0.1461023433763749</v>
      </c>
      <c r="V215" s="10">
        <v>0.4532085561497326</v>
      </c>
      <c r="W215" s="10">
        <v>0.37447017543859651</v>
      </c>
      <c r="X215" s="10">
        <v>3.6168421052631503E-2</v>
      </c>
      <c r="Y215" s="10">
        <v>0.65999999999999992</v>
      </c>
      <c r="Z215" s="10">
        <v>0.54285714285714282</v>
      </c>
      <c r="AA215" s="10">
        <v>0.3</v>
      </c>
      <c r="AB215" s="10">
        <v>0.95714285714285718</v>
      </c>
      <c r="AC215" s="10">
        <v>0.50538198908072562</v>
      </c>
      <c r="AD215">
        <v>2.8402575054579E-3</v>
      </c>
      <c r="AE215">
        <v>0.97413260259493517</v>
      </c>
    </row>
    <row r="216" spans="1:31">
      <c r="A216" t="s">
        <v>86</v>
      </c>
      <c r="B216" t="s">
        <v>77</v>
      </c>
      <c r="C216" t="s">
        <v>80</v>
      </c>
      <c r="D216" t="s">
        <v>71</v>
      </c>
      <c r="E216">
        <v>9</v>
      </c>
      <c r="F216">
        <v>6.4285714285714196E-2</v>
      </c>
      <c r="G216">
        <v>5</v>
      </c>
      <c r="H216" s="10">
        <v>0.1681622799651932</v>
      </c>
      <c r="I216" s="10">
        <v>0.15269176988382019</v>
      </c>
      <c r="J216" s="10">
        <v>0.18791740616736149</v>
      </c>
      <c r="K216" s="10">
        <v>2.6158576883474511</v>
      </c>
      <c r="L216" s="10">
        <v>2.3752053093038699</v>
      </c>
      <c r="M216" s="10">
        <v>2.9231596514922922</v>
      </c>
      <c r="N216" s="10">
        <v>0.70678541136556405</v>
      </c>
      <c r="O216" s="10">
        <v>0.65407124681933837</v>
      </c>
      <c r="P216" s="10">
        <v>0.75572519083969458</v>
      </c>
      <c r="Q216" s="10">
        <v>9.8009483398658101E-2</v>
      </c>
      <c r="R216" s="10">
        <v>-3.3107587686383902E-2</v>
      </c>
      <c r="S216" s="10">
        <v>0.18837770072116911</v>
      </c>
      <c r="T216" s="10">
        <v>0.2082939322301024</v>
      </c>
      <c r="U216" s="10">
        <v>2.0833333333333301E-2</v>
      </c>
      <c r="V216" s="10">
        <v>0.35833333333333328</v>
      </c>
      <c r="W216" s="10">
        <v>0.11454545454545451</v>
      </c>
      <c r="X216" s="10">
        <v>9.0909090909090003E-3</v>
      </c>
      <c r="Y216" s="10">
        <v>0.1803030303030303</v>
      </c>
      <c r="Z216" s="10">
        <v>0.31111111111111112</v>
      </c>
      <c r="AA216" s="10">
        <v>2.2222222222222199E-2</v>
      </c>
      <c r="AB216" s="10">
        <v>0.64444444444444438</v>
      </c>
      <c r="AC216" s="10">
        <v>0.3406501290251962</v>
      </c>
      <c r="AD216">
        <v>1.1333667562394E-2</v>
      </c>
      <c r="AE216">
        <v>0.93450074213546996</v>
      </c>
    </row>
    <row r="217" spans="1:31" hidden="1">
      <c r="A217" t="s">
        <v>86</v>
      </c>
      <c r="B217" t="s">
        <v>77</v>
      </c>
      <c r="C217" t="s">
        <v>81</v>
      </c>
      <c r="D217" t="s">
        <v>67</v>
      </c>
      <c r="E217">
        <v>4</v>
      </c>
      <c r="F217">
        <v>2.8571428571428501E-2</v>
      </c>
      <c r="G217">
        <v>5</v>
      </c>
      <c r="H217" s="10">
        <v>0.1159523809523809</v>
      </c>
      <c r="I217" s="10">
        <v>2.8571428571428501E-2</v>
      </c>
      <c r="J217" s="10">
        <v>0.2589285714285714</v>
      </c>
      <c r="K217" s="10">
        <v>4.0583333333333327</v>
      </c>
      <c r="L217" s="10">
        <v>1</v>
      </c>
      <c r="M217" s="10">
        <v>9.0625</v>
      </c>
      <c r="N217" s="10">
        <v>0.54871323529411764</v>
      </c>
      <c r="O217" s="10">
        <v>0.45147058823529412</v>
      </c>
      <c r="P217" s="10">
        <v>0.61286764705882346</v>
      </c>
      <c r="Q217" s="10">
        <v>0</v>
      </c>
      <c r="R217" s="10">
        <v>0</v>
      </c>
      <c r="S217" s="10">
        <v>0</v>
      </c>
      <c r="T217" s="10">
        <v>0.12820512820512819</v>
      </c>
      <c r="U217" s="10">
        <v>0.12820512820512819</v>
      </c>
      <c r="V217" s="10">
        <v>0.12820512820512819</v>
      </c>
      <c r="W217" s="10">
        <v>2.8571428571428501E-2</v>
      </c>
      <c r="X217" s="10">
        <v>2.8571428571428501E-2</v>
      </c>
      <c r="Y217" s="10">
        <v>2.8571428571428501E-2</v>
      </c>
      <c r="Z217" s="10">
        <v>1</v>
      </c>
      <c r="AA217" s="10">
        <v>1</v>
      </c>
      <c r="AB217" s="10">
        <v>1</v>
      </c>
      <c r="AC217" s="10">
        <v>0</v>
      </c>
      <c r="AD217">
        <v>0</v>
      </c>
      <c r="AE217">
        <v>0</v>
      </c>
    </row>
    <row r="218" spans="1:31" hidden="1">
      <c r="A218" t="s">
        <v>86</v>
      </c>
      <c r="B218" t="s">
        <v>77</v>
      </c>
      <c r="C218" t="s">
        <v>81</v>
      </c>
      <c r="D218" t="s">
        <v>68</v>
      </c>
      <c r="E218">
        <v>21</v>
      </c>
      <c r="F218">
        <v>0.15</v>
      </c>
      <c r="G218">
        <v>5</v>
      </c>
      <c r="H218" s="10">
        <v>0.25634485819762048</v>
      </c>
      <c r="I218" s="10">
        <v>0.21219627243841299</v>
      </c>
      <c r="J218" s="10">
        <v>0.32146062685576748</v>
      </c>
      <c r="K218" s="10">
        <v>1.70896572131747</v>
      </c>
      <c r="L218" s="10">
        <v>1.414641816256087</v>
      </c>
      <c r="M218" s="10">
        <v>2.1430708457051169</v>
      </c>
      <c r="N218" s="10">
        <v>0.6276910764305722</v>
      </c>
      <c r="O218" s="10">
        <v>0.61270508203281315</v>
      </c>
      <c r="P218" s="10">
        <v>0.65124049619847935</v>
      </c>
      <c r="Q218" s="10">
        <v>0.1225862319327935</v>
      </c>
      <c r="R218" s="10">
        <v>9.1545529096643694E-2</v>
      </c>
      <c r="S218" s="10">
        <v>0.15369381993379311</v>
      </c>
      <c r="T218" s="10">
        <v>0.40186000097530528</v>
      </c>
      <c r="U218" s="10">
        <v>0.22184198285600371</v>
      </c>
      <c r="V218" s="10">
        <v>0.47294689719049088</v>
      </c>
      <c r="W218" s="10">
        <v>0.2029372019077901</v>
      </c>
      <c r="X218" s="10">
        <v>0.1876689189189189</v>
      </c>
      <c r="Y218" s="10">
        <v>0.2320349761526232</v>
      </c>
      <c r="Z218" s="10">
        <v>0.580952380952381</v>
      </c>
      <c r="AA218" s="10">
        <v>0.23333333333333331</v>
      </c>
      <c r="AB218" s="10">
        <v>0.7142857142857143</v>
      </c>
      <c r="AC218" s="10">
        <v>0.16729797311964861</v>
      </c>
      <c r="AD218">
        <v>1.28989172773859E-2</v>
      </c>
      <c r="AE218">
        <v>0.38037173267511482</v>
      </c>
    </row>
    <row r="219" spans="1:31" hidden="1">
      <c r="A219" t="s">
        <v>86</v>
      </c>
      <c r="B219" t="s">
        <v>77</v>
      </c>
      <c r="C219" t="s">
        <v>81</v>
      </c>
      <c r="D219" t="s">
        <v>69</v>
      </c>
      <c r="E219">
        <v>26</v>
      </c>
      <c r="F219">
        <v>0.18571428571428569</v>
      </c>
      <c r="G219">
        <v>5</v>
      </c>
      <c r="H219" s="10">
        <v>0.43733992484694167</v>
      </c>
      <c r="I219" s="10">
        <v>0.3462183916603106</v>
      </c>
      <c r="J219" s="10">
        <v>0.53971196793945186</v>
      </c>
      <c r="K219" s="10">
        <v>2.3549072876373791</v>
      </c>
      <c r="L219" s="10">
        <v>1.864252878170904</v>
      </c>
      <c r="M219" s="10">
        <v>2.9061413658278181</v>
      </c>
      <c r="N219" s="10">
        <v>0.83937246963562751</v>
      </c>
      <c r="O219" s="10">
        <v>0.77638326585695006</v>
      </c>
      <c r="P219" s="10">
        <v>0.87434210526315781</v>
      </c>
      <c r="Q219" s="10">
        <v>0.43827387602352419</v>
      </c>
      <c r="R219" s="10">
        <v>0.26736119949871517</v>
      </c>
      <c r="S219" s="10">
        <v>0.53413332024168358</v>
      </c>
      <c r="T219" s="10">
        <v>0.64296973259665124</v>
      </c>
      <c r="U219" s="10">
        <v>0.35949914512722508</v>
      </c>
      <c r="V219" s="10">
        <v>0.76289808917197455</v>
      </c>
      <c r="W219" s="10">
        <v>0.42997267429358549</v>
      </c>
      <c r="X219" s="10">
        <v>0.36319612590799027</v>
      </c>
      <c r="Y219" s="10">
        <v>0.46655961461260531</v>
      </c>
      <c r="Z219" s="10">
        <v>0.7615384615384615</v>
      </c>
      <c r="AA219" s="10">
        <v>0.3576923076923077</v>
      </c>
      <c r="AB219" s="10">
        <v>0.92307692307692324</v>
      </c>
      <c r="AC219" s="10">
        <v>0.47309720024540791</v>
      </c>
      <c r="AD219">
        <v>0.37190214815406047</v>
      </c>
      <c r="AE219">
        <v>0.6030568606068144</v>
      </c>
    </row>
    <row r="220" spans="1:31" hidden="1">
      <c r="A220" t="s">
        <v>86</v>
      </c>
      <c r="B220" t="s">
        <v>77</v>
      </c>
      <c r="C220" t="s">
        <v>81</v>
      </c>
      <c r="D220" t="s">
        <v>70</v>
      </c>
      <c r="E220">
        <v>7</v>
      </c>
      <c r="F220">
        <v>0.05</v>
      </c>
      <c r="G220">
        <v>5</v>
      </c>
      <c r="H220" s="10">
        <v>0.30891156462585029</v>
      </c>
      <c r="I220" s="10">
        <v>0.1492857142857143</v>
      </c>
      <c r="J220" s="10">
        <v>0.3846938775510203</v>
      </c>
      <c r="K220" s="10">
        <v>6.1782312925170064</v>
      </c>
      <c r="L220" s="10">
        <v>2.9857142857142862</v>
      </c>
      <c r="M220" s="10">
        <v>7.6938775510204076</v>
      </c>
      <c r="N220" s="10">
        <v>0.67841031149301823</v>
      </c>
      <c r="O220" s="10">
        <v>0.62964554242749715</v>
      </c>
      <c r="P220" s="10">
        <v>0.69377013963480139</v>
      </c>
      <c r="Q220" s="10">
        <v>0.2429128681593071</v>
      </c>
      <c r="R220" s="10">
        <v>0</v>
      </c>
      <c r="S220" s="10">
        <v>0.43690693165537581</v>
      </c>
      <c r="T220" s="10">
        <v>0.3408850026497085</v>
      </c>
      <c r="U220" s="10">
        <v>0.20833333333333329</v>
      </c>
      <c r="V220" s="10">
        <v>0.44117647058823528</v>
      </c>
      <c r="W220" s="10">
        <v>0.28666666666666668</v>
      </c>
      <c r="X220" s="10">
        <v>0.05</v>
      </c>
      <c r="Y220" s="10">
        <v>0.5</v>
      </c>
      <c r="Z220" s="10">
        <v>0.65714285714285714</v>
      </c>
      <c r="AA220" s="10">
        <v>0.42857142857142849</v>
      </c>
      <c r="AB220" s="10">
        <v>1</v>
      </c>
      <c r="AC220" s="10">
        <v>0.11831727587031279</v>
      </c>
      <c r="AD220">
        <v>0</v>
      </c>
      <c r="AE220">
        <v>0.19932751810355931</v>
      </c>
    </row>
    <row r="221" spans="1:31" hidden="1">
      <c r="A221" t="s">
        <v>86</v>
      </c>
      <c r="B221" t="s">
        <v>77</v>
      </c>
      <c r="C221" t="s">
        <v>81</v>
      </c>
      <c r="D221" t="s">
        <v>71</v>
      </c>
      <c r="E221">
        <v>9</v>
      </c>
      <c r="F221">
        <v>6.4285714285714196E-2</v>
      </c>
      <c r="G221">
        <v>5</v>
      </c>
      <c r="H221" s="10">
        <v>0.1091785732136609</v>
      </c>
      <c r="I221" s="10">
        <v>7.2976190476190403E-2</v>
      </c>
      <c r="J221" s="10">
        <v>0.1619934451513399</v>
      </c>
      <c r="K221" s="10">
        <v>1.6983333611013931</v>
      </c>
      <c r="L221" s="10">
        <v>1.1351851851851851</v>
      </c>
      <c r="M221" s="10">
        <v>2.5198980356875098</v>
      </c>
      <c r="N221" s="10">
        <v>0.61314673452078028</v>
      </c>
      <c r="O221" s="10">
        <v>0.53927056827820197</v>
      </c>
      <c r="P221" s="10">
        <v>0.70962680237489406</v>
      </c>
      <c r="Q221" s="10">
        <v>8.2175767595526195E-2</v>
      </c>
      <c r="R221" s="10">
        <v>-2.1049514112887201E-2</v>
      </c>
      <c r="S221" s="10">
        <v>0.18140841905054089</v>
      </c>
      <c r="T221" s="10">
        <v>0.14435040563631529</v>
      </c>
      <c r="U221" s="10">
        <v>1.1627906976744099E-2</v>
      </c>
      <c r="V221" s="10">
        <v>0.2839366515837104</v>
      </c>
      <c r="W221" s="10">
        <v>0.12690476190476191</v>
      </c>
      <c r="X221" s="10">
        <v>1.2500000000000001E-2</v>
      </c>
      <c r="Y221" s="10">
        <v>0.1966666666666666</v>
      </c>
      <c r="Z221" s="10">
        <v>0.1555555555555555</v>
      </c>
      <c r="AA221" s="10">
        <v>1.1111111111111099E-2</v>
      </c>
      <c r="AB221" s="10">
        <v>0.32222222222222219</v>
      </c>
      <c r="AC221" s="10">
        <v>0.20430882734823441</v>
      </c>
      <c r="AD221">
        <v>0.19572934825046981</v>
      </c>
      <c r="AE221">
        <v>0.2276852220679467</v>
      </c>
    </row>
    <row r="222" spans="1:31" hidden="1">
      <c r="A222" t="s">
        <v>86</v>
      </c>
      <c r="B222" t="s">
        <v>77</v>
      </c>
      <c r="C222" t="s">
        <v>82</v>
      </c>
      <c r="D222" t="s">
        <v>67</v>
      </c>
      <c r="E222">
        <v>4</v>
      </c>
      <c r="F222">
        <v>2.8571428571428501E-2</v>
      </c>
      <c r="G222">
        <v>5</v>
      </c>
      <c r="H222" s="10">
        <v>8.1112960216852797E-2</v>
      </c>
      <c r="I222" s="10">
        <v>5.00071731757539E-2</v>
      </c>
      <c r="J222" s="10">
        <v>0.1134018030183514</v>
      </c>
      <c r="K222" s="10">
        <v>2.8389536075898492</v>
      </c>
      <c r="L222" s="10">
        <v>1.7502510611513891</v>
      </c>
      <c r="M222" s="10">
        <v>3.9690631056423009</v>
      </c>
      <c r="N222" s="10">
        <v>0.67426470588235299</v>
      </c>
      <c r="O222" s="10">
        <v>0.58216911764705892</v>
      </c>
      <c r="P222" s="10">
        <v>0.79540441176470578</v>
      </c>
      <c r="Q222" s="10">
        <v>0.1320106683916846</v>
      </c>
      <c r="R222" s="10">
        <v>-1.7464056422058999E-3</v>
      </c>
      <c r="S222" s="10">
        <v>0.23620140355800431</v>
      </c>
      <c r="T222" s="10">
        <v>0.2377719912603633</v>
      </c>
      <c r="U222" s="10">
        <v>0.12741312741312741</v>
      </c>
      <c r="V222" s="10">
        <v>0.34252491694352161</v>
      </c>
      <c r="W222" s="10">
        <v>7.3889041656736695E-2</v>
      </c>
      <c r="X222" s="10">
        <v>2.9717868338557898E-2</v>
      </c>
      <c r="Y222" s="10">
        <v>0.1105263157894736</v>
      </c>
      <c r="Z222" s="10">
        <v>0.65</v>
      </c>
      <c r="AA222" s="10">
        <v>0.5</v>
      </c>
      <c r="AB222" s="10">
        <v>0.75</v>
      </c>
      <c r="AC222" s="10">
        <v>0.26509418372901222</v>
      </c>
      <c r="AD222">
        <v>3.7101265774927901E-2</v>
      </c>
      <c r="AE222">
        <v>0.41045207997852318</v>
      </c>
    </row>
    <row r="223" spans="1:31" hidden="1">
      <c r="A223" t="s">
        <v>86</v>
      </c>
      <c r="B223" t="s">
        <v>77</v>
      </c>
      <c r="C223" t="s">
        <v>82</v>
      </c>
      <c r="D223" t="s">
        <v>68</v>
      </c>
      <c r="E223">
        <v>21</v>
      </c>
      <c r="F223">
        <v>0.15</v>
      </c>
      <c r="G223">
        <v>5</v>
      </c>
      <c r="H223" s="10">
        <v>0.22580668465918441</v>
      </c>
      <c r="I223" s="10">
        <v>0.17287899049421221</v>
      </c>
      <c r="J223" s="10">
        <v>0.32327560958250412</v>
      </c>
      <c r="K223" s="10">
        <v>1.505377897727896</v>
      </c>
      <c r="L223" s="10">
        <v>1.1525266032947481</v>
      </c>
      <c r="M223" s="10">
        <v>2.1551707305500281</v>
      </c>
      <c r="N223" s="10">
        <v>0.4722689075630252</v>
      </c>
      <c r="O223" s="10">
        <v>0.4074429771908763</v>
      </c>
      <c r="P223" s="10">
        <v>0.52645058023209279</v>
      </c>
      <c r="Q223" s="10">
        <v>5.7824269967296102E-2</v>
      </c>
      <c r="R223" s="10">
        <v>-3.68392670170236E-2</v>
      </c>
      <c r="S223" s="10">
        <v>0.16309218739807399</v>
      </c>
      <c r="T223" s="10">
        <v>0.1122633826122198</v>
      </c>
      <c r="U223" s="10">
        <v>5.5132367632367597E-2</v>
      </c>
      <c r="V223" s="10">
        <v>0.2613636363636363</v>
      </c>
      <c r="W223" s="10">
        <v>0.3052380952380952</v>
      </c>
      <c r="X223" s="10">
        <v>0.1342857142857142</v>
      </c>
      <c r="Y223" s="10">
        <v>0.5</v>
      </c>
      <c r="Z223" s="10">
        <v>0.1238095238095238</v>
      </c>
      <c r="AA223" s="10">
        <v>4.7619047619047603E-2</v>
      </c>
      <c r="AB223" s="10">
        <v>0.35238095238095229</v>
      </c>
      <c r="AC223" s="10">
        <v>0.27839427020729851</v>
      </c>
      <c r="AD223">
        <v>0.1085919280232704</v>
      </c>
      <c r="AE223">
        <v>0.3363200983887486</v>
      </c>
    </row>
    <row r="224" spans="1:31" hidden="1">
      <c r="A224" t="s">
        <v>86</v>
      </c>
      <c r="B224" t="s">
        <v>77</v>
      </c>
      <c r="C224" t="s">
        <v>82</v>
      </c>
      <c r="D224" t="s">
        <v>69</v>
      </c>
      <c r="E224">
        <v>26</v>
      </c>
      <c r="F224">
        <v>0.18571428571428569</v>
      </c>
      <c r="G224">
        <v>5</v>
      </c>
      <c r="H224" s="10">
        <v>0.47931536168166972</v>
      </c>
      <c r="I224" s="10">
        <v>0.40797867763978468</v>
      </c>
      <c r="J224" s="10">
        <v>0.56615342986215955</v>
      </c>
      <c r="K224" s="10">
        <v>2.5809288705936062</v>
      </c>
      <c r="L224" s="10">
        <v>2.196808264214225</v>
      </c>
      <c r="M224" s="10">
        <v>3.048518468488552</v>
      </c>
      <c r="N224" s="10">
        <v>0.83785425101214572</v>
      </c>
      <c r="O224" s="10">
        <v>0.79797570850202437</v>
      </c>
      <c r="P224" s="10">
        <v>0.88626855600539811</v>
      </c>
      <c r="Q224" s="10">
        <v>0.36667935218976289</v>
      </c>
      <c r="R224" s="10">
        <v>0.1053996190656963</v>
      </c>
      <c r="S224" s="10">
        <v>0.54028813403770481</v>
      </c>
      <c r="T224" s="10">
        <v>0.53292302811465642</v>
      </c>
      <c r="U224" s="10">
        <v>0.16656920077972709</v>
      </c>
      <c r="V224" s="10">
        <v>0.75139085128929706</v>
      </c>
      <c r="W224" s="10">
        <v>0.4180376344086022</v>
      </c>
      <c r="X224" s="10">
        <v>0.3119354838709677</v>
      </c>
      <c r="Y224" s="10">
        <v>0.4779166666666666</v>
      </c>
      <c r="Z224" s="10">
        <v>0.59230769230769231</v>
      </c>
      <c r="AA224" s="10">
        <v>0.1538461538461538</v>
      </c>
      <c r="AB224" s="10">
        <v>0.87692307692307692</v>
      </c>
      <c r="AC224" s="10">
        <v>0.29623911818782739</v>
      </c>
      <c r="AD224">
        <v>0.2044548728580535</v>
      </c>
      <c r="AE224">
        <v>0.49482396846880627</v>
      </c>
    </row>
    <row r="225" spans="1:31" hidden="1">
      <c r="A225" t="s">
        <v>86</v>
      </c>
      <c r="B225" t="s">
        <v>77</v>
      </c>
      <c r="C225" t="s">
        <v>82</v>
      </c>
      <c r="D225" t="s">
        <v>70</v>
      </c>
      <c r="E225">
        <v>7</v>
      </c>
      <c r="F225">
        <v>0.05</v>
      </c>
      <c r="G225">
        <v>5</v>
      </c>
      <c r="H225" s="10">
        <v>3.9526294154713898E-2</v>
      </c>
      <c r="I225" s="10">
        <v>3.6665827785430503E-2</v>
      </c>
      <c r="J225" s="10">
        <v>4.2894983939833903E-2</v>
      </c>
      <c r="K225" s="10">
        <v>0.79052588309427985</v>
      </c>
      <c r="L225" s="10">
        <v>0.73331655570861143</v>
      </c>
      <c r="M225" s="10">
        <v>0.85789967879667905</v>
      </c>
      <c r="N225" s="10">
        <v>0.30934479054779801</v>
      </c>
      <c r="O225" s="10">
        <v>0.2609022556390978</v>
      </c>
      <c r="P225" s="10">
        <v>0.35982814178302902</v>
      </c>
      <c r="Q225" s="10">
        <v>-0.13265811012038239</v>
      </c>
      <c r="R225" s="10">
        <v>-0.18463408436318529</v>
      </c>
      <c r="S225" s="10">
        <v>-8.6534904093034506E-2</v>
      </c>
      <c r="T225" s="10">
        <v>7.4076896696261801E-2</v>
      </c>
      <c r="U225" s="10">
        <v>0</v>
      </c>
      <c r="V225" s="10">
        <v>0.18610677132949729</v>
      </c>
      <c r="W225" s="10">
        <v>1.7911445279866298E-2</v>
      </c>
      <c r="X225" s="10">
        <v>0</v>
      </c>
      <c r="Y225" s="10">
        <v>4.5045948203842903E-2</v>
      </c>
      <c r="Z225" s="10">
        <v>0.3428571428571428</v>
      </c>
      <c r="AA225" s="10">
        <v>0</v>
      </c>
      <c r="AB225" s="10">
        <v>0.8571428571428571</v>
      </c>
      <c r="AC225" s="10">
        <v>7.1988912594151994E-2</v>
      </c>
      <c r="AD225">
        <v>3.0774196811805518E-24</v>
      </c>
      <c r="AE225">
        <v>0.18597418793761331</v>
      </c>
    </row>
    <row r="226" spans="1:31" hidden="1">
      <c r="A226" t="s">
        <v>86</v>
      </c>
      <c r="B226" t="s">
        <v>77</v>
      </c>
      <c r="C226" t="s">
        <v>82</v>
      </c>
      <c r="D226" t="s">
        <v>71</v>
      </c>
      <c r="E226">
        <v>9</v>
      </c>
      <c r="F226">
        <v>6.4285714285714196E-2</v>
      </c>
      <c r="G226">
        <v>5</v>
      </c>
      <c r="H226" s="10">
        <v>6.0984507804781103E-2</v>
      </c>
      <c r="I226" s="10">
        <v>4.8758642159845503E-2</v>
      </c>
      <c r="J226" s="10">
        <v>7.8391566889692399E-2</v>
      </c>
      <c r="K226" s="10">
        <v>0.94864789918548442</v>
      </c>
      <c r="L226" s="10">
        <v>0.75846776693093154</v>
      </c>
      <c r="M226" s="10">
        <v>1.2194243738396611</v>
      </c>
      <c r="N226" s="10">
        <v>0.39016115351993208</v>
      </c>
      <c r="O226" s="10">
        <v>0.28040712468193379</v>
      </c>
      <c r="P226" s="10">
        <v>0.47353689567430018</v>
      </c>
      <c r="Q226" s="10">
        <v>-4.5130410251689401E-2</v>
      </c>
      <c r="R226" s="10">
        <v>-0.1135533607369492</v>
      </c>
      <c r="S226" s="10">
        <v>-1.0619975468938199E-2</v>
      </c>
      <c r="T226" s="10">
        <v>0.1262280928947595</v>
      </c>
      <c r="U226" s="10">
        <v>9.0909090909090003E-3</v>
      </c>
      <c r="V226" s="10">
        <v>0.2414529914529914</v>
      </c>
      <c r="W226" s="10">
        <v>4.1338640719445603E-2</v>
      </c>
      <c r="X226" s="10">
        <v>3.1746031746031E-3</v>
      </c>
      <c r="Y226" s="10">
        <v>6.3025210084033598E-2</v>
      </c>
      <c r="Z226" s="10">
        <v>0.33333333333333331</v>
      </c>
      <c r="AA226" s="10">
        <v>1.1111111111111099E-2</v>
      </c>
      <c r="AB226" s="10">
        <v>0.84444444444444433</v>
      </c>
      <c r="AC226" s="10">
        <v>0.21554115883514069</v>
      </c>
      <c r="AD226">
        <v>1.1201862753768299E-2</v>
      </c>
      <c r="AE226">
        <v>0.45847602065018878</v>
      </c>
    </row>
    <row r="227" spans="1:31" hidden="1">
      <c r="A227" t="s">
        <v>86</v>
      </c>
      <c r="B227" t="s">
        <v>77</v>
      </c>
      <c r="C227" t="s">
        <v>76</v>
      </c>
      <c r="D227" t="s">
        <v>67</v>
      </c>
      <c r="E227">
        <v>4</v>
      </c>
      <c r="F227">
        <v>2.8571428571428501E-2</v>
      </c>
      <c r="G227">
        <v>5</v>
      </c>
      <c r="H227" s="10">
        <v>0.17326387403489019</v>
      </c>
      <c r="I227" s="10">
        <v>5.59508246239157E-2</v>
      </c>
      <c r="J227" s="10">
        <v>0.30808486338774321</v>
      </c>
      <c r="K227" s="10">
        <v>6.0642355912211574</v>
      </c>
      <c r="L227" s="10">
        <v>1.958278861837049</v>
      </c>
      <c r="M227" s="10">
        <v>10.782970218571011</v>
      </c>
      <c r="N227" s="10">
        <v>0.77904411764705883</v>
      </c>
      <c r="O227" s="10">
        <v>0.68161764705882344</v>
      </c>
      <c r="P227" s="10">
        <v>0.83253676470588245</v>
      </c>
      <c r="Q227" s="10">
        <v>0.10616208130916351</v>
      </c>
      <c r="R227" s="10">
        <v>6.5572109506721904E-2</v>
      </c>
      <c r="S227" s="10">
        <v>0.15173535891844731</v>
      </c>
      <c r="T227" s="10">
        <v>0.19095646559675331</v>
      </c>
      <c r="U227" s="10">
        <v>0.1448810182623132</v>
      </c>
      <c r="V227" s="10">
        <v>0.2516025641025641</v>
      </c>
      <c r="W227" s="10">
        <v>6.3412913248125605E-2</v>
      </c>
      <c r="X227" s="10">
        <v>3.2777064612751303E-2</v>
      </c>
      <c r="Y227" s="10">
        <v>9.8695652173913004E-2</v>
      </c>
      <c r="Z227" s="10">
        <v>0.65</v>
      </c>
      <c r="AA227" s="10">
        <v>0.27500000000000002</v>
      </c>
      <c r="AB227" s="10">
        <v>1</v>
      </c>
      <c r="AC227" s="10">
        <v>6.1761959180208902E-2</v>
      </c>
      <c r="AD227">
        <v>8.4060777920783002E-3</v>
      </c>
      <c r="AE227">
        <v>0.1145246009108212</v>
      </c>
    </row>
    <row r="228" spans="1:31" hidden="1">
      <c r="A228" t="s">
        <v>86</v>
      </c>
      <c r="B228" t="s">
        <v>77</v>
      </c>
      <c r="C228" t="s">
        <v>76</v>
      </c>
      <c r="D228" t="s">
        <v>68</v>
      </c>
      <c r="E228">
        <v>21</v>
      </c>
      <c r="F228">
        <v>0.15</v>
      </c>
      <c r="G228">
        <v>5</v>
      </c>
      <c r="H228" s="10">
        <v>0.36670957718627301</v>
      </c>
      <c r="I228" s="10">
        <v>0.35132353082124701</v>
      </c>
      <c r="J228" s="10">
        <v>0.37976735073219231</v>
      </c>
      <c r="K228" s="10">
        <v>2.444730514575153</v>
      </c>
      <c r="L228" s="10">
        <v>2.342156872141647</v>
      </c>
      <c r="M228" s="10">
        <v>2.5317823382146152</v>
      </c>
      <c r="N228" s="10">
        <v>0.78383353341336526</v>
      </c>
      <c r="O228" s="10">
        <v>0.7563425370148058</v>
      </c>
      <c r="P228" s="10">
        <v>0.80732292917166859</v>
      </c>
      <c r="Q228" s="10">
        <v>0.2784815380147424</v>
      </c>
      <c r="R228" s="10">
        <v>0.22326864600942009</v>
      </c>
      <c r="S228" s="10">
        <v>0.32657452270946058</v>
      </c>
      <c r="T228" s="10">
        <v>0.50575727715231467</v>
      </c>
      <c r="U228" s="10">
        <v>0.42162952137376691</v>
      </c>
      <c r="V228" s="10">
        <v>0.5712477396021699</v>
      </c>
      <c r="W228" s="10">
        <v>0.29587154459819992</v>
      </c>
      <c r="X228" s="10">
        <v>0.24749034749034751</v>
      </c>
      <c r="Y228" s="10">
        <v>0.34015280135823428</v>
      </c>
      <c r="Z228" s="10">
        <v>0.63809523809523816</v>
      </c>
      <c r="AA228" s="10">
        <v>0.47619047619047611</v>
      </c>
      <c r="AB228" s="10">
        <v>0.84761904761904761</v>
      </c>
      <c r="AC228" s="10">
        <v>0.29833169329927828</v>
      </c>
      <c r="AD228">
        <v>0.1728713412089066</v>
      </c>
      <c r="AE228">
        <v>0.3974505588391794</v>
      </c>
    </row>
    <row r="229" spans="1:31" hidden="1">
      <c r="A229" t="s">
        <v>86</v>
      </c>
      <c r="B229" t="s">
        <v>77</v>
      </c>
      <c r="C229" t="s">
        <v>76</v>
      </c>
      <c r="D229" t="s">
        <v>69</v>
      </c>
      <c r="E229">
        <v>26</v>
      </c>
      <c r="F229">
        <v>0.18571428571428569</v>
      </c>
      <c r="G229">
        <v>5</v>
      </c>
      <c r="H229" s="10">
        <v>0.61746488714609316</v>
      </c>
      <c r="I229" s="10">
        <v>0.55438404804456032</v>
      </c>
      <c r="J229" s="10">
        <v>0.69723583703144532</v>
      </c>
      <c r="K229" s="10">
        <v>3.3248109307866551</v>
      </c>
      <c r="L229" s="10">
        <v>2.9851448740860942</v>
      </c>
      <c r="M229" s="10">
        <v>3.754346814784705</v>
      </c>
      <c r="N229" s="10">
        <v>0.92341430499325239</v>
      </c>
      <c r="O229" s="10">
        <v>0.90239541160593795</v>
      </c>
      <c r="P229" s="10">
        <v>0.94369095816464243</v>
      </c>
      <c r="Q229" s="10">
        <v>0.6765276007086618</v>
      </c>
      <c r="R229" s="10">
        <v>0.64659744337668912</v>
      </c>
      <c r="S229" s="10">
        <v>0.69819024222323889</v>
      </c>
      <c r="T229" s="10">
        <v>0.84546762589928071</v>
      </c>
      <c r="U229" s="10">
        <v>0.82793764988009588</v>
      </c>
      <c r="V229" s="10">
        <v>0.8666666666666667</v>
      </c>
      <c r="W229" s="10">
        <v>0.58621118012422357</v>
      </c>
      <c r="X229" s="10">
        <v>0.54565217391304344</v>
      </c>
      <c r="Y229" s="10">
        <v>0.65142857142857147</v>
      </c>
      <c r="Z229" s="10">
        <v>0.95384615384615379</v>
      </c>
      <c r="AA229" s="10">
        <v>0.88846153846153841</v>
      </c>
      <c r="AB229" s="10">
        <v>1</v>
      </c>
      <c r="AC229" s="10">
        <v>0.42314010005938618</v>
      </c>
      <c r="AD229">
        <v>0.32077067830820971</v>
      </c>
      <c r="AE229">
        <v>0.52554304087648507</v>
      </c>
    </row>
    <row r="230" spans="1:31" hidden="1">
      <c r="A230" t="s">
        <v>86</v>
      </c>
      <c r="B230" t="s">
        <v>77</v>
      </c>
      <c r="C230" t="s">
        <v>76</v>
      </c>
      <c r="D230" t="s">
        <v>70</v>
      </c>
      <c r="E230">
        <v>7</v>
      </c>
      <c r="F230">
        <v>0.05</v>
      </c>
      <c r="G230">
        <v>5</v>
      </c>
      <c r="H230" s="10">
        <v>0.2144453405189167</v>
      </c>
      <c r="I230" s="10">
        <v>0.17918258156678721</v>
      </c>
      <c r="J230" s="10">
        <v>0.2658978910895789</v>
      </c>
      <c r="K230" s="10">
        <v>4.2889068103783332</v>
      </c>
      <c r="L230" s="10">
        <v>3.5836516313357438</v>
      </c>
      <c r="M230" s="10">
        <v>5.3179578217915786</v>
      </c>
      <c r="N230" s="10">
        <v>0.64833512352309342</v>
      </c>
      <c r="O230" s="10">
        <v>0.59033297529538131</v>
      </c>
      <c r="P230" s="10">
        <v>0.72491944146079479</v>
      </c>
      <c r="Q230" s="10">
        <v>0.1476344971324963</v>
      </c>
      <c r="R230" s="10">
        <v>-2.4322874009100999E-2</v>
      </c>
      <c r="S230" s="10">
        <v>0.26395711844992598</v>
      </c>
      <c r="T230" s="10">
        <v>0.25663634017292558</v>
      </c>
      <c r="U230" s="10">
        <v>0.16851851851851851</v>
      </c>
      <c r="V230" s="10">
        <v>0.36498257839721249</v>
      </c>
      <c r="W230" s="10">
        <v>0.20835678340351241</v>
      </c>
      <c r="X230" s="10">
        <v>4.7056074766355101E-2</v>
      </c>
      <c r="Y230" s="10">
        <v>0.47307692307692301</v>
      </c>
      <c r="Z230" s="10">
        <v>0.54285714285714282</v>
      </c>
      <c r="AA230" s="10">
        <v>0.1714285714285714</v>
      </c>
      <c r="AB230" s="10">
        <v>0.97142857142857142</v>
      </c>
      <c r="AC230" s="10">
        <v>0.10641397155413571</v>
      </c>
      <c r="AD230">
        <v>1.09487494895807E-2</v>
      </c>
      <c r="AE230">
        <v>0.20219414423585569</v>
      </c>
    </row>
    <row r="231" spans="1:31" hidden="1">
      <c r="A231" t="s">
        <v>86</v>
      </c>
      <c r="B231" t="s">
        <v>77</v>
      </c>
      <c r="C231" t="s">
        <v>76</v>
      </c>
      <c r="D231" t="s">
        <v>71</v>
      </c>
      <c r="E231">
        <v>9</v>
      </c>
      <c r="F231">
        <v>6.4285714285714196E-2</v>
      </c>
      <c r="G231">
        <v>5</v>
      </c>
      <c r="H231" s="10">
        <v>0.21294684035594141</v>
      </c>
      <c r="I231" s="10">
        <v>0.12707953555607779</v>
      </c>
      <c r="J231" s="10">
        <v>0.28593700798596089</v>
      </c>
      <c r="K231" s="10">
        <v>3.3125064055368671</v>
      </c>
      <c r="L231" s="10">
        <v>1.9767927753167669</v>
      </c>
      <c r="M231" s="10">
        <v>4.4479090131149492</v>
      </c>
      <c r="N231" s="10">
        <v>0.6347752332485157</v>
      </c>
      <c r="O231" s="10">
        <v>0.59660729431721804</v>
      </c>
      <c r="P231" s="10">
        <v>0.68422391857506359</v>
      </c>
      <c r="Q231" s="10">
        <v>0.21227298611471659</v>
      </c>
      <c r="R231" s="10">
        <v>8.2664798205513701E-2</v>
      </c>
      <c r="S231" s="10">
        <v>0.40466758067159969</v>
      </c>
      <c r="T231" s="10">
        <v>0.28073664461340969</v>
      </c>
      <c r="U231" s="10">
        <v>0.23208255159474669</v>
      </c>
      <c r="V231" s="10">
        <v>0.35926829268292682</v>
      </c>
      <c r="W231" s="10">
        <v>0.28354679802955668</v>
      </c>
      <c r="X231" s="10">
        <v>0.1003448275862069</v>
      </c>
      <c r="Y231" s="10">
        <v>0.57999999999999996</v>
      </c>
      <c r="Z231" s="10">
        <v>0.33333333333333331</v>
      </c>
      <c r="AA231" s="10">
        <v>0.23333333333333331</v>
      </c>
      <c r="AB231" s="10">
        <v>0.43333333333333329</v>
      </c>
      <c r="AC231" s="10">
        <v>0.1739814189801584</v>
      </c>
      <c r="AD231">
        <v>0.1179192873815486</v>
      </c>
      <c r="AE231">
        <v>0.22920168360775109</v>
      </c>
    </row>
    <row r="232" spans="1:31" hidden="1">
      <c r="A232" t="s">
        <v>86</v>
      </c>
      <c r="B232" t="s">
        <v>77</v>
      </c>
      <c r="C232" t="s">
        <v>83</v>
      </c>
      <c r="D232" t="s">
        <v>67</v>
      </c>
      <c r="E232">
        <v>4</v>
      </c>
      <c r="F232">
        <v>2.8571428571428501E-2</v>
      </c>
      <c r="G232">
        <v>5</v>
      </c>
      <c r="H232" s="10">
        <v>2.7572860674381399E-2</v>
      </c>
      <c r="I232" s="10">
        <v>1.9686488948054699E-2</v>
      </c>
      <c r="J232" s="10">
        <v>4.7604693198633703E-2</v>
      </c>
      <c r="K232" s="10">
        <v>0.96505012360334919</v>
      </c>
      <c r="L232" s="10">
        <v>0.6890271131819149</v>
      </c>
      <c r="M232" s="10">
        <v>1.666164261952183</v>
      </c>
      <c r="N232" s="10">
        <v>0.22683823529411759</v>
      </c>
      <c r="O232" s="10">
        <v>0.12683823529411761</v>
      </c>
      <c r="P232" s="10">
        <v>0.34761029411764699</v>
      </c>
      <c r="Q232" s="10">
        <v>-0.15078098140166879</v>
      </c>
      <c r="R232" s="10">
        <v>-0.4585541204092205</v>
      </c>
      <c r="S232" s="10">
        <v>-2.18818949377672E-2</v>
      </c>
      <c r="T232" s="10">
        <v>4.1470223325061999E-2</v>
      </c>
      <c r="U232" s="10">
        <v>0</v>
      </c>
      <c r="V232" s="10">
        <v>9.3346774193548296E-2</v>
      </c>
      <c r="W232" s="10">
        <v>9.7142740353172007E-3</v>
      </c>
      <c r="X232" s="10">
        <v>0</v>
      </c>
      <c r="Y232" s="10">
        <v>2.09869604316546E-2</v>
      </c>
      <c r="Z232" s="10">
        <v>0.25</v>
      </c>
      <c r="AA232" s="10">
        <v>0</v>
      </c>
      <c r="AB232" s="10">
        <v>0.7</v>
      </c>
      <c r="AC232" s="10">
        <v>4.4365840315187803E-2</v>
      </c>
      <c r="AD232">
        <v>1.5819259550841999E-2</v>
      </c>
      <c r="AE232">
        <v>8.8480417086134203E-2</v>
      </c>
    </row>
    <row r="233" spans="1:31" hidden="1">
      <c r="A233" t="s">
        <v>86</v>
      </c>
      <c r="B233" t="s">
        <v>77</v>
      </c>
      <c r="C233" t="s">
        <v>83</v>
      </c>
      <c r="D233" t="s">
        <v>68</v>
      </c>
      <c r="E233">
        <v>21</v>
      </c>
      <c r="F233">
        <v>0.15</v>
      </c>
      <c r="G233">
        <v>5</v>
      </c>
      <c r="H233" s="10">
        <v>0.22682670537257049</v>
      </c>
      <c r="I233" s="10">
        <v>0.16783585771266249</v>
      </c>
      <c r="J233" s="10">
        <v>0.27211618232054408</v>
      </c>
      <c r="K233" s="10">
        <v>1.5121780358171371</v>
      </c>
      <c r="L233" s="10">
        <v>1.1189057180844171</v>
      </c>
      <c r="M233" s="10">
        <v>1.8141078821369609</v>
      </c>
      <c r="N233" s="10">
        <v>0.62501000400160067</v>
      </c>
      <c r="O233" s="10">
        <v>0.52803121248499396</v>
      </c>
      <c r="P233" s="10">
        <v>0.67519007603041226</v>
      </c>
      <c r="Q233" s="10">
        <v>0.16150100500959139</v>
      </c>
      <c r="R233" s="10">
        <v>9.7955817324040004E-2</v>
      </c>
      <c r="S233" s="10">
        <v>0.20245530110002091</v>
      </c>
      <c r="T233" s="10">
        <v>0.46546272994326621</v>
      </c>
      <c r="U233" s="10">
        <v>0.40440084020697781</v>
      </c>
      <c r="V233" s="10">
        <v>0.53141956940311574</v>
      </c>
      <c r="W233" s="10">
        <v>0.20026164341152339</v>
      </c>
      <c r="X233" s="10">
        <v>0.17728506787330309</v>
      </c>
      <c r="Y233" s="10">
        <v>0.2326721961774251</v>
      </c>
      <c r="Z233" s="10">
        <v>0.74285714285714288</v>
      </c>
      <c r="AA233" s="10">
        <v>0.52857142857142858</v>
      </c>
      <c r="AB233" s="10">
        <v>1</v>
      </c>
      <c r="AC233" s="10">
        <v>9.5393031168480399E-2</v>
      </c>
      <c r="AD233">
        <v>6.8047504891729907E-2</v>
      </c>
      <c r="AE233">
        <v>0.11466950819534261</v>
      </c>
    </row>
    <row r="234" spans="1:31" hidden="1">
      <c r="A234" t="s">
        <v>86</v>
      </c>
      <c r="B234" t="s">
        <v>77</v>
      </c>
      <c r="C234" t="s">
        <v>83</v>
      </c>
      <c r="D234" t="s">
        <v>69</v>
      </c>
      <c r="E234">
        <v>26</v>
      </c>
      <c r="F234">
        <v>0.18571428571428569</v>
      </c>
      <c r="G234">
        <v>5</v>
      </c>
      <c r="H234" s="10">
        <v>0.68593956182737859</v>
      </c>
      <c r="I234" s="10">
        <v>0.5596706419291041</v>
      </c>
      <c r="J234" s="10">
        <v>0.77554584806738058</v>
      </c>
      <c r="K234" s="10">
        <v>3.693520717532039</v>
      </c>
      <c r="L234" s="10">
        <v>3.013611148849022</v>
      </c>
      <c r="M234" s="10">
        <v>4.1760161049782027</v>
      </c>
      <c r="N234" s="10">
        <v>0.87658569500674766</v>
      </c>
      <c r="O234" s="10">
        <v>0.8337719298245615</v>
      </c>
      <c r="P234" s="10">
        <v>0.90873819163292857</v>
      </c>
      <c r="Q234" s="10">
        <v>0.58733262884226511</v>
      </c>
      <c r="R234" s="10">
        <v>0.5207101400004045</v>
      </c>
      <c r="S234" s="10">
        <v>0.66125111266941572</v>
      </c>
      <c r="T234" s="10">
        <v>0.68977354827737014</v>
      </c>
      <c r="U234" s="10">
        <v>0.58103570166136442</v>
      </c>
      <c r="V234" s="10">
        <v>0.74921081329277384</v>
      </c>
      <c r="W234" s="10">
        <v>0.63547932076313507</v>
      </c>
      <c r="X234" s="10">
        <v>0.49541723666210669</v>
      </c>
      <c r="Y234" s="10">
        <v>0.73352826510721247</v>
      </c>
      <c r="Z234" s="10">
        <v>0.71538461538461529</v>
      </c>
      <c r="AA234" s="10">
        <v>0.55769230769230771</v>
      </c>
      <c r="AB234" s="10">
        <v>0.80384615384615388</v>
      </c>
      <c r="AC234" s="10">
        <v>0.18248849920592181</v>
      </c>
      <c r="AD234">
        <v>6.5924874422311194E-2</v>
      </c>
      <c r="AE234">
        <v>0.2849759546776684</v>
      </c>
    </row>
    <row r="235" spans="1:31" hidden="1">
      <c r="A235" t="s">
        <v>86</v>
      </c>
      <c r="B235" t="s">
        <v>77</v>
      </c>
      <c r="C235" t="s">
        <v>83</v>
      </c>
      <c r="D235" t="s">
        <v>70</v>
      </c>
      <c r="E235">
        <v>7</v>
      </c>
      <c r="F235">
        <v>0.05</v>
      </c>
      <c r="G235">
        <v>5</v>
      </c>
      <c r="H235" s="10">
        <v>4.30534364740277E-2</v>
      </c>
      <c r="I235" s="10">
        <v>3.9699429914698499E-2</v>
      </c>
      <c r="J235" s="10">
        <v>4.4733264355003799E-2</v>
      </c>
      <c r="K235" s="10">
        <v>0.86106872948055424</v>
      </c>
      <c r="L235" s="10">
        <v>0.79398859829397173</v>
      </c>
      <c r="M235" s="10">
        <v>0.8946652871000762</v>
      </c>
      <c r="N235" s="10">
        <v>0.35821697099892591</v>
      </c>
      <c r="O235" s="10">
        <v>0.31997851772287861</v>
      </c>
      <c r="P235" s="10">
        <v>0.38259935553168628</v>
      </c>
      <c r="Q235" s="10">
        <v>5.0437025517371002E-3</v>
      </c>
      <c r="R235" s="10">
        <v>-3.12355048306357E-2</v>
      </c>
      <c r="S235" s="10">
        <v>3.9344473768231601E-2</v>
      </c>
      <c r="T235" s="10">
        <v>0.17726552701888409</v>
      </c>
      <c r="U235" s="10">
        <v>0.1033923941227312</v>
      </c>
      <c r="V235" s="10">
        <v>0.2134146341463414</v>
      </c>
      <c r="W235" s="10">
        <v>4.8281443725030897E-2</v>
      </c>
      <c r="X235" s="10">
        <v>4.2261904761904702E-2</v>
      </c>
      <c r="Y235" s="10">
        <v>5.1470588235294101E-2</v>
      </c>
      <c r="Z235" s="10">
        <v>0.68571428571428572</v>
      </c>
      <c r="AA235" s="10">
        <v>0.1714285714285714</v>
      </c>
      <c r="AB235" s="10">
        <v>1</v>
      </c>
      <c r="AC235" s="10">
        <v>3.9289316300048102E-2</v>
      </c>
      <c r="AD235">
        <v>2.0138643939224099E-2</v>
      </c>
      <c r="AE235">
        <v>6.2647436057607905E-2</v>
      </c>
    </row>
    <row r="236" spans="1:31" hidden="1">
      <c r="A236" t="s">
        <v>86</v>
      </c>
      <c r="B236" t="s">
        <v>77</v>
      </c>
      <c r="C236" t="s">
        <v>83</v>
      </c>
      <c r="D236" t="s">
        <v>71</v>
      </c>
      <c r="E236">
        <v>9</v>
      </c>
      <c r="F236">
        <v>6.4285714285714196E-2</v>
      </c>
      <c r="G236">
        <v>5</v>
      </c>
      <c r="H236" s="10">
        <v>0.1113824704500456</v>
      </c>
      <c r="I236" s="10">
        <v>6.5526760615663801E-2</v>
      </c>
      <c r="J236" s="10">
        <v>0.171340320821011</v>
      </c>
      <c r="K236" s="10">
        <v>1.7326162070007101</v>
      </c>
      <c r="L236" s="10">
        <v>1.01930516513255</v>
      </c>
      <c r="M236" s="10">
        <v>2.665293879437951</v>
      </c>
      <c r="N236" s="10">
        <v>0.51077184054283298</v>
      </c>
      <c r="O236" s="10">
        <v>0.45466497031382519</v>
      </c>
      <c r="P236" s="10">
        <v>0.65521628498727724</v>
      </c>
      <c r="Q236" s="10">
        <v>1.1760552481951301E-2</v>
      </c>
      <c r="R236" s="10">
        <v>-3.8786978610105501E-2</v>
      </c>
      <c r="S236" s="10">
        <v>0.1441403389171638</v>
      </c>
      <c r="T236" s="10">
        <v>8.6038961038960998E-2</v>
      </c>
      <c r="U236" s="10">
        <v>0</v>
      </c>
      <c r="V236" s="10">
        <v>0.31574675324675322</v>
      </c>
      <c r="W236" s="10">
        <v>3.3076923076922997E-2</v>
      </c>
      <c r="X236" s="10">
        <v>0</v>
      </c>
      <c r="Y236" s="10">
        <v>0.1088461538461538</v>
      </c>
      <c r="Z236" s="10">
        <v>0.1555555555555555</v>
      </c>
      <c r="AA236" s="10">
        <v>0</v>
      </c>
      <c r="AB236" s="10">
        <v>0.61111111111111105</v>
      </c>
      <c r="AC236" s="10">
        <v>0.10313306366044959</v>
      </c>
      <c r="AD236">
        <v>5.2308608440655699E-2</v>
      </c>
      <c r="AE236">
        <v>0.13306193406711889</v>
      </c>
    </row>
    <row r="237" spans="1:31" hidden="1">
      <c r="A237" t="s">
        <v>86</v>
      </c>
      <c r="B237" t="s">
        <v>77</v>
      </c>
      <c r="C237" t="s">
        <v>84</v>
      </c>
      <c r="D237" t="s">
        <v>67</v>
      </c>
      <c r="E237">
        <v>4</v>
      </c>
      <c r="F237">
        <v>2.8571428571428501E-2</v>
      </c>
      <c r="G237">
        <v>5</v>
      </c>
      <c r="H237" s="10">
        <v>0.47601162454103618</v>
      </c>
      <c r="I237" s="10">
        <v>0.2830837789661319</v>
      </c>
      <c r="J237" s="10">
        <v>0.61924145299145295</v>
      </c>
      <c r="K237" s="10">
        <v>16.66040685893627</v>
      </c>
      <c r="L237" s="10">
        <v>9.9079322638146206</v>
      </c>
      <c r="M237" s="10">
        <v>21.67345085470085</v>
      </c>
      <c r="N237" s="10">
        <v>0.9205882352941176</v>
      </c>
      <c r="O237" s="10">
        <v>0.87573529411764706</v>
      </c>
      <c r="P237" s="10">
        <v>0.97150735294117641</v>
      </c>
      <c r="Q237" s="10">
        <v>0.56878149039763726</v>
      </c>
      <c r="R237" s="10">
        <v>0.33352001360062278</v>
      </c>
      <c r="S237" s="10">
        <v>0.73439218913962145</v>
      </c>
      <c r="T237" s="10">
        <v>0.58909774436090223</v>
      </c>
      <c r="U237" s="10">
        <v>0.43834586466165409</v>
      </c>
      <c r="V237" s="10">
        <v>0.74642857142857144</v>
      </c>
      <c r="W237" s="10">
        <v>0.56824561403508766</v>
      </c>
      <c r="X237" s="10">
        <v>0.2021052631578947</v>
      </c>
      <c r="Y237" s="10">
        <v>0.7416666666666667</v>
      </c>
      <c r="Z237" s="10">
        <v>0.65</v>
      </c>
      <c r="AA237" s="10">
        <v>0.5</v>
      </c>
      <c r="AB237" s="10">
        <v>0.75</v>
      </c>
      <c r="AC237" s="10">
        <v>0.17187707830370361</v>
      </c>
      <c r="AD237">
        <v>3.3170766307836802E-2</v>
      </c>
      <c r="AE237">
        <v>0.2646638531550109</v>
      </c>
    </row>
    <row r="238" spans="1:31" hidden="1">
      <c r="A238" t="s">
        <v>86</v>
      </c>
      <c r="B238" t="s">
        <v>77</v>
      </c>
      <c r="C238" t="s">
        <v>84</v>
      </c>
      <c r="D238" t="s">
        <v>68</v>
      </c>
      <c r="E238">
        <v>21</v>
      </c>
      <c r="F238">
        <v>0.15</v>
      </c>
      <c r="G238">
        <v>5</v>
      </c>
      <c r="H238" s="10">
        <v>0.32250783052191712</v>
      </c>
      <c r="I238" s="10">
        <v>0.2880371142721298</v>
      </c>
      <c r="J238" s="10">
        <v>0.34377548037937028</v>
      </c>
      <c r="K238" s="10">
        <v>2.150052203479448</v>
      </c>
      <c r="L238" s="10">
        <v>1.920247428480865</v>
      </c>
      <c r="M238" s="10">
        <v>2.291836535862469</v>
      </c>
      <c r="N238" s="10">
        <v>0.72492997198879561</v>
      </c>
      <c r="O238" s="10">
        <v>0.67971188475390165</v>
      </c>
      <c r="P238" s="10">
        <v>0.76090436174469789</v>
      </c>
      <c r="Q238" s="10">
        <v>0.31271476821187161</v>
      </c>
      <c r="R238" s="10">
        <v>0.24769129787476299</v>
      </c>
      <c r="S238" s="10">
        <v>0.37531225280088182</v>
      </c>
      <c r="T238" s="10">
        <v>0.47570618244810081</v>
      </c>
      <c r="U238" s="10">
        <v>0.35323903582189481</v>
      </c>
      <c r="V238" s="10">
        <v>0.55445871559633031</v>
      </c>
      <c r="W238" s="10">
        <v>0.36539356011981172</v>
      </c>
      <c r="X238" s="10">
        <v>0.3341463414634146</v>
      </c>
      <c r="Y238" s="10">
        <v>0.43284210526315781</v>
      </c>
      <c r="Z238" s="10">
        <v>0.52380952380952384</v>
      </c>
      <c r="AA238" s="10">
        <v>0.35238095238095229</v>
      </c>
      <c r="AB238" s="10">
        <v>0.65714285714285714</v>
      </c>
      <c r="AC238" s="10">
        <v>0.3342764239373367</v>
      </c>
      <c r="AD238">
        <v>0.1090471994770157</v>
      </c>
      <c r="AE238">
        <v>0.65820443558063924</v>
      </c>
    </row>
    <row r="239" spans="1:31" hidden="1">
      <c r="A239" t="s">
        <v>86</v>
      </c>
      <c r="B239" t="s">
        <v>77</v>
      </c>
      <c r="C239" t="s">
        <v>84</v>
      </c>
      <c r="D239" t="s">
        <v>69</v>
      </c>
      <c r="E239">
        <v>26</v>
      </c>
      <c r="F239">
        <v>0.18571428571428569</v>
      </c>
      <c r="G239">
        <v>5</v>
      </c>
      <c r="H239" s="10">
        <v>0.64085879594031814</v>
      </c>
      <c r="I239" s="10">
        <v>0.54958545006354498</v>
      </c>
      <c r="J239" s="10">
        <v>0.70978683791282993</v>
      </c>
      <c r="K239" s="10">
        <v>3.4507781319863282</v>
      </c>
      <c r="L239" s="10">
        <v>2.959306269572934</v>
      </c>
      <c r="M239" s="10">
        <v>3.821929127222929</v>
      </c>
      <c r="N239" s="10">
        <v>0.90910931174089082</v>
      </c>
      <c r="O239" s="10">
        <v>0.87203103913630231</v>
      </c>
      <c r="P239" s="10">
        <v>0.93549257759784077</v>
      </c>
      <c r="Q239" s="10">
        <v>0.58680827004765534</v>
      </c>
      <c r="R239" s="10">
        <v>0.4273657769259373</v>
      </c>
      <c r="S239" s="10">
        <v>0.68349043195457837</v>
      </c>
      <c r="T239" s="10">
        <v>0.76749946473778374</v>
      </c>
      <c r="U239" s="10">
        <v>0.57801418439716312</v>
      </c>
      <c r="V239" s="10">
        <v>0.85335049297618004</v>
      </c>
      <c r="W239" s="10">
        <v>0.52739939360754939</v>
      </c>
      <c r="X239" s="10">
        <v>0.47384164222873898</v>
      </c>
      <c r="Y239" s="10">
        <v>0.59517374517374522</v>
      </c>
      <c r="Z239" s="10">
        <v>0.87692307692307681</v>
      </c>
      <c r="AA239" s="10">
        <v>0.60384615384615381</v>
      </c>
      <c r="AB239" s="10">
        <v>1</v>
      </c>
      <c r="AC239" s="10">
        <v>0.1762593070227072</v>
      </c>
      <c r="AD239">
        <v>2.3276270935452301E-2</v>
      </c>
      <c r="AE239">
        <v>0.2910719495745161</v>
      </c>
    </row>
    <row r="240" spans="1:31" hidden="1">
      <c r="A240" t="s">
        <v>86</v>
      </c>
      <c r="B240" t="s">
        <v>77</v>
      </c>
      <c r="C240" t="s">
        <v>84</v>
      </c>
      <c r="D240" t="s">
        <v>70</v>
      </c>
      <c r="E240">
        <v>7</v>
      </c>
      <c r="F240">
        <v>0.05</v>
      </c>
      <c r="G240">
        <v>5</v>
      </c>
      <c r="H240" s="10">
        <v>0.12090752965550269</v>
      </c>
      <c r="I240" s="10">
        <v>8.7763587625709794E-2</v>
      </c>
      <c r="J240" s="10">
        <v>0.1425487607892936</v>
      </c>
      <c r="K240" s="10">
        <v>2.4181505931100542</v>
      </c>
      <c r="L240" s="10">
        <v>1.7552717525141961</v>
      </c>
      <c r="M240" s="10">
        <v>2.8509752157858719</v>
      </c>
      <c r="N240" s="10">
        <v>0.69258861439312569</v>
      </c>
      <c r="O240" s="10">
        <v>0.66283566058002152</v>
      </c>
      <c r="P240" s="10">
        <v>0.71310418904403861</v>
      </c>
      <c r="Q240" s="10">
        <v>0.1012875803371948</v>
      </c>
      <c r="R240" s="10">
        <v>-5.6393093781798E-2</v>
      </c>
      <c r="S240" s="10">
        <v>0.18819373552851601</v>
      </c>
      <c r="T240" s="10">
        <v>0.2361402095084609</v>
      </c>
      <c r="U240" s="10">
        <v>2.5000000000000001E-2</v>
      </c>
      <c r="V240" s="10">
        <v>0.3376309427880741</v>
      </c>
      <c r="W240" s="10">
        <v>7.5265700483091794E-2</v>
      </c>
      <c r="X240" s="10">
        <v>6.5217391304346999E-3</v>
      </c>
      <c r="Y240" s="10">
        <v>0.11</v>
      </c>
      <c r="Z240" s="10">
        <v>0.54285714285714282</v>
      </c>
      <c r="AA240" s="10">
        <v>5.7142857142857099E-2</v>
      </c>
      <c r="AB240" s="10">
        <v>0.84285714285714275</v>
      </c>
      <c r="AC240" s="10">
        <v>1.95022623658592E-2</v>
      </c>
      <c r="AD240">
        <v>6.4748264232453003E-3</v>
      </c>
      <c r="AE240">
        <v>4.1595159141019203E-2</v>
      </c>
    </row>
    <row r="241" spans="1:31" hidden="1">
      <c r="A241" t="s">
        <v>86</v>
      </c>
      <c r="B241" t="s">
        <v>77</v>
      </c>
      <c r="C241" t="s">
        <v>84</v>
      </c>
      <c r="D241" t="s">
        <v>71</v>
      </c>
      <c r="E241">
        <v>9</v>
      </c>
      <c r="F241">
        <v>6.4285714285714196E-2</v>
      </c>
      <c r="G241">
        <v>5</v>
      </c>
      <c r="H241" s="10">
        <v>0.29836433274089158</v>
      </c>
      <c r="I241" s="10">
        <v>0.2143273380177394</v>
      </c>
      <c r="J241" s="10">
        <v>0.35988336186658132</v>
      </c>
      <c r="K241" s="10">
        <v>4.6412229537472038</v>
      </c>
      <c r="L241" s="10">
        <v>3.3339808136092808</v>
      </c>
      <c r="M241" s="10">
        <v>5.5981856290357097</v>
      </c>
      <c r="N241" s="10">
        <v>0.75046649703138235</v>
      </c>
      <c r="O241" s="10">
        <v>0.65920271416454634</v>
      </c>
      <c r="P241" s="10">
        <v>0.86755725190839694</v>
      </c>
      <c r="Q241" s="10">
        <v>0.24853563166298351</v>
      </c>
      <c r="R241" s="10">
        <v>0.1164938742214717</v>
      </c>
      <c r="S241" s="10">
        <v>0.39683706011447067</v>
      </c>
      <c r="T241" s="10">
        <v>0.28338649654439119</v>
      </c>
      <c r="U241" s="10">
        <v>0.13842105263157889</v>
      </c>
      <c r="V241" s="10">
        <v>0.43409090909090908</v>
      </c>
      <c r="W241" s="10">
        <v>0.33531746031746029</v>
      </c>
      <c r="X241" s="10">
        <v>0.15</v>
      </c>
      <c r="Y241" s="10">
        <v>0.49444444444444441</v>
      </c>
      <c r="Z241" s="10">
        <v>0.28888888888888881</v>
      </c>
      <c r="AA241" s="10">
        <v>0.1222222222222222</v>
      </c>
      <c r="AB241" s="10">
        <v>0.43333333333333329</v>
      </c>
      <c r="AC241" s="10">
        <v>0.19629102449051761</v>
      </c>
      <c r="AD241">
        <v>8.2009926140907297E-2</v>
      </c>
      <c r="AE241">
        <v>0.47534513632481667</v>
      </c>
    </row>
    <row r="242" spans="1:31">
      <c r="A242" t="s">
        <v>87</v>
      </c>
      <c r="B242" t="s">
        <v>77</v>
      </c>
      <c r="C242" t="s">
        <v>80</v>
      </c>
      <c r="D242" t="s">
        <v>67</v>
      </c>
      <c r="E242">
        <v>4</v>
      </c>
      <c r="F242">
        <v>2.8571428571428501E-2</v>
      </c>
      <c r="G242">
        <v>5</v>
      </c>
      <c r="H242" s="10">
        <v>0.32505339962229068</v>
      </c>
      <c r="I242" s="10">
        <v>0.2841477130906368</v>
      </c>
      <c r="J242" s="10">
        <v>0.3915423283480336</v>
      </c>
      <c r="K242" s="10">
        <v>11.376868986780179</v>
      </c>
      <c r="L242" s="10">
        <v>9.9451699581722881</v>
      </c>
      <c r="M242" s="10">
        <v>13.70398149218118</v>
      </c>
      <c r="N242" s="10">
        <v>0.73676470588235299</v>
      </c>
      <c r="O242" s="10">
        <v>0.60055147058823521</v>
      </c>
      <c r="P242" s="10">
        <v>0.81433823529411764</v>
      </c>
      <c r="Q242" s="10">
        <v>0.18864022936970259</v>
      </c>
      <c r="R242" s="10">
        <v>-4.0064536440290004E-3</v>
      </c>
      <c r="S242" s="10">
        <v>0.46265743360103312</v>
      </c>
      <c r="T242" s="10">
        <v>0.21379118815430331</v>
      </c>
      <c r="U242" s="10">
        <v>0.11805078929306791</v>
      </c>
      <c r="V242" s="10">
        <v>0.28743315508021389</v>
      </c>
      <c r="W242" s="10">
        <v>0.28476469766792351</v>
      </c>
      <c r="X242" s="10">
        <v>2.98282362798491E-2</v>
      </c>
      <c r="Y242" s="10">
        <v>0.91666666666666663</v>
      </c>
      <c r="Z242" s="10">
        <v>0.35</v>
      </c>
      <c r="AA242" s="10">
        <v>0.25</v>
      </c>
      <c r="AB242" s="10">
        <v>0.5</v>
      </c>
      <c r="AC242" s="10">
        <v>0.34223497487366727</v>
      </c>
      <c r="AD242">
        <v>9.0827311057270002E-3</v>
      </c>
      <c r="AE242">
        <v>0.93972409609328278</v>
      </c>
    </row>
    <row r="243" spans="1:31">
      <c r="A243" t="s">
        <v>86</v>
      </c>
      <c r="B243" t="s">
        <v>78</v>
      </c>
      <c r="C243" t="s">
        <v>80</v>
      </c>
      <c r="D243" t="s">
        <v>68</v>
      </c>
      <c r="E243">
        <v>20</v>
      </c>
      <c r="F243">
        <v>0.14492753623188401</v>
      </c>
      <c r="G243">
        <v>5</v>
      </c>
      <c r="H243" s="10">
        <v>0.30428949769509761</v>
      </c>
      <c r="I243" s="10">
        <v>0.2305865812008758</v>
      </c>
      <c r="J243" s="10">
        <v>0.3347509553764127</v>
      </c>
      <c r="K243" s="10">
        <v>2.0995975340961741</v>
      </c>
      <c r="L243" s="10">
        <v>1.5910474102860439</v>
      </c>
      <c r="M243" s="10">
        <v>2.3097815920972482</v>
      </c>
      <c r="N243" s="10">
        <v>0.60889830508474585</v>
      </c>
      <c r="O243" s="10">
        <v>0.51737288135593229</v>
      </c>
      <c r="P243" s="10">
        <v>0.68690677966101699</v>
      </c>
      <c r="Q243" s="10">
        <v>0.1299302264155997</v>
      </c>
      <c r="R243" s="10">
        <v>-9.8315239904229301E-2</v>
      </c>
      <c r="S243" s="10">
        <v>0.29652521373374469</v>
      </c>
      <c r="T243" s="10">
        <v>0.32567417301044288</v>
      </c>
      <c r="U243" s="10">
        <v>0.15848214285714279</v>
      </c>
      <c r="V243" s="10">
        <v>0.5142270237370663</v>
      </c>
      <c r="W243" s="10">
        <v>0.31830808080808082</v>
      </c>
      <c r="X243" s="10">
        <v>0.1414772727272727</v>
      </c>
      <c r="Y243" s="10">
        <v>0.70454545454545447</v>
      </c>
      <c r="Z243" s="10">
        <v>0.45</v>
      </c>
      <c r="AA243" s="10">
        <v>0.15</v>
      </c>
      <c r="AB243" s="10">
        <v>0.875</v>
      </c>
      <c r="AC243" s="10">
        <v>0.3798656420781546</v>
      </c>
      <c r="AD243">
        <v>1.24349988849354E-2</v>
      </c>
      <c r="AE243">
        <v>0.9613083387614122</v>
      </c>
    </row>
    <row r="244" spans="1:31">
      <c r="A244" t="s">
        <v>86</v>
      </c>
      <c r="B244" t="s">
        <v>78</v>
      </c>
      <c r="C244" t="s">
        <v>80</v>
      </c>
      <c r="D244" t="s">
        <v>69</v>
      </c>
      <c r="E244">
        <v>26</v>
      </c>
      <c r="F244">
        <v>0.1884057971014492</v>
      </c>
      <c r="G244">
        <v>5</v>
      </c>
      <c r="H244" s="10">
        <v>0.4793944114911175</v>
      </c>
      <c r="I244" s="10">
        <v>0.37762927290525972</v>
      </c>
      <c r="J244" s="10">
        <v>0.61349662308451647</v>
      </c>
      <c r="K244" s="10">
        <v>2.5444780302220851</v>
      </c>
      <c r="L244" s="10">
        <v>2.0043399869586862</v>
      </c>
      <c r="M244" s="10">
        <v>3.2562513071408952</v>
      </c>
      <c r="N244" s="10">
        <v>0.86181318681318686</v>
      </c>
      <c r="O244" s="10">
        <v>0.80085851648351647</v>
      </c>
      <c r="P244" s="10">
        <v>0.91888736263736281</v>
      </c>
      <c r="Q244" s="10">
        <v>0.53949222351446957</v>
      </c>
      <c r="R244" s="10">
        <v>0.4688737128011029</v>
      </c>
      <c r="S244" s="10">
        <v>0.62394103929719269</v>
      </c>
      <c r="T244" s="10">
        <v>0.76957842887928996</v>
      </c>
      <c r="U244" s="10">
        <v>0.71019677996422192</v>
      </c>
      <c r="V244" s="10">
        <v>0.82478771380977534</v>
      </c>
      <c r="W244" s="10">
        <v>0.45347688521995388</v>
      </c>
      <c r="X244" s="10">
        <v>0.3864253393665158</v>
      </c>
      <c r="Y244" s="10">
        <v>0.52765957446808509</v>
      </c>
      <c r="Z244" s="10">
        <v>0.93846153846153835</v>
      </c>
      <c r="AA244" s="10">
        <v>0.85</v>
      </c>
      <c r="AB244" s="10">
        <v>1</v>
      </c>
      <c r="AC244" s="10">
        <v>7.9171469480802406E-2</v>
      </c>
      <c r="AD244">
        <v>2.5182801790337599E-2</v>
      </c>
      <c r="AE244">
        <v>0.1558713149384669</v>
      </c>
    </row>
    <row r="245" spans="1:31">
      <c r="A245" t="s">
        <v>86</v>
      </c>
      <c r="B245" t="s">
        <v>78</v>
      </c>
      <c r="C245" t="s">
        <v>80</v>
      </c>
      <c r="D245" t="s">
        <v>70</v>
      </c>
      <c r="E245">
        <v>7</v>
      </c>
      <c r="F245">
        <v>5.0724637681159403E-2</v>
      </c>
      <c r="G245">
        <v>5</v>
      </c>
      <c r="H245" s="10">
        <v>0.3109653180799582</v>
      </c>
      <c r="I245" s="10">
        <v>6.9425191644450504E-2</v>
      </c>
      <c r="J245" s="10">
        <v>0.4550550214440825</v>
      </c>
      <c r="K245" s="10">
        <v>6.130459127862034</v>
      </c>
      <c r="L245" s="10">
        <v>1.3686680638477391</v>
      </c>
      <c r="M245" s="10">
        <v>8.9710847084690553</v>
      </c>
      <c r="N245" s="10">
        <v>0.68418756815703374</v>
      </c>
      <c r="O245" s="10">
        <v>0.40141766630316239</v>
      </c>
      <c r="P245" s="10">
        <v>0.82475463467829879</v>
      </c>
      <c r="Q245" s="10">
        <v>0.22546033742593949</v>
      </c>
      <c r="R245" s="10">
        <v>-0.20868927755201341</v>
      </c>
      <c r="S245" s="10">
        <v>0.54405551938192875</v>
      </c>
      <c r="T245" s="10">
        <v>0.30905807683443398</v>
      </c>
      <c r="U245" s="10">
        <v>0.16345397324940991</v>
      </c>
      <c r="V245" s="10">
        <v>0.46732954545454541</v>
      </c>
      <c r="W245" s="10">
        <v>0.35977591036414558</v>
      </c>
      <c r="X245" s="10">
        <v>4.6848739495798299E-2</v>
      </c>
      <c r="Y245" s="10">
        <v>0.73499999999999999</v>
      </c>
      <c r="Z245" s="10">
        <v>0.5714285714285714</v>
      </c>
      <c r="AA245" s="10">
        <v>0.1714285714285714</v>
      </c>
      <c r="AB245" s="10">
        <v>0.98571428571428565</v>
      </c>
      <c r="AC245" s="10">
        <v>0.46248540560091961</v>
      </c>
      <c r="AD245">
        <v>2.3498424110171999E-3</v>
      </c>
      <c r="AE245">
        <v>0.92496182885244005</v>
      </c>
    </row>
    <row r="246" spans="1:31">
      <c r="A246" t="s">
        <v>86</v>
      </c>
      <c r="B246" t="s">
        <v>78</v>
      </c>
      <c r="C246" t="s">
        <v>80</v>
      </c>
      <c r="D246" t="s">
        <v>71</v>
      </c>
      <c r="E246">
        <v>9</v>
      </c>
      <c r="F246">
        <v>6.5217391304347797E-2</v>
      </c>
      <c r="G246">
        <v>5</v>
      </c>
      <c r="H246" s="10">
        <v>0.16245084873159221</v>
      </c>
      <c r="I246" s="10">
        <v>0.15401100833467959</v>
      </c>
      <c r="J246" s="10">
        <v>0.1743136574775726</v>
      </c>
      <c r="K246" s="10">
        <v>2.490913013884414</v>
      </c>
      <c r="L246" s="10">
        <v>2.3615021277984218</v>
      </c>
      <c r="M246" s="10">
        <v>2.6728094146561139</v>
      </c>
      <c r="N246" s="10">
        <v>0.71714039621016368</v>
      </c>
      <c r="O246" s="10">
        <v>0.68354866494401367</v>
      </c>
      <c r="P246" s="10">
        <v>0.75486649440137821</v>
      </c>
      <c r="Q246" s="10">
        <v>5.3115683208904703E-2</v>
      </c>
      <c r="R246" s="10">
        <v>-5.6687289307524098E-2</v>
      </c>
      <c r="S246" s="10">
        <v>0.1144072589055803</v>
      </c>
      <c r="T246" s="10">
        <v>0.18673861332153099</v>
      </c>
      <c r="U246" s="10">
        <v>1.6129032258064498E-2</v>
      </c>
      <c r="V246" s="10">
        <v>0.30290746435560528</v>
      </c>
      <c r="W246" s="10">
        <v>8.1361075715914402E-2</v>
      </c>
      <c r="X246" s="10">
        <v>7.6923076923075999E-3</v>
      </c>
      <c r="Y246" s="10">
        <v>0.1233108108108108</v>
      </c>
      <c r="Z246" s="10">
        <v>0.31111111111111112</v>
      </c>
      <c r="AA246" s="10">
        <v>2.2222222222222199E-2</v>
      </c>
      <c r="AB246" s="10">
        <v>0.64444444444444438</v>
      </c>
      <c r="AC246" s="10">
        <v>9.1534201053135103E-2</v>
      </c>
      <c r="AD246">
        <v>1.0797346979681301E-2</v>
      </c>
      <c r="AE246">
        <v>0.2491082635491273</v>
      </c>
    </row>
    <row r="247" spans="1:31" hidden="1">
      <c r="A247" t="s">
        <v>86</v>
      </c>
      <c r="B247" t="s">
        <v>78</v>
      </c>
      <c r="C247" t="s">
        <v>81</v>
      </c>
      <c r="D247" t="s">
        <v>67</v>
      </c>
      <c r="E247">
        <v>4</v>
      </c>
      <c r="F247">
        <v>2.8985507246376802E-2</v>
      </c>
      <c r="G247">
        <v>5</v>
      </c>
      <c r="H247" s="10">
        <v>0.1163043478260869</v>
      </c>
      <c r="I247" s="10">
        <v>2.8985507246376802E-2</v>
      </c>
      <c r="J247" s="10">
        <v>0.25923913043478258</v>
      </c>
      <c r="K247" s="10">
        <v>4.0125000000000002</v>
      </c>
      <c r="L247" s="10">
        <v>1</v>
      </c>
      <c r="M247" s="10">
        <v>8.9437499999999996</v>
      </c>
      <c r="N247" s="10">
        <v>0.54664179104477617</v>
      </c>
      <c r="O247" s="10">
        <v>0.45074626865671641</v>
      </c>
      <c r="P247" s="10">
        <v>0.61184701492537319</v>
      </c>
      <c r="Q247" s="10">
        <v>0</v>
      </c>
      <c r="R247" s="10">
        <v>0</v>
      </c>
      <c r="S247" s="10">
        <v>0</v>
      </c>
      <c r="T247" s="10">
        <v>0.1298701298701298</v>
      </c>
      <c r="U247" s="10">
        <v>0.1298701298701298</v>
      </c>
      <c r="V247" s="10">
        <v>0.1298701298701298</v>
      </c>
      <c r="W247" s="10">
        <v>2.8985507246376802E-2</v>
      </c>
      <c r="X247" s="10">
        <v>2.8985507246376802E-2</v>
      </c>
      <c r="Y247" s="10">
        <v>2.8985507246376802E-2</v>
      </c>
      <c r="Z247" s="10">
        <v>1</v>
      </c>
      <c r="AA247" s="10">
        <v>1</v>
      </c>
      <c r="AB247" s="10">
        <v>1</v>
      </c>
      <c r="AC247" s="10">
        <v>0</v>
      </c>
      <c r="AD247">
        <v>0</v>
      </c>
      <c r="AE247">
        <v>0</v>
      </c>
    </row>
    <row r="248" spans="1:31" hidden="1">
      <c r="A248" t="s">
        <v>86</v>
      </c>
      <c r="B248" t="s">
        <v>78</v>
      </c>
      <c r="C248" t="s">
        <v>81</v>
      </c>
      <c r="D248" t="s">
        <v>68</v>
      </c>
      <c r="E248">
        <v>20</v>
      </c>
      <c r="F248">
        <v>0.14492753623188401</v>
      </c>
      <c r="G248">
        <v>5</v>
      </c>
      <c r="H248" s="10">
        <v>0.18310085314091809</v>
      </c>
      <c r="I248" s="10">
        <v>0.1676731313118987</v>
      </c>
      <c r="J248" s="10">
        <v>0.19330657816373631</v>
      </c>
      <c r="K248" s="10">
        <v>1.2633958866723349</v>
      </c>
      <c r="L248" s="10">
        <v>1.156944606052102</v>
      </c>
      <c r="M248" s="10">
        <v>1.3338153893297811</v>
      </c>
      <c r="N248" s="10">
        <v>0.59898305084745762</v>
      </c>
      <c r="O248" s="10">
        <v>0.57230932203389828</v>
      </c>
      <c r="P248" s="10">
        <v>0.62152542372881359</v>
      </c>
      <c r="Q248" s="10">
        <v>0.1209546485734886</v>
      </c>
      <c r="R248" s="10">
        <v>6.1520008146199998E-2</v>
      </c>
      <c r="S248" s="10">
        <v>0.1527225520678161</v>
      </c>
      <c r="T248" s="10">
        <v>0.3857585631908097</v>
      </c>
      <c r="U248" s="10">
        <v>0.185270730783794</v>
      </c>
      <c r="V248" s="10">
        <v>0.45159050179211468</v>
      </c>
      <c r="W248" s="10">
        <v>0.19631745885531809</v>
      </c>
      <c r="X248" s="10">
        <v>0.18684057971014489</v>
      </c>
      <c r="Y248" s="10">
        <v>0.2033633474576271</v>
      </c>
      <c r="Z248" s="10">
        <v>0.55000000000000004</v>
      </c>
      <c r="AA248" s="10">
        <v>0.19500000000000001</v>
      </c>
      <c r="AB248" s="10">
        <v>0.69499999999999995</v>
      </c>
      <c r="AC248" s="10">
        <v>0.2021190882216751</v>
      </c>
      <c r="AD248">
        <v>4.0482168497816502E-2</v>
      </c>
      <c r="AE248">
        <v>0.38469360885458798</v>
      </c>
    </row>
    <row r="249" spans="1:31" hidden="1">
      <c r="A249" t="s">
        <v>86</v>
      </c>
      <c r="B249" t="s">
        <v>78</v>
      </c>
      <c r="C249" t="s">
        <v>81</v>
      </c>
      <c r="D249" t="s">
        <v>69</v>
      </c>
      <c r="E249">
        <v>26</v>
      </c>
      <c r="F249">
        <v>0.1884057971014492</v>
      </c>
      <c r="G249">
        <v>5</v>
      </c>
      <c r="H249" s="10">
        <v>0.42205234498827232</v>
      </c>
      <c r="I249" s="10">
        <v>0.38395137369437438</v>
      </c>
      <c r="J249" s="10">
        <v>0.47676304840632178</v>
      </c>
      <c r="K249" s="10">
        <v>2.2401239849377532</v>
      </c>
      <c r="L249" s="10">
        <v>2.0378957526855248</v>
      </c>
      <c r="M249" s="10">
        <v>2.5305115646181688</v>
      </c>
      <c r="N249" s="10">
        <v>0.82805631868131857</v>
      </c>
      <c r="O249" s="10">
        <v>0.78504464285714293</v>
      </c>
      <c r="P249" s="10">
        <v>0.86689560439560442</v>
      </c>
      <c r="Q249" s="10">
        <v>0.36931745733620108</v>
      </c>
      <c r="R249" s="10">
        <v>2.6356286870801399E-2</v>
      </c>
      <c r="S249" s="10">
        <v>0.54650378657630805</v>
      </c>
      <c r="T249" s="10">
        <v>0.58188018169733358</v>
      </c>
      <c r="U249" s="10">
        <v>0.1053262688232013</v>
      </c>
      <c r="V249" s="10">
        <v>0.75846417144132749</v>
      </c>
      <c r="W249" s="10">
        <v>0.35784756989228678</v>
      </c>
      <c r="X249" s="10">
        <v>0.1851351351351351</v>
      </c>
      <c r="Y249" s="10">
        <v>0.48301812450748621</v>
      </c>
      <c r="Z249" s="10">
        <v>0.72307692307692306</v>
      </c>
      <c r="AA249" s="10">
        <v>0.11538461538461529</v>
      </c>
      <c r="AB249" s="10">
        <v>0.98846153846153839</v>
      </c>
      <c r="AC249" s="10">
        <v>0.49676842410148681</v>
      </c>
      <c r="AD249">
        <v>0.33643973271175598</v>
      </c>
      <c r="AE249">
        <v>0.7788085803898307</v>
      </c>
    </row>
    <row r="250" spans="1:31" hidden="1">
      <c r="A250" t="s">
        <v>86</v>
      </c>
      <c r="B250" t="s">
        <v>78</v>
      </c>
      <c r="C250" t="s">
        <v>81</v>
      </c>
      <c r="D250" t="s">
        <v>70</v>
      </c>
      <c r="E250">
        <v>7</v>
      </c>
      <c r="F250">
        <v>5.0724637681159403E-2</v>
      </c>
      <c r="G250">
        <v>5</v>
      </c>
      <c r="H250" s="10">
        <v>0.30305383022774318</v>
      </c>
      <c r="I250" s="10">
        <v>0.14562629399585919</v>
      </c>
      <c r="J250" s="10">
        <v>0.40041407867494822</v>
      </c>
      <c r="K250" s="10">
        <v>5.9744897959183669</v>
      </c>
      <c r="L250" s="10">
        <v>2.8709183673469392</v>
      </c>
      <c r="M250" s="10">
        <v>7.8938775510204069</v>
      </c>
      <c r="N250" s="10">
        <v>0.68298800436205009</v>
      </c>
      <c r="O250" s="10">
        <v>0.63287895310796061</v>
      </c>
      <c r="P250" s="10">
        <v>0.70119956379498372</v>
      </c>
      <c r="Q250" s="10">
        <v>0.2155364416330339</v>
      </c>
      <c r="R250" s="10">
        <v>0</v>
      </c>
      <c r="S250" s="10">
        <v>0.42951943304367252</v>
      </c>
      <c r="T250" s="10">
        <v>0.31472950626033541</v>
      </c>
      <c r="U250" s="10">
        <v>0.21084337349397589</v>
      </c>
      <c r="V250" s="10">
        <v>0.43872549019607843</v>
      </c>
      <c r="W250" s="10">
        <v>0.26195652173913042</v>
      </c>
      <c r="X250" s="10">
        <v>5.0724637681159403E-2</v>
      </c>
      <c r="Y250" s="10">
        <v>0.48749999999999999</v>
      </c>
      <c r="Z250" s="10">
        <v>0.62857142857142856</v>
      </c>
      <c r="AA250" s="10">
        <v>0.3</v>
      </c>
      <c r="AB250" s="10">
        <v>1</v>
      </c>
      <c r="AC250" s="10">
        <v>9.52674364785982E-2</v>
      </c>
      <c r="AD250">
        <v>0</v>
      </c>
      <c r="AE250">
        <v>0.1990897088779901</v>
      </c>
    </row>
    <row r="251" spans="1:31" hidden="1">
      <c r="A251" t="s">
        <v>86</v>
      </c>
      <c r="B251" t="s">
        <v>78</v>
      </c>
      <c r="C251" t="s">
        <v>81</v>
      </c>
      <c r="D251" t="s">
        <v>71</v>
      </c>
      <c r="E251">
        <v>9</v>
      </c>
      <c r="F251">
        <v>6.5217391304347797E-2</v>
      </c>
      <c r="G251">
        <v>5</v>
      </c>
      <c r="H251" s="10">
        <v>0.104939842135068</v>
      </c>
      <c r="I251" s="10">
        <v>7.2241759022449503E-2</v>
      </c>
      <c r="J251" s="10">
        <v>0.147830165004078</v>
      </c>
      <c r="K251" s="10">
        <v>1.609077579404377</v>
      </c>
      <c r="L251" s="10">
        <v>1.10770697167756</v>
      </c>
      <c r="M251" s="10">
        <v>2.2667291967291958</v>
      </c>
      <c r="N251" s="10">
        <v>0.59526270456503017</v>
      </c>
      <c r="O251" s="10">
        <v>0.5073643410852714</v>
      </c>
      <c r="P251" s="10">
        <v>0.70258397932816541</v>
      </c>
      <c r="Q251" s="10">
        <v>8.0125156551786397E-2</v>
      </c>
      <c r="R251" s="10">
        <v>-5.88532015196278E-2</v>
      </c>
      <c r="S251" s="10">
        <v>0.2096041987956723</v>
      </c>
      <c r="T251" s="10">
        <v>0.1738727111397918</v>
      </c>
      <c r="U251" s="10">
        <v>1.0869565217391301E-2</v>
      </c>
      <c r="V251" s="10">
        <v>0.30278293135435991</v>
      </c>
      <c r="W251" s="10">
        <v>0.1187854251012145</v>
      </c>
      <c r="X251" s="10">
        <v>0.01</v>
      </c>
      <c r="Y251" s="10">
        <v>0.2234817813765182</v>
      </c>
      <c r="Z251" s="10">
        <v>0.2</v>
      </c>
      <c r="AA251" s="10">
        <v>1.1111111111111099E-2</v>
      </c>
      <c r="AB251" s="10">
        <v>0.33333333333333331</v>
      </c>
      <c r="AC251" s="10">
        <v>0.1605243218123292</v>
      </c>
      <c r="AD251">
        <v>2.8856604239325099E-2</v>
      </c>
      <c r="AE251">
        <v>0.2018709741589817</v>
      </c>
    </row>
    <row r="252" spans="1:31" hidden="1">
      <c r="A252" t="s">
        <v>86</v>
      </c>
      <c r="B252" t="s">
        <v>78</v>
      </c>
      <c r="C252" t="s">
        <v>82</v>
      </c>
      <c r="D252" t="s">
        <v>67</v>
      </c>
      <c r="E252">
        <v>4</v>
      </c>
      <c r="F252">
        <v>2.8985507246376802E-2</v>
      </c>
      <c r="G252">
        <v>5</v>
      </c>
      <c r="H252" s="10">
        <v>3.7362266740786299E-2</v>
      </c>
      <c r="I252" s="10">
        <v>3.0601823475349399E-2</v>
      </c>
      <c r="J252" s="10">
        <v>4.2487905170211303E-2</v>
      </c>
      <c r="K252" s="10">
        <v>1.2889982025571289</v>
      </c>
      <c r="L252" s="10">
        <v>1.0557629098995549</v>
      </c>
      <c r="M252" s="10">
        <v>1.4658327283722921</v>
      </c>
      <c r="N252" s="10">
        <v>0.46194029850746271</v>
      </c>
      <c r="O252" s="10">
        <v>0.41492537313432831</v>
      </c>
      <c r="P252" s="10">
        <v>0.50671641791044775</v>
      </c>
      <c r="Q252" s="10">
        <v>-6.9466817789082605E-2</v>
      </c>
      <c r="R252" s="10">
        <v>-0.16487782044976709</v>
      </c>
      <c r="S252" s="10">
        <v>1.4094560709444599E-2</v>
      </c>
      <c r="T252" s="10">
        <v>8.6237041215244101E-2</v>
      </c>
      <c r="U252" s="10">
        <v>6.2579113924050606E-2</v>
      </c>
      <c r="V252" s="10">
        <v>0.12855618776671399</v>
      </c>
      <c r="W252" s="10">
        <v>2.0500995566894501E-2</v>
      </c>
      <c r="X252" s="10">
        <v>1.56498015873015E-2</v>
      </c>
      <c r="Y252" s="10">
        <v>2.8743315508021301E-2</v>
      </c>
      <c r="Z252" s="10">
        <v>0.5</v>
      </c>
      <c r="AA252" s="10">
        <v>0.25</v>
      </c>
      <c r="AB252" s="10">
        <v>0.97499999999999998</v>
      </c>
      <c r="AC252" s="10">
        <v>8.2814572349116503E-2</v>
      </c>
      <c r="AD252">
        <v>1.857375550015602E-5</v>
      </c>
      <c r="AE252">
        <v>0.164091429838921</v>
      </c>
    </row>
    <row r="253" spans="1:31" hidden="1">
      <c r="A253" t="s">
        <v>86</v>
      </c>
      <c r="B253" t="s">
        <v>78</v>
      </c>
      <c r="C253" t="s">
        <v>82</v>
      </c>
      <c r="D253" t="s">
        <v>68</v>
      </c>
      <c r="E253">
        <v>20</v>
      </c>
      <c r="F253">
        <v>0.14492753623188401</v>
      </c>
      <c r="G253">
        <v>5</v>
      </c>
      <c r="H253" s="10">
        <v>0.21483749772304109</v>
      </c>
      <c r="I253" s="10">
        <v>0.15077520476386869</v>
      </c>
      <c r="J253" s="10">
        <v>0.30143607812460471</v>
      </c>
      <c r="K253" s="10">
        <v>1.482378734288984</v>
      </c>
      <c r="L253" s="10">
        <v>1.040348912870694</v>
      </c>
      <c r="M253" s="10">
        <v>2.0799089390597731</v>
      </c>
      <c r="N253" s="10">
        <v>0.58016949152542385</v>
      </c>
      <c r="O253" s="10">
        <v>0.4913983050847458</v>
      </c>
      <c r="P253" s="10">
        <v>0.67258474576271177</v>
      </c>
      <c r="Q253" s="10">
        <v>5.1629023687524901E-2</v>
      </c>
      <c r="R253" s="10">
        <v>-5.3917876885736703E-2</v>
      </c>
      <c r="S253" s="10">
        <v>0.21308311722497969</v>
      </c>
      <c r="T253" s="10">
        <v>0.2420737522113218</v>
      </c>
      <c r="U253" s="10">
        <v>5.8139534883720001E-3</v>
      </c>
      <c r="V253" s="10">
        <v>0.47839308578745199</v>
      </c>
      <c r="W253" s="10">
        <v>0.14759139784946229</v>
      </c>
      <c r="X253" s="10">
        <v>1.6E-2</v>
      </c>
      <c r="Y253" s="10">
        <v>0.24166666666666661</v>
      </c>
      <c r="Z253" s="10">
        <v>0.32</v>
      </c>
      <c r="AA253" s="10">
        <v>5.0000000000000001E-3</v>
      </c>
      <c r="AB253" s="10">
        <v>0.63500000000000001</v>
      </c>
      <c r="AC253" s="10">
        <v>0.50996246040079829</v>
      </c>
      <c r="AD253">
        <v>0.24410243921228589</v>
      </c>
      <c r="AE253">
        <v>0.93977335872600776</v>
      </c>
    </row>
    <row r="254" spans="1:31" hidden="1">
      <c r="A254" t="s">
        <v>86</v>
      </c>
      <c r="B254" t="s">
        <v>78</v>
      </c>
      <c r="C254" t="s">
        <v>82</v>
      </c>
      <c r="D254" t="s">
        <v>69</v>
      </c>
      <c r="E254">
        <v>26</v>
      </c>
      <c r="F254">
        <v>0.1884057971014492</v>
      </c>
      <c r="G254">
        <v>5</v>
      </c>
      <c r="H254" s="10">
        <v>0.34037449956891019</v>
      </c>
      <c r="I254" s="10">
        <v>0.27960893432937672</v>
      </c>
      <c r="J254" s="10">
        <v>0.39639951530773149</v>
      </c>
      <c r="K254" s="10">
        <v>1.8066031130965241</v>
      </c>
      <c r="L254" s="10">
        <v>1.4840781899020761</v>
      </c>
      <c r="M254" s="10">
        <v>2.1039666581718062</v>
      </c>
      <c r="N254" s="10">
        <v>0.74333791208791211</v>
      </c>
      <c r="O254" s="10">
        <v>0.68269230769230771</v>
      </c>
      <c r="P254" s="10">
        <v>0.79975961538461537</v>
      </c>
      <c r="Q254" s="10">
        <v>0.32889961957537178</v>
      </c>
      <c r="R254" s="10">
        <v>0.17472174554191169</v>
      </c>
      <c r="S254" s="10">
        <v>0.48979851976374078</v>
      </c>
      <c r="T254" s="10">
        <v>0.5475256232568485</v>
      </c>
      <c r="U254" s="10">
        <v>0.30366391184572999</v>
      </c>
      <c r="V254" s="10">
        <v>0.73444381705251272</v>
      </c>
      <c r="W254" s="10">
        <v>0.37454636129126218</v>
      </c>
      <c r="X254" s="10">
        <v>0.28877405559515318</v>
      </c>
      <c r="Y254" s="10">
        <v>0.42025171624713958</v>
      </c>
      <c r="Z254" s="10">
        <v>0.64615384615384619</v>
      </c>
      <c r="AA254" s="10">
        <v>0.29230769230769221</v>
      </c>
      <c r="AB254" s="10">
        <v>0.91153846153846163</v>
      </c>
      <c r="AC254" s="10">
        <v>0.31726226099562149</v>
      </c>
      <c r="AD254">
        <v>0.1676642780955972</v>
      </c>
      <c r="AE254">
        <v>0.4810196932584942</v>
      </c>
    </row>
    <row r="255" spans="1:31" hidden="1">
      <c r="A255" t="s">
        <v>86</v>
      </c>
      <c r="B255" t="s">
        <v>78</v>
      </c>
      <c r="C255" t="s">
        <v>82</v>
      </c>
      <c r="D255" t="s">
        <v>70</v>
      </c>
      <c r="E255">
        <v>7</v>
      </c>
      <c r="F255">
        <v>5.0724637681159403E-2</v>
      </c>
      <c r="G255">
        <v>5</v>
      </c>
      <c r="H255" s="10">
        <v>0.10687411291744441</v>
      </c>
      <c r="I255" s="10">
        <v>6.3868456591693504E-2</v>
      </c>
      <c r="J255" s="10">
        <v>0.15782411010072361</v>
      </c>
      <c r="K255" s="10">
        <v>2.1069467975153331</v>
      </c>
      <c r="L255" s="10">
        <v>1.2591210013791021</v>
      </c>
      <c r="M255" s="10">
        <v>3.1113895991285521</v>
      </c>
      <c r="N255" s="10">
        <v>0.60261723009814616</v>
      </c>
      <c r="O255" s="10">
        <v>0.51635768811341332</v>
      </c>
      <c r="P255" s="10">
        <v>0.71101417666303168</v>
      </c>
      <c r="Q255" s="10">
        <v>4.2167015100758598E-2</v>
      </c>
      <c r="R255" s="10">
        <v>-7.9959971232516594E-2</v>
      </c>
      <c r="S255" s="10">
        <v>0.11561448673656689</v>
      </c>
      <c r="T255" s="10">
        <v>0.15039682539682539</v>
      </c>
      <c r="U255" s="10">
        <v>1.1904761904761901E-2</v>
      </c>
      <c r="V255" s="10">
        <v>0.2632936507936508</v>
      </c>
      <c r="W255" s="10">
        <v>7.0046082949308697E-2</v>
      </c>
      <c r="X255" s="10">
        <v>6.4516129032258004E-3</v>
      </c>
      <c r="Y255" s="10">
        <v>0.1357142857142857</v>
      </c>
      <c r="Z255" s="10">
        <v>0.3428571428571428</v>
      </c>
      <c r="AA255" s="10">
        <v>1.42857142857142E-2</v>
      </c>
      <c r="AB255" s="10">
        <v>0.82857142857142851</v>
      </c>
      <c r="AC255" s="10">
        <v>0.3671711855101199</v>
      </c>
      <c r="AD255">
        <v>0.12882524697001821</v>
      </c>
      <c r="AE255">
        <v>0.58234985462706035</v>
      </c>
    </row>
    <row r="256" spans="1:31" hidden="1">
      <c r="A256" t="s">
        <v>86</v>
      </c>
      <c r="B256" t="s">
        <v>78</v>
      </c>
      <c r="C256" t="s">
        <v>82</v>
      </c>
      <c r="D256" t="s">
        <v>71</v>
      </c>
      <c r="E256">
        <v>9</v>
      </c>
      <c r="F256">
        <v>6.5217391304347797E-2</v>
      </c>
      <c r="G256">
        <v>5</v>
      </c>
      <c r="H256" s="10">
        <v>9.3695106033037295E-2</v>
      </c>
      <c r="I256" s="10">
        <v>5.7238172782713703E-2</v>
      </c>
      <c r="J256" s="10">
        <v>0.16208648230620629</v>
      </c>
      <c r="K256" s="10">
        <v>1.4366582925065721</v>
      </c>
      <c r="L256" s="10">
        <v>0.87765198266827715</v>
      </c>
      <c r="M256" s="10">
        <v>2.4853260620284972</v>
      </c>
      <c r="N256" s="10">
        <v>0.4647717484926786</v>
      </c>
      <c r="O256" s="10">
        <v>0.39879414298018939</v>
      </c>
      <c r="P256" s="10">
        <v>0.54151593453919034</v>
      </c>
      <c r="Q256" s="10">
        <v>-5.3437133391013698E-2</v>
      </c>
      <c r="R256" s="10">
        <v>-0.11996629451704061</v>
      </c>
      <c r="S256" s="10">
        <v>2.3821816417473801E-2</v>
      </c>
      <c r="T256" s="10">
        <v>8.2947455010994403E-2</v>
      </c>
      <c r="U256" s="10">
        <v>0</v>
      </c>
      <c r="V256" s="10">
        <v>0.23257445813191949</v>
      </c>
      <c r="W256" s="10">
        <v>3.1942959001782498E-2</v>
      </c>
      <c r="X256" s="10">
        <v>0</v>
      </c>
      <c r="Y256" s="10">
        <v>6.9411764705882298E-2</v>
      </c>
      <c r="Z256" s="10">
        <v>0.1777777777777777</v>
      </c>
      <c r="AA256" s="10">
        <v>0</v>
      </c>
      <c r="AB256" s="10">
        <v>0.61111111111111105</v>
      </c>
      <c r="AC256" s="10">
        <v>0.24138826865734431</v>
      </c>
      <c r="AD256">
        <v>9.8105740240456901E-2</v>
      </c>
      <c r="AE256">
        <v>0.37464992059955382</v>
      </c>
    </row>
    <row r="257" spans="1:31" hidden="1">
      <c r="A257" t="s">
        <v>86</v>
      </c>
      <c r="B257" t="s">
        <v>78</v>
      </c>
      <c r="C257" t="s">
        <v>76</v>
      </c>
      <c r="D257" t="s">
        <v>67</v>
      </c>
      <c r="E257">
        <v>4</v>
      </c>
      <c r="F257">
        <v>2.8985507246376802E-2</v>
      </c>
      <c r="G257">
        <v>5</v>
      </c>
      <c r="H257" s="10">
        <v>0.1403551238352348</v>
      </c>
      <c r="I257" s="10">
        <v>6.0849957174164401E-2</v>
      </c>
      <c r="J257" s="10">
        <v>0.31559417002875417</v>
      </c>
      <c r="K257" s="10">
        <v>4.8422517723156018</v>
      </c>
      <c r="L257" s="10">
        <v>2.099323522508675</v>
      </c>
      <c r="M257" s="10">
        <v>10.887998865992021</v>
      </c>
      <c r="N257" s="10">
        <v>0.76380597014925367</v>
      </c>
      <c r="O257" s="10">
        <v>0.67929104477611946</v>
      </c>
      <c r="P257" s="10">
        <v>0.83078358208955227</v>
      </c>
      <c r="Q257" s="10">
        <v>0.114148482192652</v>
      </c>
      <c r="R257" s="10">
        <v>5.2807050179813499E-2</v>
      </c>
      <c r="S257" s="10">
        <v>0.16334102267046141</v>
      </c>
      <c r="T257" s="10">
        <v>0.19810683829375411</v>
      </c>
      <c r="U257" s="10">
        <v>0.13871563871563869</v>
      </c>
      <c r="V257" s="10">
        <v>0.26597051597051591</v>
      </c>
      <c r="W257" s="10">
        <v>5.9569143727559497E-2</v>
      </c>
      <c r="X257" s="10">
        <v>4.003916875204E-2</v>
      </c>
      <c r="Y257" s="10">
        <v>9.2857142857142805E-2</v>
      </c>
      <c r="Z257" s="10">
        <v>0.65</v>
      </c>
      <c r="AA257" s="10">
        <v>0.27500000000000002</v>
      </c>
      <c r="AB257" s="10">
        <v>1</v>
      </c>
      <c r="AC257" s="10">
        <v>6.0492534125867803E-2</v>
      </c>
      <c r="AD257">
        <v>1.7932549403677601E-2</v>
      </c>
      <c r="AE257">
        <v>9.6833782084048803E-2</v>
      </c>
    </row>
    <row r="258" spans="1:31" hidden="1">
      <c r="A258" t="s">
        <v>86</v>
      </c>
      <c r="B258" t="s">
        <v>78</v>
      </c>
      <c r="C258" t="s">
        <v>76</v>
      </c>
      <c r="D258" t="s">
        <v>68</v>
      </c>
      <c r="E258">
        <v>20</v>
      </c>
      <c r="F258">
        <v>0.14492753623188401</v>
      </c>
      <c r="G258">
        <v>5</v>
      </c>
      <c r="H258" s="10">
        <v>0.35598056094506458</v>
      </c>
      <c r="I258" s="10">
        <v>0.33471473457113771</v>
      </c>
      <c r="J258" s="10">
        <v>0.39244599642629141</v>
      </c>
      <c r="K258" s="10">
        <v>2.4562658705209461</v>
      </c>
      <c r="L258" s="10">
        <v>2.30953166854085</v>
      </c>
      <c r="M258" s="10">
        <v>2.7078773753414112</v>
      </c>
      <c r="N258" s="10">
        <v>0.77822033898305087</v>
      </c>
      <c r="O258" s="10">
        <v>0.74978813559322033</v>
      </c>
      <c r="P258" s="10">
        <v>0.79923728813559325</v>
      </c>
      <c r="Q258" s="10">
        <v>0.24274611308145749</v>
      </c>
      <c r="R258" s="10">
        <v>0.16496546211531149</v>
      </c>
      <c r="S258" s="10">
        <v>0.3043438029683776</v>
      </c>
      <c r="T258" s="10">
        <v>0.4440658286717814</v>
      </c>
      <c r="U258" s="10">
        <v>0.29935934769947581</v>
      </c>
      <c r="V258" s="10">
        <v>0.53911806543385488</v>
      </c>
      <c r="W258" s="10">
        <v>0.28596599828564312</v>
      </c>
      <c r="X258" s="10">
        <v>0.23817980022197549</v>
      </c>
      <c r="Y258" s="10">
        <v>0.33243243243243242</v>
      </c>
      <c r="Z258" s="10">
        <v>0.55000000000000004</v>
      </c>
      <c r="AA258" s="10">
        <v>0.30499999999999999</v>
      </c>
      <c r="AB258" s="10">
        <v>0.79</v>
      </c>
      <c r="AC258" s="10">
        <v>0.32759757979130583</v>
      </c>
      <c r="AD258">
        <v>0.19312683029569239</v>
      </c>
      <c r="AE258">
        <v>0.4649131006322792</v>
      </c>
    </row>
    <row r="259" spans="1:31" hidden="1">
      <c r="A259" t="s">
        <v>86</v>
      </c>
      <c r="B259" t="s">
        <v>78</v>
      </c>
      <c r="C259" t="s">
        <v>76</v>
      </c>
      <c r="D259" t="s">
        <v>69</v>
      </c>
      <c r="E259">
        <v>26</v>
      </c>
      <c r="F259">
        <v>0.1884057971014492</v>
      </c>
      <c r="G259">
        <v>5</v>
      </c>
      <c r="H259" s="10">
        <v>0.60146460041274341</v>
      </c>
      <c r="I259" s="10">
        <v>0.57218942265767803</v>
      </c>
      <c r="J259" s="10">
        <v>0.65074512723749134</v>
      </c>
      <c r="K259" s="10">
        <v>3.1923890329599449</v>
      </c>
      <c r="L259" s="10">
        <v>3.03700539718306</v>
      </c>
      <c r="M259" s="10">
        <v>3.4539549061066852</v>
      </c>
      <c r="N259" s="10">
        <v>0.92067307692307676</v>
      </c>
      <c r="O259" s="10">
        <v>0.90212912087912078</v>
      </c>
      <c r="P259" s="10">
        <v>0.93554258241758237</v>
      </c>
      <c r="Q259" s="10">
        <v>0.65661629974602009</v>
      </c>
      <c r="R259" s="10">
        <v>0.58292111819823589</v>
      </c>
      <c r="S259" s="10">
        <v>0.69194990142803814</v>
      </c>
      <c r="T259" s="10">
        <v>0.83427394097384155</v>
      </c>
      <c r="U259" s="10">
        <v>0.80337307884118425</v>
      </c>
      <c r="V259" s="10">
        <v>0.87132761456064711</v>
      </c>
      <c r="W259" s="10">
        <v>0.56782842766837516</v>
      </c>
      <c r="X259" s="10">
        <v>0.46584546472564381</v>
      </c>
      <c r="Y259" s="10">
        <v>0.65853658536585358</v>
      </c>
      <c r="Z259" s="10">
        <v>0.95384615384615379</v>
      </c>
      <c r="AA259" s="10">
        <v>0.85384615384615381</v>
      </c>
      <c r="AB259" s="10">
        <v>1</v>
      </c>
      <c r="AC259" s="10">
        <v>0.4164886826848343</v>
      </c>
      <c r="AD259">
        <v>0.29622115812832639</v>
      </c>
      <c r="AE259">
        <v>0.5512608723033382</v>
      </c>
    </row>
    <row r="260" spans="1:31" hidden="1">
      <c r="A260" t="s">
        <v>86</v>
      </c>
      <c r="B260" t="s">
        <v>78</v>
      </c>
      <c r="C260" t="s">
        <v>76</v>
      </c>
      <c r="D260" t="s">
        <v>70</v>
      </c>
      <c r="E260">
        <v>7</v>
      </c>
      <c r="F260">
        <v>5.0724637681159403E-2</v>
      </c>
      <c r="G260">
        <v>5</v>
      </c>
      <c r="H260" s="10">
        <v>0.2135946012708787</v>
      </c>
      <c r="I260" s="10">
        <v>0.1698864934838473</v>
      </c>
      <c r="J260" s="10">
        <v>0.34665088992110482</v>
      </c>
      <c r="K260" s="10">
        <v>4.2108649964830374</v>
      </c>
      <c r="L260" s="10">
        <v>3.3491908715387049</v>
      </c>
      <c r="M260" s="10">
        <v>6.8339746870160667</v>
      </c>
      <c r="N260" s="10">
        <v>0.66041439476553976</v>
      </c>
      <c r="O260" s="10">
        <v>0.58756815703380583</v>
      </c>
      <c r="P260" s="10">
        <v>0.72933478735005453</v>
      </c>
      <c r="Q260" s="10">
        <v>0.16796397525179449</v>
      </c>
      <c r="R260" s="10">
        <v>3.8188042326337102E-2</v>
      </c>
      <c r="S260" s="10">
        <v>0.39241932840646049</v>
      </c>
      <c r="T260" s="10">
        <v>0.2474934703349822</v>
      </c>
      <c r="U260" s="10">
        <v>0.1620973926380368</v>
      </c>
      <c r="V260" s="10">
        <v>0.32109181141439203</v>
      </c>
      <c r="W260" s="10">
        <v>0.22744653744653739</v>
      </c>
      <c r="X260" s="10">
        <v>5.2727272727272699E-2</v>
      </c>
      <c r="Y260" s="10">
        <v>0.62499999999999989</v>
      </c>
      <c r="Z260" s="10">
        <v>0.5714285714285714</v>
      </c>
      <c r="AA260" s="10">
        <v>0.15714285714285711</v>
      </c>
      <c r="AB260" s="10">
        <v>0.98571428571428565</v>
      </c>
      <c r="AC260" s="10">
        <v>9.6126808684899895E-2</v>
      </c>
      <c r="AD260">
        <v>1.51371098631513E-2</v>
      </c>
      <c r="AE260">
        <v>0.1665593692191582</v>
      </c>
    </row>
    <row r="261" spans="1:31" hidden="1">
      <c r="A261" t="s">
        <v>86</v>
      </c>
      <c r="B261" t="s">
        <v>78</v>
      </c>
      <c r="C261" t="s">
        <v>76</v>
      </c>
      <c r="D261" t="s">
        <v>71</v>
      </c>
      <c r="E261">
        <v>9</v>
      </c>
      <c r="F261">
        <v>6.5217391304347797E-2</v>
      </c>
      <c r="G261">
        <v>5</v>
      </c>
      <c r="H261" s="10">
        <v>0.2260539895086125</v>
      </c>
      <c r="I261" s="10">
        <v>0.118283803854961</v>
      </c>
      <c r="J261" s="10">
        <v>0.33937694694533838</v>
      </c>
      <c r="K261" s="10">
        <v>3.4661611724653909</v>
      </c>
      <c r="L261" s="10">
        <v>1.8136849924427361</v>
      </c>
      <c r="M261" s="10">
        <v>5.2037798531618558</v>
      </c>
      <c r="N261" s="10">
        <v>0.63186907838070627</v>
      </c>
      <c r="O261" s="10">
        <v>0.60714900947459094</v>
      </c>
      <c r="P261" s="10">
        <v>0.65357450473729539</v>
      </c>
      <c r="Q261" s="10">
        <v>0.1994319899920492</v>
      </c>
      <c r="R261" s="10">
        <v>5.7141587593467998E-2</v>
      </c>
      <c r="S261" s="10">
        <v>0.34017809029773249</v>
      </c>
      <c r="T261" s="10">
        <v>0.30246954911251051</v>
      </c>
      <c r="U261" s="10">
        <v>0.2240396158463385</v>
      </c>
      <c r="V261" s="10">
        <v>0.34883720930232559</v>
      </c>
      <c r="W261" s="10">
        <v>0.24109021238228809</v>
      </c>
      <c r="X261" s="10">
        <v>8.1955645161290294E-2</v>
      </c>
      <c r="Y261" s="10">
        <v>0.42857142857142849</v>
      </c>
      <c r="Z261" s="10">
        <v>0.39999999999999991</v>
      </c>
      <c r="AA261" s="10">
        <v>0.33333333333333331</v>
      </c>
      <c r="AB261" s="10">
        <v>0.54444444444444451</v>
      </c>
      <c r="AC261" s="10">
        <v>0.15093050377264841</v>
      </c>
      <c r="AD261">
        <v>9.4217354153564303E-2</v>
      </c>
      <c r="AE261">
        <v>0.20495849241420461</v>
      </c>
    </row>
    <row r="262" spans="1:31" hidden="1">
      <c r="A262" t="s">
        <v>86</v>
      </c>
      <c r="B262" t="s">
        <v>78</v>
      </c>
      <c r="C262" t="s">
        <v>83</v>
      </c>
      <c r="D262" t="s">
        <v>67</v>
      </c>
      <c r="E262">
        <v>4</v>
      </c>
      <c r="F262">
        <v>2.8985507246376802E-2</v>
      </c>
      <c r="G262">
        <v>5</v>
      </c>
      <c r="H262" s="10">
        <v>9.7366712951978199E-2</v>
      </c>
      <c r="I262" s="10">
        <v>2.2096311911443199E-2</v>
      </c>
      <c r="J262" s="10">
        <v>0.25581486324506919</v>
      </c>
      <c r="K262" s="10">
        <v>3.3591515968432479</v>
      </c>
      <c r="L262" s="10">
        <v>0.76232276094479068</v>
      </c>
      <c r="M262" s="10">
        <v>8.825612781954888</v>
      </c>
      <c r="N262" s="10">
        <v>0.35149253731343288</v>
      </c>
      <c r="O262" s="10">
        <v>0.13582089552238799</v>
      </c>
      <c r="P262" s="10">
        <v>0.51156716417910453</v>
      </c>
      <c r="Q262" s="10">
        <v>1.70086224423724E-2</v>
      </c>
      <c r="R262" s="10">
        <v>-3.5727484121723198E-2</v>
      </c>
      <c r="S262" s="10">
        <v>0.1042424695977773</v>
      </c>
      <c r="T262" s="10">
        <v>6.6234117329007802E-2</v>
      </c>
      <c r="U262" s="10">
        <v>0</v>
      </c>
      <c r="V262" s="10">
        <v>0.18126520681265201</v>
      </c>
      <c r="W262" s="10">
        <v>2.4793388429752001E-2</v>
      </c>
      <c r="X262" s="10">
        <v>0</v>
      </c>
      <c r="Y262" s="10">
        <v>8.5123966942148702E-2</v>
      </c>
      <c r="Z262" s="10">
        <v>0.25</v>
      </c>
      <c r="AA262" s="10">
        <v>0</v>
      </c>
      <c r="AB262" s="10">
        <v>0.92500000000000004</v>
      </c>
      <c r="AC262" s="10">
        <v>4.9073818577225398E-2</v>
      </c>
      <c r="AD262">
        <v>1.47376637287018E-2</v>
      </c>
      <c r="AE262">
        <v>6.44303681932753E-2</v>
      </c>
    </row>
    <row r="263" spans="1:31" hidden="1">
      <c r="A263" t="s">
        <v>86</v>
      </c>
      <c r="B263" t="s">
        <v>78</v>
      </c>
      <c r="C263" t="s">
        <v>83</v>
      </c>
      <c r="D263" t="s">
        <v>68</v>
      </c>
      <c r="E263">
        <v>20</v>
      </c>
      <c r="F263">
        <v>0.14492753623188401</v>
      </c>
      <c r="G263">
        <v>5</v>
      </c>
      <c r="H263" s="10">
        <v>0.20681247865398991</v>
      </c>
      <c r="I263" s="10">
        <v>0.16560078714269089</v>
      </c>
      <c r="J263" s="10">
        <v>0.2358317829534112</v>
      </c>
      <c r="K263" s="10">
        <v>1.42700610271253</v>
      </c>
      <c r="L263" s="10">
        <v>1.1426454312845671</v>
      </c>
      <c r="M263" s="10">
        <v>1.627239302378537</v>
      </c>
      <c r="N263" s="10">
        <v>0.61745762711864405</v>
      </c>
      <c r="O263" s="10">
        <v>0.54004237288135593</v>
      </c>
      <c r="P263" s="10">
        <v>0.64938559322033895</v>
      </c>
      <c r="Q263" s="10">
        <v>0.12179554863105579</v>
      </c>
      <c r="R263" s="10">
        <v>-7.0234140229369002E-3</v>
      </c>
      <c r="S263" s="10">
        <v>0.22044004888096311</v>
      </c>
      <c r="T263" s="10">
        <v>0.4835605069277385</v>
      </c>
      <c r="U263" s="10">
        <v>0.4210367927984508</v>
      </c>
      <c r="V263" s="10">
        <v>0.53551921145153192</v>
      </c>
      <c r="W263" s="10">
        <v>0.17003458587678821</v>
      </c>
      <c r="X263" s="10">
        <v>0.1435353232338383</v>
      </c>
      <c r="Y263" s="10">
        <v>0.19594678217821779</v>
      </c>
      <c r="Z263" s="10">
        <v>0.90000000000000013</v>
      </c>
      <c r="AA263" s="10">
        <v>0.81</v>
      </c>
      <c r="AB263" s="10">
        <v>0.95</v>
      </c>
      <c r="AC263" s="10">
        <v>7.7650637382408599E-2</v>
      </c>
      <c r="AD263">
        <v>6.6594318197606098E-2</v>
      </c>
      <c r="AE263">
        <v>8.7710935657412295E-2</v>
      </c>
    </row>
    <row r="264" spans="1:31" hidden="1">
      <c r="A264" t="s">
        <v>86</v>
      </c>
      <c r="B264" t="s">
        <v>78</v>
      </c>
      <c r="C264" t="s">
        <v>83</v>
      </c>
      <c r="D264" t="s">
        <v>69</v>
      </c>
      <c r="E264">
        <v>26</v>
      </c>
      <c r="F264">
        <v>0.1884057971014492</v>
      </c>
      <c r="G264">
        <v>5</v>
      </c>
      <c r="H264" s="10">
        <v>0.66537656724938388</v>
      </c>
      <c r="I264" s="10">
        <v>0.53731856000118694</v>
      </c>
      <c r="J264" s="10">
        <v>0.75529573258212124</v>
      </c>
      <c r="K264" s="10">
        <v>3.531614087708268</v>
      </c>
      <c r="L264" s="10">
        <v>2.851921587698607</v>
      </c>
      <c r="M264" s="10">
        <v>4.0088773498589507</v>
      </c>
      <c r="N264" s="10">
        <v>0.86710164835164838</v>
      </c>
      <c r="O264" s="10">
        <v>0.83061469780219777</v>
      </c>
      <c r="P264" s="10">
        <v>0.89639423076923075</v>
      </c>
      <c r="Q264" s="10">
        <v>0.60105538392171909</v>
      </c>
      <c r="R264" s="10">
        <v>0.5364443041043907</v>
      </c>
      <c r="S264" s="10">
        <v>0.66005884394264214</v>
      </c>
      <c r="T264" s="10">
        <v>0.69256526601123602</v>
      </c>
      <c r="U264" s="10">
        <v>0.61202401164200826</v>
      </c>
      <c r="V264" s="10">
        <v>0.74921081329277384</v>
      </c>
      <c r="W264" s="10">
        <v>0.65807286415271893</v>
      </c>
      <c r="X264" s="10">
        <v>0.5357531760435571</v>
      </c>
      <c r="Y264" s="10">
        <v>0.74537037037037035</v>
      </c>
      <c r="Z264" s="10">
        <v>0.70769230769230762</v>
      </c>
      <c r="AA264" s="10">
        <v>0.58846153846153837</v>
      </c>
      <c r="AB264" s="10">
        <v>0.76923076923076927</v>
      </c>
      <c r="AC264" s="10">
        <v>0.19327308484003461</v>
      </c>
      <c r="AD264">
        <v>7.0212645576384403E-2</v>
      </c>
      <c r="AE264">
        <v>0.2639551415666419</v>
      </c>
    </row>
    <row r="265" spans="1:31" hidden="1">
      <c r="A265" t="s">
        <v>86</v>
      </c>
      <c r="B265" t="s">
        <v>78</v>
      </c>
      <c r="C265" t="s">
        <v>83</v>
      </c>
      <c r="D265" t="s">
        <v>70</v>
      </c>
      <c r="E265">
        <v>7</v>
      </c>
      <c r="F265">
        <v>5.0724637681159403E-2</v>
      </c>
      <c r="G265">
        <v>5</v>
      </c>
      <c r="H265" s="10">
        <v>6.6575183425213E-2</v>
      </c>
      <c r="I265" s="10">
        <v>4.3110598915517197E-2</v>
      </c>
      <c r="J265" s="10">
        <v>0.10921896588278079</v>
      </c>
      <c r="K265" s="10">
        <v>1.312482187525629</v>
      </c>
      <c r="L265" s="10">
        <v>0.84989466433448313</v>
      </c>
      <c r="M265" s="10">
        <v>2.1531738988319651</v>
      </c>
      <c r="N265" s="10">
        <v>0.4078516902944383</v>
      </c>
      <c r="O265" s="10">
        <v>0.36673936750272618</v>
      </c>
      <c r="P265" s="10">
        <v>0.48222464558342421</v>
      </c>
      <c r="Q265" s="10">
        <v>3.8233034010938999E-2</v>
      </c>
      <c r="R265" s="10">
        <v>1.1307198146971899E-2</v>
      </c>
      <c r="S265" s="10">
        <v>7.5149243120520307E-2</v>
      </c>
      <c r="T265" s="10">
        <v>0.21861497306950081</v>
      </c>
      <c r="U265" s="10">
        <v>0.2086267605633802</v>
      </c>
      <c r="V265" s="10">
        <v>0.237875</v>
      </c>
      <c r="W265" s="10">
        <v>5.4218708372730101E-2</v>
      </c>
      <c r="X265" s="10">
        <v>5.1736909323116198E-2</v>
      </c>
      <c r="Y265" s="10">
        <v>6.0973133395813797E-2</v>
      </c>
      <c r="Z265" s="10">
        <v>0.91428571428571437</v>
      </c>
      <c r="AA265" s="10">
        <v>0.8571428571428571</v>
      </c>
      <c r="AB265" s="10">
        <v>1</v>
      </c>
      <c r="AC265" s="10">
        <v>3.3029199894402603E-2</v>
      </c>
      <c r="AD265">
        <v>2.1874645977971698E-2</v>
      </c>
      <c r="AE265">
        <v>4.1973113260303202E-2</v>
      </c>
    </row>
    <row r="266" spans="1:31" hidden="1">
      <c r="A266" t="s">
        <v>86</v>
      </c>
      <c r="B266" t="s">
        <v>78</v>
      </c>
      <c r="C266" t="s">
        <v>83</v>
      </c>
      <c r="D266" t="s">
        <v>71</v>
      </c>
      <c r="E266">
        <v>9</v>
      </c>
      <c r="F266">
        <v>6.5217391304347797E-2</v>
      </c>
      <c r="G266">
        <v>5</v>
      </c>
      <c r="H266" s="10">
        <v>9.5106755471897897E-2</v>
      </c>
      <c r="I266" s="10">
        <v>6.5220335254415104E-2</v>
      </c>
      <c r="J266" s="10">
        <v>0.15816717030491079</v>
      </c>
      <c r="K266" s="10">
        <v>1.4583035839024341</v>
      </c>
      <c r="L266" s="10">
        <v>1.000045140567698</v>
      </c>
      <c r="M266" s="10">
        <v>2.4252299446752992</v>
      </c>
      <c r="N266" s="10">
        <v>0.47579672695951758</v>
      </c>
      <c r="O266" s="10">
        <v>0.39104220499569331</v>
      </c>
      <c r="P266" s="10">
        <v>0.61602067183462539</v>
      </c>
      <c r="Q266" s="10">
        <v>-1.8626619340924E-3</v>
      </c>
      <c r="R266" s="10">
        <v>-6.53921238639181E-2</v>
      </c>
      <c r="S266" s="10">
        <v>0.1013962841890524</v>
      </c>
      <c r="T266" s="10">
        <v>9.8456715698094999E-2</v>
      </c>
      <c r="U266" s="10">
        <v>0</v>
      </c>
      <c r="V266" s="10">
        <v>0.2829153605015674</v>
      </c>
      <c r="W266" s="10">
        <v>4.9396551724137899E-2</v>
      </c>
      <c r="X266" s="10">
        <v>0</v>
      </c>
      <c r="Y266" s="10">
        <v>0.12125</v>
      </c>
      <c r="Z266" s="10">
        <v>0.2</v>
      </c>
      <c r="AA266" s="10">
        <v>0</v>
      </c>
      <c r="AB266" s="10">
        <v>0.71111111111111103</v>
      </c>
      <c r="AC266" s="10">
        <v>8.3703005721104395E-2</v>
      </c>
      <c r="AD266">
        <v>4.8277513063838401E-2</v>
      </c>
      <c r="AE266">
        <v>0.10534786344874179</v>
      </c>
    </row>
    <row r="267" spans="1:31" hidden="1">
      <c r="A267" t="s">
        <v>86</v>
      </c>
      <c r="B267" t="s">
        <v>78</v>
      </c>
      <c r="C267" t="s">
        <v>84</v>
      </c>
      <c r="D267" t="s">
        <v>67</v>
      </c>
      <c r="E267">
        <v>4</v>
      </c>
      <c r="F267">
        <v>2.8985507246376802E-2</v>
      </c>
      <c r="G267">
        <v>5</v>
      </c>
      <c r="H267" s="10">
        <v>0.53659149370519876</v>
      </c>
      <c r="I267" s="10">
        <v>0.25149344747652791</v>
      </c>
      <c r="J267" s="10">
        <v>0.70178030303030292</v>
      </c>
      <c r="K267" s="10">
        <v>18.51240653282936</v>
      </c>
      <c r="L267" s="10">
        <v>8.6765239379402139</v>
      </c>
      <c r="M267" s="10">
        <v>24.211420454545451</v>
      </c>
      <c r="N267" s="10">
        <v>0.9003731343283583</v>
      </c>
      <c r="O267" s="10">
        <v>0.86800373134328357</v>
      </c>
      <c r="P267" s="10">
        <v>0.93983208955223885</v>
      </c>
      <c r="Q267" s="10">
        <v>0.59983910377182004</v>
      </c>
      <c r="R267" s="10">
        <v>0.31546656978471138</v>
      </c>
      <c r="S267" s="10">
        <v>0.7425373134328358</v>
      </c>
      <c r="T267" s="10">
        <v>0.6292013818329607</v>
      </c>
      <c r="U267" s="10">
        <v>0.41749644381223328</v>
      </c>
      <c r="V267" s="10">
        <v>0.75</v>
      </c>
      <c r="W267" s="10">
        <v>0.58190476190476192</v>
      </c>
      <c r="X267" s="10">
        <v>0.1885714285714285</v>
      </c>
      <c r="Y267" s="10">
        <v>0.75</v>
      </c>
      <c r="Z267" s="10">
        <v>0.7</v>
      </c>
      <c r="AA267" s="10">
        <v>0.52500000000000002</v>
      </c>
      <c r="AB267" s="10">
        <v>0.75</v>
      </c>
      <c r="AC267" s="10">
        <v>0.1675801963985121</v>
      </c>
      <c r="AD267">
        <v>3.1002334536582202E-2</v>
      </c>
      <c r="AE267">
        <v>0.25407361353072822</v>
      </c>
    </row>
    <row r="268" spans="1:31" hidden="1">
      <c r="A268" t="s">
        <v>86</v>
      </c>
      <c r="B268" t="s">
        <v>78</v>
      </c>
      <c r="C268" t="s">
        <v>84</v>
      </c>
      <c r="D268" t="s">
        <v>68</v>
      </c>
      <c r="E268">
        <v>20</v>
      </c>
      <c r="F268">
        <v>0.14492753623188401</v>
      </c>
      <c r="G268">
        <v>5</v>
      </c>
      <c r="H268" s="10">
        <v>0.28956775940810248</v>
      </c>
      <c r="I268" s="10">
        <v>0.25666238791812729</v>
      </c>
      <c r="J268" s="10">
        <v>0.33341666283803428</v>
      </c>
      <c r="K268" s="10">
        <v>1.998017539915907</v>
      </c>
      <c r="L268" s="10">
        <v>1.770970476635078</v>
      </c>
      <c r="M268" s="10">
        <v>2.300574973582437</v>
      </c>
      <c r="N268" s="10">
        <v>0.69601694915254231</v>
      </c>
      <c r="O268" s="10">
        <v>0.66576271186440672</v>
      </c>
      <c r="P268" s="10">
        <v>0.71817796610169493</v>
      </c>
      <c r="Q268" s="10">
        <v>0.26534498448963351</v>
      </c>
      <c r="R268" s="10">
        <v>0.1038231851338066</v>
      </c>
      <c r="S268" s="10">
        <v>0.32802506482443577</v>
      </c>
      <c r="T268" s="10">
        <v>0.42605596975478549</v>
      </c>
      <c r="U268" s="10">
        <v>0.22736278977610461</v>
      </c>
      <c r="V268" s="10">
        <v>0.51915199425080849</v>
      </c>
      <c r="W268" s="10">
        <v>0.32673640487002098</v>
      </c>
      <c r="X268" s="10">
        <v>0.22926829268292681</v>
      </c>
      <c r="Y268" s="10">
        <v>0.39063545150501672</v>
      </c>
      <c r="Z268" s="10">
        <v>0.47</v>
      </c>
      <c r="AA268" s="10">
        <v>0.22500000000000001</v>
      </c>
      <c r="AB268" s="10">
        <v>0.6</v>
      </c>
      <c r="AC268" s="10">
        <v>0.36018621540399048</v>
      </c>
      <c r="AD268">
        <v>0.1134825006718911</v>
      </c>
      <c r="AE268">
        <v>0.54891486505617437</v>
      </c>
    </row>
    <row r="269" spans="1:31" hidden="1">
      <c r="A269" t="s">
        <v>86</v>
      </c>
      <c r="B269" t="s">
        <v>78</v>
      </c>
      <c r="C269" t="s">
        <v>84</v>
      </c>
      <c r="D269" t="s">
        <v>69</v>
      </c>
      <c r="E269">
        <v>26</v>
      </c>
      <c r="F269">
        <v>0.1884057971014492</v>
      </c>
      <c r="G269">
        <v>5</v>
      </c>
      <c r="H269" s="10">
        <v>0.63834223610673113</v>
      </c>
      <c r="I269" s="10">
        <v>0.55400499587310703</v>
      </c>
      <c r="J269" s="10">
        <v>0.70053159380048868</v>
      </c>
      <c r="K269" s="10">
        <v>3.3881241762588039</v>
      </c>
      <c r="L269" s="10">
        <v>2.9404880550187991</v>
      </c>
      <c r="M269" s="10">
        <v>3.7182061517102869</v>
      </c>
      <c r="N269" s="10">
        <v>0.90913461538461537</v>
      </c>
      <c r="O269" s="10">
        <v>0.87592719780219785</v>
      </c>
      <c r="P269" s="10">
        <v>0.93890796703296719</v>
      </c>
      <c r="Q269" s="10">
        <v>0.57332092640077525</v>
      </c>
      <c r="R269" s="10">
        <v>0.41495647313583328</v>
      </c>
      <c r="S269" s="10">
        <v>0.64191630990510318</v>
      </c>
      <c r="T269" s="10">
        <v>0.7635614679783036</v>
      </c>
      <c r="U269" s="10">
        <v>0.61160737073145832</v>
      </c>
      <c r="V269" s="10">
        <v>0.84048560135516648</v>
      </c>
      <c r="W269" s="10">
        <v>0.51634695129431962</v>
      </c>
      <c r="X269" s="10">
        <v>0.43792172739541158</v>
      </c>
      <c r="Y269" s="10">
        <v>0.6260606060606061</v>
      </c>
      <c r="Z269" s="10">
        <v>0.87692307692307681</v>
      </c>
      <c r="AA269" s="10">
        <v>0.6692307692307693</v>
      </c>
      <c r="AB269" s="10">
        <v>1</v>
      </c>
      <c r="AC269" s="10">
        <v>0.16503976365680531</v>
      </c>
      <c r="AD269">
        <v>2.38135643830364E-2</v>
      </c>
      <c r="AE269">
        <v>0.3573564371049559</v>
      </c>
    </row>
    <row r="270" spans="1:31" hidden="1">
      <c r="A270" t="s">
        <v>86</v>
      </c>
      <c r="B270" t="s">
        <v>78</v>
      </c>
      <c r="C270" t="s">
        <v>84</v>
      </c>
      <c r="D270" t="s">
        <v>70</v>
      </c>
      <c r="E270">
        <v>7</v>
      </c>
      <c r="F270">
        <v>5.0724637681159403E-2</v>
      </c>
      <c r="G270">
        <v>5</v>
      </c>
      <c r="H270" s="10">
        <v>9.5524986816998003E-2</v>
      </c>
      <c r="I270" s="10">
        <v>5.1843561947011098E-2</v>
      </c>
      <c r="J270" s="10">
        <v>0.1538564425791871</v>
      </c>
      <c r="K270" s="10">
        <v>1.8832068829636761</v>
      </c>
      <c r="L270" s="10">
        <v>1.0220587926696489</v>
      </c>
      <c r="M270" s="10">
        <v>3.033169867989689</v>
      </c>
      <c r="N270" s="10">
        <v>0.58386041439476555</v>
      </c>
      <c r="O270" s="10">
        <v>0.45768811341330418</v>
      </c>
      <c r="P270" s="10">
        <v>0.70970556161395859</v>
      </c>
      <c r="Q270" s="10">
        <v>1.7039340308251001E-2</v>
      </c>
      <c r="R270" s="10">
        <v>-0.1113815372483364</v>
      </c>
      <c r="S270" s="10">
        <v>0.118155012974286</v>
      </c>
      <c r="T270" s="10">
        <v>0.18273850672353251</v>
      </c>
      <c r="U270" s="10">
        <v>2.0689655172413699E-2</v>
      </c>
      <c r="V270" s="10">
        <v>0.26931136028995351</v>
      </c>
      <c r="W270" s="10">
        <v>4.6882622628891202E-2</v>
      </c>
      <c r="X270" s="10">
        <v>5.1282051282050996E-3</v>
      </c>
      <c r="Y270" s="10">
        <v>7.2348484848484801E-2</v>
      </c>
      <c r="Z270" s="10">
        <v>0.68571428571428572</v>
      </c>
      <c r="AA270" s="10">
        <v>7.1428571428571397E-2</v>
      </c>
      <c r="AB270" s="10">
        <v>0.98571428571428565</v>
      </c>
      <c r="AC270" s="10">
        <v>9.7112385948098998E-3</v>
      </c>
      <c r="AD270">
        <v>3.3681967392933001E-3</v>
      </c>
      <c r="AE270">
        <v>2.55266827282205E-2</v>
      </c>
    </row>
    <row r="271" spans="1:31" hidden="1">
      <c r="A271" t="s">
        <v>86</v>
      </c>
      <c r="B271" t="s">
        <v>78</v>
      </c>
      <c r="C271" t="s">
        <v>84</v>
      </c>
      <c r="D271" t="s">
        <v>71</v>
      </c>
      <c r="E271">
        <v>9</v>
      </c>
      <c r="F271">
        <v>6.5217391304347797E-2</v>
      </c>
      <c r="G271">
        <v>5</v>
      </c>
      <c r="H271" s="10">
        <v>0.28386696660446481</v>
      </c>
      <c r="I271" s="10">
        <v>0.25342939246405249</v>
      </c>
      <c r="J271" s="10">
        <v>0.31991024018493891</v>
      </c>
      <c r="K271" s="10">
        <v>4.3526268212684611</v>
      </c>
      <c r="L271" s="10">
        <v>3.8859173511154719</v>
      </c>
      <c r="M271" s="10">
        <v>4.9052903495023967</v>
      </c>
      <c r="N271" s="10">
        <v>0.72075796726959518</v>
      </c>
      <c r="O271" s="10">
        <v>0.60895779500430669</v>
      </c>
      <c r="P271" s="10">
        <v>0.83023255813953489</v>
      </c>
      <c r="Q271" s="10">
        <v>0.20816679944749111</v>
      </c>
      <c r="R271" s="10">
        <v>0.13026905463752211</v>
      </c>
      <c r="S271" s="10">
        <v>0.28271697045882588</v>
      </c>
      <c r="T271" s="10">
        <v>0.26619362327183083</v>
      </c>
      <c r="U271" s="10">
        <v>0.13377659574468079</v>
      </c>
      <c r="V271" s="10">
        <v>0.3886554621848739</v>
      </c>
      <c r="W271" s="10">
        <v>0.2596969696969697</v>
      </c>
      <c r="X271" s="10">
        <v>0.1836363636363636</v>
      </c>
      <c r="Y271" s="10">
        <v>0.3866666666666666</v>
      </c>
      <c r="Z271" s="10">
        <v>0.28888888888888892</v>
      </c>
      <c r="AA271" s="10">
        <v>0.1222222222222222</v>
      </c>
      <c r="AB271" s="10">
        <v>0.44444444444444442</v>
      </c>
      <c r="AC271" s="10">
        <v>0.2071854349484096</v>
      </c>
      <c r="AD271">
        <v>5.5679090034647202E-2</v>
      </c>
      <c r="AE271">
        <v>0.44428833933856021</v>
      </c>
    </row>
    <row r="272" spans="1:31">
      <c r="A272" t="s">
        <v>88</v>
      </c>
      <c r="B272" t="s">
        <v>77</v>
      </c>
      <c r="C272" t="s">
        <v>80</v>
      </c>
      <c r="D272" t="s">
        <v>67</v>
      </c>
      <c r="E272">
        <v>4</v>
      </c>
      <c r="F272">
        <v>2.8571428571428501E-2</v>
      </c>
      <c r="G272">
        <v>5</v>
      </c>
      <c r="H272" s="10">
        <v>0.31477276309942581</v>
      </c>
      <c r="I272" s="10">
        <v>0.29401765433352473</v>
      </c>
      <c r="J272" s="10">
        <v>0.34596921003524778</v>
      </c>
      <c r="K272" s="10">
        <v>11.017046708479899</v>
      </c>
      <c r="L272" s="10">
        <v>10.29061790167337</v>
      </c>
      <c r="M272" s="10">
        <v>12.108922351233669</v>
      </c>
      <c r="N272" s="10">
        <v>0.76286764705882359</v>
      </c>
      <c r="O272" s="10">
        <v>0.63878676470588236</v>
      </c>
      <c r="P272" s="10">
        <v>0.8463235294117647</v>
      </c>
      <c r="Q272" s="10">
        <v>0.23061452978378821</v>
      </c>
      <c r="R272" s="10">
        <v>1.53911861536511E-2</v>
      </c>
      <c r="S272" s="10">
        <v>0.46886030020007191</v>
      </c>
      <c r="T272" s="10">
        <v>0.241669849758085</v>
      </c>
      <c r="U272" s="10">
        <v>0.12608225108225099</v>
      </c>
      <c r="V272" s="10">
        <v>0.3106617647058823</v>
      </c>
      <c r="W272" s="10">
        <v>0.31222222222222218</v>
      </c>
      <c r="X272" s="10">
        <v>3.3333333333333298E-2</v>
      </c>
      <c r="Y272" s="10">
        <v>0.92500000000000004</v>
      </c>
      <c r="Z272" s="10">
        <v>0.45</v>
      </c>
      <c r="AA272" s="10">
        <v>0.25</v>
      </c>
      <c r="AB272" s="10">
        <v>0.95</v>
      </c>
      <c r="AC272" s="10">
        <v>0.46848919232573882</v>
      </c>
      <c r="AD272">
        <v>1.11148609343981E-2</v>
      </c>
      <c r="AE272">
        <v>0.99693301011636604</v>
      </c>
    </row>
    <row r="273" spans="1:31">
      <c r="A273" t="s">
        <v>87</v>
      </c>
      <c r="B273" t="s">
        <v>65</v>
      </c>
      <c r="C273" t="s">
        <v>80</v>
      </c>
      <c r="D273" t="s">
        <v>68</v>
      </c>
      <c r="E273">
        <v>20</v>
      </c>
      <c r="F273">
        <v>0.14492753623188401</v>
      </c>
      <c r="G273">
        <v>5</v>
      </c>
      <c r="H273" s="10">
        <v>0.18613009688754739</v>
      </c>
      <c r="I273" s="10">
        <v>0.13516774230872469</v>
      </c>
      <c r="J273" s="10">
        <v>0.24960935518339439</v>
      </c>
      <c r="K273" s="10">
        <v>1.284297668524077</v>
      </c>
      <c r="L273" s="10">
        <v>0.9326574219302004</v>
      </c>
      <c r="M273" s="10">
        <v>1.7223045507654211</v>
      </c>
      <c r="N273" s="10">
        <v>0.56457627118644071</v>
      </c>
      <c r="O273" s="10">
        <v>0.45173728813559327</v>
      </c>
      <c r="P273" s="10">
        <v>0.63487288135593223</v>
      </c>
      <c r="Q273" s="10">
        <v>8.0044346343949302E-2</v>
      </c>
      <c r="R273" s="10">
        <v>-8.0314433873625399E-2</v>
      </c>
      <c r="S273" s="10">
        <v>0.14987414764449999</v>
      </c>
      <c r="T273" s="10">
        <v>0.40229711447044891</v>
      </c>
      <c r="U273" s="10">
        <v>0.23382011284434109</v>
      </c>
      <c r="V273" s="10">
        <v>0.49666358690072882</v>
      </c>
      <c r="W273" s="10">
        <v>0.16201407855345121</v>
      </c>
      <c r="X273" s="10">
        <v>0.10923248053392649</v>
      </c>
      <c r="Y273" s="10">
        <v>0.1942788074133763</v>
      </c>
      <c r="Z273" s="10">
        <v>0.67999999999999994</v>
      </c>
      <c r="AA273" s="10">
        <v>0.32</v>
      </c>
      <c r="AB273" s="10">
        <v>0.995</v>
      </c>
      <c r="AC273" s="10">
        <v>0.14900851085785771</v>
      </c>
      <c r="AD273">
        <v>9.8847930424630004E-4</v>
      </c>
      <c r="AE273">
        <v>0.3436807065492043</v>
      </c>
    </row>
    <row r="274" spans="1:31">
      <c r="A274" t="s">
        <v>87</v>
      </c>
      <c r="B274" t="s">
        <v>65</v>
      </c>
      <c r="C274" t="s">
        <v>80</v>
      </c>
      <c r="D274" t="s">
        <v>69</v>
      </c>
      <c r="E274">
        <v>26</v>
      </c>
      <c r="F274">
        <v>0.1884057971014492</v>
      </c>
      <c r="G274">
        <v>5</v>
      </c>
      <c r="H274" s="10">
        <v>0.39241301746114721</v>
      </c>
      <c r="I274" s="10">
        <v>0.34258463519183507</v>
      </c>
      <c r="J274" s="10">
        <v>0.4666068535863287</v>
      </c>
      <c r="K274" s="10">
        <v>2.082807554216858</v>
      </c>
      <c r="L274" s="10">
        <v>1.8183338329412779</v>
      </c>
      <c r="M274" s="10">
        <v>2.4766056074966678</v>
      </c>
      <c r="N274" s="10">
        <v>0.79409340659340655</v>
      </c>
      <c r="O274" s="10">
        <v>0.76208791208791216</v>
      </c>
      <c r="P274" s="10">
        <v>0.82692307692307698</v>
      </c>
      <c r="Q274" s="10">
        <v>0.40970534549269338</v>
      </c>
      <c r="R274" s="10">
        <v>0.29360452060044279</v>
      </c>
      <c r="S274" s="10">
        <v>0.52231162655524999</v>
      </c>
      <c r="T274" s="10">
        <v>0.61463161148808254</v>
      </c>
      <c r="U274" s="10">
        <v>0.46467338631517741</v>
      </c>
      <c r="V274" s="10">
        <v>0.71369384040616912</v>
      </c>
      <c r="W274" s="10">
        <v>0.43260256410256409</v>
      </c>
      <c r="X274" s="10">
        <v>0.38158333333333327</v>
      </c>
      <c r="Y274" s="10">
        <v>0.49871794871794872</v>
      </c>
      <c r="Z274" s="10">
        <v>0.69230769230769229</v>
      </c>
      <c r="AA274" s="10">
        <v>0.4884615384615385</v>
      </c>
      <c r="AB274" s="10">
        <v>0.8</v>
      </c>
      <c r="AC274" s="10">
        <v>0.5740083142760064</v>
      </c>
      <c r="AD274">
        <v>0.2822737146956919</v>
      </c>
      <c r="AE274">
        <v>0.73675370614367475</v>
      </c>
    </row>
    <row r="275" spans="1:31">
      <c r="A275" t="s">
        <v>87</v>
      </c>
      <c r="B275" t="s">
        <v>65</v>
      </c>
      <c r="C275" t="s">
        <v>80</v>
      </c>
      <c r="D275" t="s">
        <v>70</v>
      </c>
      <c r="E275">
        <v>7</v>
      </c>
      <c r="F275">
        <v>5.0724637681159403E-2</v>
      </c>
      <c r="G275">
        <v>5</v>
      </c>
      <c r="H275" s="10">
        <v>0.14743244136283509</v>
      </c>
      <c r="I275" s="10">
        <v>0.1307456765070005</v>
      </c>
      <c r="J275" s="10">
        <v>0.18470159808395101</v>
      </c>
      <c r="K275" s="10">
        <v>2.9065252725816069</v>
      </c>
      <c r="L275" s="10">
        <v>2.5775576225665819</v>
      </c>
      <c r="M275" s="10">
        <v>3.641260076512177</v>
      </c>
      <c r="N275" s="10">
        <v>0.75943293347873497</v>
      </c>
      <c r="O275" s="10">
        <v>0.68058887677208291</v>
      </c>
      <c r="P275" s="10">
        <v>0.83642311886586695</v>
      </c>
      <c r="Q275" s="10">
        <v>0.208366845627805</v>
      </c>
      <c r="R275" s="10">
        <v>0.1217986564915266</v>
      </c>
      <c r="S275" s="10">
        <v>0.25622455480377349</v>
      </c>
      <c r="T275" s="10">
        <v>0.35505463761257677</v>
      </c>
      <c r="U275" s="10">
        <v>0.27018805309734512</v>
      </c>
      <c r="V275" s="10">
        <v>0.40853499869893312</v>
      </c>
      <c r="W275" s="10">
        <v>0.1307698837110601</v>
      </c>
      <c r="X275" s="10">
        <v>7.7418300653594702E-2</v>
      </c>
      <c r="Y275" s="10">
        <v>0.15136363636363631</v>
      </c>
      <c r="Z275" s="10">
        <v>0.68571428571428572</v>
      </c>
      <c r="AA275" s="10">
        <v>0.45714285714285707</v>
      </c>
      <c r="AB275" s="10">
        <v>0.84285714285714275</v>
      </c>
      <c r="AC275" s="10">
        <v>7.2644592569433994E-2</v>
      </c>
      <c r="AD275">
        <v>6.8076176262308998E-3</v>
      </c>
      <c r="AE275">
        <v>0.1176668786442483</v>
      </c>
    </row>
    <row r="276" spans="1:31">
      <c r="A276" t="s">
        <v>87</v>
      </c>
      <c r="B276" t="s">
        <v>65</v>
      </c>
      <c r="C276" t="s">
        <v>80</v>
      </c>
      <c r="D276" t="s">
        <v>71</v>
      </c>
      <c r="E276">
        <v>9</v>
      </c>
      <c r="F276">
        <v>6.5217391304347797E-2</v>
      </c>
      <c r="G276">
        <v>5</v>
      </c>
      <c r="H276" s="10">
        <v>0.1227899070584815</v>
      </c>
      <c r="I276" s="10">
        <v>6.0669759225671603E-2</v>
      </c>
      <c r="J276" s="10">
        <v>0.20226054048200659</v>
      </c>
      <c r="K276" s="10">
        <v>1.882778574896717</v>
      </c>
      <c r="L276" s="10">
        <v>0.93026964146029856</v>
      </c>
      <c r="M276" s="10">
        <v>3.101328287390769</v>
      </c>
      <c r="N276" s="10">
        <v>0.48182601205857017</v>
      </c>
      <c r="O276" s="10">
        <v>0.39672695951765707</v>
      </c>
      <c r="P276" s="10">
        <v>0.59793281653746777</v>
      </c>
      <c r="Q276" s="10">
        <v>7.4205620159723002E-3</v>
      </c>
      <c r="R276" s="10">
        <v>-0.15572635312716959</v>
      </c>
      <c r="S276" s="10">
        <v>0.12649322808469241</v>
      </c>
      <c r="T276" s="10">
        <v>0.18526165090607691</v>
      </c>
      <c r="U276" s="10">
        <v>1.7543859649122799E-2</v>
      </c>
      <c r="V276" s="10">
        <v>0.27434728553667631</v>
      </c>
      <c r="W276" s="10">
        <v>7.3856376181957506E-2</v>
      </c>
      <c r="X276" s="10">
        <v>5.4263565891472E-3</v>
      </c>
      <c r="Y276" s="10">
        <v>0.13809523809523799</v>
      </c>
      <c r="Z276" s="10">
        <v>0.42222222222222222</v>
      </c>
      <c r="AA276" s="10">
        <v>2.2222222222222199E-2</v>
      </c>
      <c r="AB276" s="10">
        <v>0.77777777777777779</v>
      </c>
      <c r="AC276" s="10">
        <v>0.37171769235553431</v>
      </c>
      <c r="AD276">
        <v>4.7818469645390002E-4</v>
      </c>
      <c r="AE276">
        <v>0.95578279454645643</v>
      </c>
    </row>
    <row r="277" spans="1:31" hidden="1">
      <c r="A277" t="s">
        <v>87</v>
      </c>
      <c r="B277" t="s">
        <v>65</v>
      </c>
      <c r="C277" t="s">
        <v>81</v>
      </c>
      <c r="D277" t="s">
        <v>67</v>
      </c>
      <c r="E277">
        <v>4</v>
      </c>
      <c r="F277">
        <v>2.8985507246376802E-2</v>
      </c>
      <c r="G277">
        <v>5</v>
      </c>
      <c r="H277" s="10">
        <v>0.2016347481021393</v>
      </c>
      <c r="I277" s="10">
        <v>7.7324016563146997E-2</v>
      </c>
      <c r="J277" s="10">
        <v>0.37165760869565218</v>
      </c>
      <c r="K277" s="10">
        <v>6.9563988095238098</v>
      </c>
      <c r="L277" s="10">
        <v>2.667678571428572</v>
      </c>
      <c r="M277" s="10">
        <v>12.8221875</v>
      </c>
      <c r="N277" s="10">
        <v>0.74944029850746274</v>
      </c>
      <c r="O277" s="10">
        <v>0.60923507462686566</v>
      </c>
      <c r="P277" s="10">
        <v>0.94850746268656716</v>
      </c>
      <c r="Q277" s="10">
        <v>0.1119701452746928</v>
      </c>
      <c r="R277" s="10">
        <v>0</v>
      </c>
      <c r="S277" s="10">
        <v>0.5038656537361178</v>
      </c>
      <c r="T277" s="10">
        <v>0.2467532467532467</v>
      </c>
      <c r="U277" s="10">
        <v>0.1298701298701298</v>
      </c>
      <c r="V277" s="10">
        <v>0.65584415584415579</v>
      </c>
      <c r="W277" s="10">
        <v>8.9855072463768101E-2</v>
      </c>
      <c r="X277" s="10">
        <v>2.8985507246376802E-2</v>
      </c>
      <c r="Y277" s="10">
        <v>0.30289855072463762</v>
      </c>
      <c r="Z277" s="10">
        <v>1</v>
      </c>
      <c r="AA277" s="10">
        <v>1</v>
      </c>
      <c r="AB277" s="10">
        <v>1</v>
      </c>
      <c r="AC277" s="10">
        <v>3.5729741294171301E-2</v>
      </c>
      <c r="AD277">
        <v>0</v>
      </c>
      <c r="AE277">
        <v>0.16078383582377101</v>
      </c>
    </row>
    <row r="278" spans="1:31" hidden="1">
      <c r="A278" t="s">
        <v>87</v>
      </c>
      <c r="B278" t="s">
        <v>65</v>
      </c>
      <c r="C278" t="s">
        <v>81</v>
      </c>
      <c r="D278" t="s">
        <v>68</v>
      </c>
      <c r="E278">
        <v>20</v>
      </c>
      <c r="F278">
        <v>0.14492753623188401</v>
      </c>
      <c r="G278">
        <v>5</v>
      </c>
      <c r="H278" s="10">
        <v>0.25684585724145081</v>
      </c>
      <c r="I278" s="10">
        <v>0.190488541768077</v>
      </c>
      <c r="J278" s="10">
        <v>0.3163153899339074</v>
      </c>
      <c r="K278" s="10">
        <v>1.772236414966011</v>
      </c>
      <c r="L278" s="10">
        <v>1.3143709381997311</v>
      </c>
      <c r="M278" s="10">
        <v>2.1825761905439611</v>
      </c>
      <c r="N278" s="10">
        <v>0.62343220338983052</v>
      </c>
      <c r="O278" s="10">
        <v>0.54506355932203387</v>
      </c>
      <c r="P278" s="10">
        <v>0.68728813559322033</v>
      </c>
      <c r="Q278" s="10">
        <v>0.1220736488764589</v>
      </c>
      <c r="R278" s="10">
        <v>1.7357548249301701E-2</v>
      </c>
      <c r="S278" s="10">
        <v>0.17216185479643939</v>
      </c>
      <c r="T278" s="10">
        <v>0.28854000370325422</v>
      </c>
      <c r="U278" s="10">
        <v>0.1306928294573643</v>
      </c>
      <c r="V278" s="10">
        <v>0.40801886792452829</v>
      </c>
      <c r="W278" s="10">
        <v>0.25482870954182429</v>
      </c>
      <c r="X278" s="10">
        <v>0.15394073139974779</v>
      </c>
      <c r="Y278" s="10">
        <v>0.33124999999999999</v>
      </c>
      <c r="Z278" s="10">
        <v>0.34</v>
      </c>
      <c r="AA278" s="10">
        <v>0.115</v>
      </c>
      <c r="AB278" s="10">
        <v>0.54</v>
      </c>
      <c r="AC278" s="10">
        <v>0.332413233480927</v>
      </c>
      <c r="AD278">
        <v>5.6090579580585699E-2</v>
      </c>
      <c r="AE278">
        <v>0.64867302117933634</v>
      </c>
    </row>
    <row r="279" spans="1:31" hidden="1">
      <c r="A279" t="s">
        <v>87</v>
      </c>
      <c r="B279" t="s">
        <v>65</v>
      </c>
      <c r="C279" t="s">
        <v>81</v>
      </c>
      <c r="D279" t="s">
        <v>69</v>
      </c>
      <c r="E279">
        <v>26</v>
      </c>
      <c r="F279">
        <v>0.1884057971014492</v>
      </c>
      <c r="G279">
        <v>5</v>
      </c>
      <c r="H279" s="10">
        <v>0.5202118228188608</v>
      </c>
      <c r="I279" s="10">
        <v>0.4298294185446484</v>
      </c>
      <c r="J279" s="10">
        <v>0.58508776046580924</v>
      </c>
      <c r="K279" s="10">
        <v>2.7611242903462609</v>
      </c>
      <c r="L279" s="10">
        <v>2.2814022984292879</v>
      </c>
      <c r="M279" s="10">
        <v>3.105465805549295</v>
      </c>
      <c r="N279" s="10">
        <v>0.81644917582417587</v>
      </c>
      <c r="O279" s="10">
        <v>0.76349587912087924</v>
      </c>
      <c r="P279" s="10">
        <v>0.8508585164835164</v>
      </c>
      <c r="Q279" s="10">
        <v>0.3887737613886873</v>
      </c>
      <c r="R279" s="10">
        <v>0.31717628666404352</v>
      </c>
      <c r="S279" s="10">
        <v>0.48791201125085371</v>
      </c>
      <c r="T279" s="10">
        <v>0.50980758096561485</v>
      </c>
      <c r="U279" s="10">
        <v>0.4047154471544715</v>
      </c>
      <c r="V279" s="10">
        <v>0.67503748125937035</v>
      </c>
      <c r="W279" s="10">
        <v>0.49682383864970892</v>
      </c>
      <c r="X279" s="10">
        <v>0.4446778711484593</v>
      </c>
      <c r="Y279" s="10">
        <v>0.57105263157894737</v>
      </c>
      <c r="Z279" s="10">
        <v>0.52307692307692322</v>
      </c>
      <c r="AA279" s="10">
        <v>0.38846153846153841</v>
      </c>
      <c r="AB279" s="10">
        <v>0.75</v>
      </c>
      <c r="AC279" s="10">
        <v>0.37789173073030791</v>
      </c>
      <c r="AD279">
        <v>0.2080634005694213</v>
      </c>
      <c r="AE279">
        <v>0.48746692141359321</v>
      </c>
    </row>
    <row r="280" spans="1:31" hidden="1">
      <c r="A280" t="s">
        <v>87</v>
      </c>
      <c r="B280" t="s">
        <v>65</v>
      </c>
      <c r="C280" t="s">
        <v>81</v>
      </c>
      <c r="D280" t="s">
        <v>70</v>
      </c>
      <c r="E280">
        <v>7</v>
      </c>
      <c r="F280">
        <v>5.0724637681159403E-2</v>
      </c>
      <c r="G280">
        <v>5</v>
      </c>
      <c r="H280" s="10">
        <v>8.4002371496891007E-2</v>
      </c>
      <c r="I280" s="10">
        <v>6.6349266675353596E-2</v>
      </c>
      <c r="J280" s="10">
        <v>9.7804842672855094E-2</v>
      </c>
      <c r="K280" s="10">
        <v>1.6560467523672799</v>
      </c>
      <c r="L280" s="10">
        <v>1.308028400171257</v>
      </c>
      <c r="M280" s="10">
        <v>1.928152612693429</v>
      </c>
      <c r="N280" s="10">
        <v>0.60850599781897496</v>
      </c>
      <c r="O280" s="10">
        <v>0.56172300981461287</v>
      </c>
      <c r="P280" s="10">
        <v>0.64623773173391508</v>
      </c>
      <c r="Q280" s="10">
        <v>5.75198836155442E-2</v>
      </c>
      <c r="R280" s="10">
        <v>0</v>
      </c>
      <c r="S280" s="10">
        <v>0.18488095384678141</v>
      </c>
      <c r="T280" s="10">
        <v>0.2320024779970947</v>
      </c>
      <c r="U280" s="10">
        <v>0.2085843373493976</v>
      </c>
      <c r="V280" s="10">
        <v>0.30831837990258909</v>
      </c>
      <c r="W280" s="10">
        <v>8.2013729977116701E-2</v>
      </c>
      <c r="X280" s="10">
        <v>5.0724637681159403E-2</v>
      </c>
      <c r="Y280" s="10">
        <v>0.15210526315789469</v>
      </c>
      <c r="Z280" s="10">
        <v>0.74285714285714277</v>
      </c>
      <c r="AA280" s="10">
        <v>0.3</v>
      </c>
      <c r="AB280" s="10">
        <v>1</v>
      </c>
      <c r="AC280" s="10">
        <v>7.3594203979384501E-2</v>
      </c>
      <c r="AD280">
        <v>0</v>
      </c>
      <c r="AE280">
        <v>0.18568181760829841</v>
      </c>
    </row>
    <row r="281" spans="1:31" hidden="1">
      <c r="A281" t="s">
        <v>87</v>
      </c>
      <c r="B281" t="s">
        <v>65</v>
      </c>
      <c r="C281" t="s">
        <v>81</v>
      </c>
      <c r="D281" t="s">
        <v>71</v>
      </c>
      <c r="E281">
        <v>9</v>
      </c>
      <c r="F281">
        <v>6.5217391304347797E-2</v>
      </c>
      <c r="G281">
        <v>5</v>
      </c>
      <c r="H281" s="10">
        <v>9.3745340179696504E-2</v>
      </c>
      <c r="I281" s="10">
        <v>6.6484165324745007E-2</v>
      </c>
      <c r="J281" s="10">
        <v>0.12662808206286469</v>
      </c>
      <c r="K281" s="10">
        <v>1.437428549422014</v>
      </c>
      <c r="L281" s="10">
        <v>1.019423868312757</v>
      </c>
      <c r="M281" s="10">
        <v>1.941630591630592</v>
      </c>
      <c r="N281" s="10">
        <v>0.55848406546080964</v>
      </c>
      <c r="O281" s="10">
        <v>0.43850129198966409</v>
      </c>
      <c r="P281" s="10">
        <v>0.64246339362618432</v>
      </c>
      <c r="Q281" s="10">
        <v>4.11589164817735E-2</v>
      </c>
      <c r="R281" s="10">
        <v>-5.4951845355787503E-2</v>
      </c>
      <c r="S281" s="10">
        <v>0.13977770020296079</v>
      </c>
      <c r="T281" s="10">
        <v>0.208743842364532</v>
      </c>
      <c r="U281" s="10">
        <v>2.5862068965517199E-2</v>
      </c>
      <c r="V281" s="10">
        <v>0.26693349753694579</v>
      </c>
      <c r="W281" s="10">
        <v>8.3359683794466399E-2</v>
      </c>
      <c r="X281" s="10">
        <v>6.5217391304346999E-3</v>
      </c>
      <c r="Y281" s="10">
        <v>0.14863636363636359</v>
      </c>
      <c r="Z281" s="10">
        <v>0.53333333333333333</v>
      </c>
      <c r="AA281" s="10">
        <v>3.3333333333333298E-2</v>
      </c>
      <c r="AB281" s="10">
        <v>1</v>
      </c>
      <c r="AC281" s="10">
        <v>0.10394078415253449</v>
      </c>
      <c r="AD281">
        <v>0</v>
      </c>
      <c r="AE281">
        <v>0.2001388381501443</v>
      </c>
    </row>
    <row r="282" spans="1:31" hidden="1">
      <c r="A282" t="s">
        <v>87</v>
      </c>
      <c r="B282" t="s">
        <v>65</v>
      </c>
      <c r="C282" t="s">
        <v>82</v>
      </c>
      <c r="D282" t="s">
        <v>67</v>
      </c>
      <c r="E282">
        <v>4</v>
      </c>
      <c r="F282">
        <v>2.8985507246376802E-2</v>
      </c>
      <c r="G282">
        <v>5</v>
      </c>
      <c r="H282" s="10">
        <v>4.0209095478404101E-2</v>
      </c>
      <c r="I282" s="10">
        <v>2.4838328704778399E-2</v>
      </c>
      <c r="J282" s="10">
        <v>6.6353146010406996E-2</v>
      </c>
      <c r="K282" s="10">
        <v>1.387213794004942</v>
      </c>
      <c r="L282" s="10">
        <v>0.85692234031485759</v>
      </c>
      <c r="M282" s="10">
        <v>2.2891835373590421</v>
      </c>
      <c r="N282" s="10">
        <v>0.39850746268656712</v>
      </c>
      <c r="O282" s="10">
        <v>0.30671641791044768</v>
      </c>
      <c r="P282" s="10">
        <v>0.52164179104477615</v>
      </c>
      <c r="Q282" s="10">
        <v>-2.71795294025956E-2</v>
      </c>
      <c r="R282" s="10">
        <v>-0.120207207472844</v>
      </c>
      <c r="S282" s="10">
        <v>9.6357877995652902E-2</v>
      </c>
      <c r="T282" s="10">
        <v>3.5087719298245598E-2</v>
      </c>
      <c r="U282" s="10">
        <v>0</v>
      </c>
      <c r="V282" s="10">
        <v>0.1578947368421052</v>
      </c>
      <c r="W282" s="10">
        <v>8.1632653061223994E-3</v>
      </c>
      <c r="X282" s="10">
        <v>0</v>
      </c>
      <c r="Y282" s="10">
        <v>3.6734693877551003E-2</v>
      </c>
      <c r="Z282" s="10">
        <v>0.2</v>
      </c>
      <c r="AA282" s="10">
        <v>0</v>
      </c>
      <c r="AB282" s="10">
        <v>0.89999999999999991</v>
      </c>
      <c r="AC282" s="10">
        <v>0.46238134595732028</v>
      </c>
      <c r="AD282">
        <v>0.27248860056537411</v>
      </c>
      <c r="AE282">
        <v>0.63698079550409648</v>
      </c>
    </row>
    <row r="283" spans="1:31" hidden="1">
      <c r="A283" t="s">
        <v>87</v>
      </c>
      <c r="B283" t="s">
        <v>65</v>
      </c>
      <c r="C283" t="s">
        <v>82</v>
      </c>
      <c r="D283" t="s">
        <v>68</v>
      </c>
      <c r="E283">
        <v>20</v>
      </c>
      <c r="F283">
        <v>0.14492753623188401</v>
      </c>
      <c r="G283">
        <v>5</v>
      </c>
      <c r="H283" s="10">
        <v>0.24371628368292009</v>
      </c>
      <c r="I283" s="10">
        <v>0.19702154604041869</v>
      </c>
      <c r="J283" s="10">
        <v>0.2694361089059637</v>
      </c>
      <c r="K283" s="10">
        <v>1.6816423574121491</v>
      </c>
      <c r="L283" s="10">
        <v>1.3594486676788891</v>
      </c>
      <c r="M283" s="10">
        <v>1.85910915145115</v>
      </c>
      <c r="N283" s="10">
        <v>0.64728813559322029</v>
      </c>
      <c r="O283" s="10">
        <v>0.57453389830508472</v>
      </c>
      <c r="P283" s="10">
        <v>0.70216101694915256</v>
      </c>
      <c r="Q283" s="10">
        <v>0.2048594308812649</v>
      </c>
      <c r="R283" s="10">
        <v>6.3269790219489697E-2</v>
      </c>
      <c r="S283" s="10">
        <v>0.3035621501718776</v>
      </c>
      <c r="T283" s="10">
        <v>0.38077039082095088</v>
      </c>
      <c r="U283" s="10">
        <v>0.1411235955056179</v>
      </c>
      <c r="V283" s="10">
        <v>0.46578782172002509</v>
      </c>
      <c r="W283" s="10">
        <v>0.28817635486565879</v>
      </c>
      <c r="X283" s="10">
        <v>0.17706093189964159</v>
      </c>
      <c r="Y283" s="10">
        <v>0.39571428571428569</v>
      </c>
      <c r="Z283" s="10">
        <v>0.47</v>
      </c>
      <c r="AA283" s="10">
        <v>0.13</v>
      </c>
      <c r="AB283" s="10">
        <v>0.77500000000000002</v>
      </c>
      <c r="AC283" s="10">
        <v>0.54100762756424481</v>
      </c>
      <c r="AD283">
        <v>0.36482855524855901</v>
      </c>
      <c r="AE283">
        <v>0.6122143741229118</v>
      </c>
    </row>
    <row r="284" spans="1:31" hidden="1">
      <c r="A284" t="s">
        <v>87</v>
      </c>
      <c r="B284" t="s">
        <v>65</v>
      </c>
      <c r="C284" t="s">
        <v>82</v>
      </c>
      <c r="D284" t="s">
        <v>69</v>
      </c>
      <c r="E284">
        <v>26</v>
      </c>
      <c r="F284">
        <v>0.1884057971014492</v>
      </c>
      <c r="G284">
        <v>5</v>
      </c>
      <c r="H284" s="10">
        <v>0.15368208672466011</v>
      </c>
      <c r="I284" s="10">
        <v>0.1413463692433416</v>
      </c>
      <c r="J284" s="10">
        <v>0.159824367316342</v>
      </c>
      <c r="K284" s="10">
        <v>0.81569722953858059</v>
      </c>
      <c r="L284" s="10">
        <v>0.75022303675312096</v>
      </c>
      <c r="M284" s="10">
        <v>0.84829856498673839</v>
      </c>
      <c r="N284" s="10">
        <v>0.3809752747252747</v>
      </c>
      <c r="O284" s="10">
        <v>0.33839285714285711</v>
      </c>
      <c r="P284" s="10">
        <v>0.41486950549450541</v>
      </c>
      <c r="Q284" s="10">
        <v>-1.9738258681266101E-2</v>
      </c>
      <c r="R284" s="10">
        <v>-0.1104217073993931</v>
      </c>
      <c r="S284" s="10">
        <v>7.1824300614277803E-2</v>
      </c>
      <c r="T284" s="10">
        <v>0.50953753487356246</v>
      </c>
      <c r="U284" s="10">
        <v>0.46659974270008958</v>
      </c>
      <c r="V284" s="10">
        <v>0.54393305439330542</v>
      </c>
      <c r="W284" s="10">
        <v>0.1838768456428567</v>
      </c>
      <c r="X284" s="10">
        <v>0.17280421164867379</v>
      </c>
      <c r="Y284" s="10">
        <v>0.19259259259259259</v>
      </c>
      <c r="Z284" s="10">
        <v>0.91538461538461535</v>
      </c>
      <c r="AA284" s="10">
        <v>0.81153846153846154</v>
      </c>
      <c r="AB284" s="10">
        <v>1</v>
      </c>
      <c r="AC284" s="10">
        <v>5.1921434850064001E-2</v>
      </c>
      <c r="AD284">
        <v>1.3741041270874999E-3</v>
      </c>
      <c r="AE284">
        <v>0.1086334594245339</v>
      </c>
    </row>
    <row r="285" spans="1:31" hidden="1">
      <c r="A285" t="s">
        <v>87</v>
      </c>
      <c r="B285" t="s">
        <v>65</v>
      </c>
      <c r="C285" t="s">
        <v>82</v>
      </c>
      <c r="D285" t="s">
        <v>70</v>
      </c>
      <c r="E285">
        <v>7</v>
      </c>
      <c r="F285">
        <v>5.0724637681159403E-2</v>
      </c>
      <c r="G285">
        <v>5</v>
      </c>
      <c r="H285" s="10">
        <v>4.9486854082264602E-2</v>
      </c>
      <c r="I285" s="10">
        <v>4.3336502967884598E-2</v>
      </c>
      <c r="J285" s="10">
        <v>5.3719202083868801E-2</v>
      </c>
      <c r="K285" s="10">
        <v>0.97559798047893198</v>
      </c>
      <c r="L285" s="10">
        <v>0.85434820136686807</v>
      </c>
      <c r="M285" s="10">
        <v>1.059035698224843</v>
      </c>
      <c r="N285" s="10">
        <v>0.41068702290076342</v>
      </c>
      <c r="O285" s="10">
        <v>0.32671755725190837</v>
      </c>
      <c r="P285" s="10">
        <v>0.47350054525627039</v>
      </c>
      <c r="Q285" s="10">
        <v>-3.6434561020401303E-2</v>
      </c>
      <c r="R285" s="10">
        <v>-8.3025672597148298E-2</v>
      </c>
      <c r="S285" s="10">
        <v>4.61166667705524E-2</v>
      </c>
      <c r="T285" s="10">
        <v>8.1999840777008198E-2</v>
      </c>
      <c r="U285" s="10">
        <v>0</v>
      </c>
      <c r="V285" s="10">
        <v>0.21710054931932171</v>
      </c>
      <c r="W285" s="10">
        <v>1.99177921315325E-2</v>
      </c>
      <c r="X285" s="10">
        <v>0</v>
      </c>
      <c r="Y285" s="10">
        <v>5.2706987668819698E-2</v>
      </c>
      <c r="Z285" s="10">
        <v>0.37142857142857139</v>
      </c>
      <c r="AA285" s="10">
        <v>0</v>
      </c>
      <c r="AB285" s="10">
        <v>0.98571428571428565</v>
      </c>
      <c r="AC285" s="10">
        <v>0.47887710633126979</v>
      </c>
      <c r="AD285">
        <v>0.10355738086798461</v>
      </c>
      <c r="AE285">
        <v>0.82247084143239813</v>
      </c>
    </row>
    <row r="286" spans="1:31" hidden="1">
      <c r="A286" t="s">
        <v>87</v>
      </c>
      <c r="B286" t="s">
        <v>65</v>
      </c>
      <c r="C286" t="s">
        <v>82</v>
      </c>
      <c r="D286" t="s">
        <v>71</v>
      </c>
      <c r="E286">
        <v>9</v>
      </c>
      <c r="F286">
        <v>6.5217391304347797E-2</v>
      </c>
      <c r="G286">
        <v>5</v>
      </c>
      <c r="H286" s="10">
        <v>7.0666889527040602E-2</v>
      </c>
      <c r="I286" s="10">
        <v>5.2260325590560999E-2</v>
      </c>
      <c r="J286" s="10">
        <v>9.9618303400564295E-2</v>
      </c>
      <c r="K286" s="10">
        <v>1.083558972747956</v>
      </c>
      <c r="L286" s="10">
        <v>0.80132499238860222</v>
      </c>
      <c r="M286" s="10">
        <v>1.5274806521419859</v>
      </c>
      <c r="N286" s="10">
        <v>0.41498708010335922</v>
      </c>
      <c r="O286" s="10">
        <v>0.33031869078380699</v>
      </c>
      <c r="P286" s="10">
        <v>0.53178294573643414</v>
      </c>
      <c r="Q286" s="10">
        <v>-6.6790125100635603E-2</v>
      </c>
      <c r="R286" s="10">
        <v>-0.19236564695573491</v>
      </c>
      <c r="S286" s="10">
        <v>4.2781246501961599E-2</v>
      </c>
      <c r="T286" s="10">
        <v>0.1718699416294697</v>
      </c>
      <c r="U286" s="10">
        <v>1.8749999999999999E-2</v>
      </c>
      <c r="V286" s="10">
        <v>0.25381125226860252</v>
      </c>
      <c r="W286" s="10">
        <v>4.8951027103022703E-2</v>
      </c>
      <c r="X286" s="10">
        <v>4.8387096774193004E-3</v>
      </c>
      <c r="Y286" s="10">
        <v>7.4279661016949106E-2</v>
      </c>
      <c r="Z286" s="10">
        <v>0.48888888888888882</v>
      </c>
      <c r="AA286" s="10">
        <v>4.4444444444444398E-2</v>
      </c>
      <c r="AB286" s="10">
        <v>0.66666666666666663</v>
      </c>
      <c r="AC286" s="10">
        <v>0.46502956304727922</v>
      </c>
      <c r="AD286">
        <v>0.23230774997537931</v>
      </c>
      <c r="AE286">
        <v>0.64201974874936951</v>
      </c>
    </row>
    <row r="287" spans="1:31" hidden="1">
      <c r="A287" t="s">
        <v>87</v>
      </c>
      <c r="B287" t="s">
        <v>65</v>
      </c>
      <c r="C287" t="s">
        <v>76</v>
      </c>
      <c r="D287" t="s">
        <v>67</v>
      </c>
      <c r="E287">
        <v>4</v>
      </c>
      <c r="F287">
        <v>2.8985507246376802E-2</v>
      </c>
      <c r="G287">
        <v>5</v>
      </c>
      <c r="H287" s="10">
        <v>0.13251612774751531</v>
      </c>
      <c r="I287" s="10">
        <v>7.9916603206653197E-2</v>
      </c>
      <c r="J287" s="10">
        <v>0.1811591478696741</v>
      </c>
      <c r="K287" s="10">
        <v>4.5718064072892783</v>
      </c>
      <c r="L287" s="10">
        <v>2.757122810629538</v>
      </c>
      <c r="M287" s="10">
        <v>6.2499906015037583</v>
      </c>
      <c r="N287" s="10">
        <v>0.80764925373134333</v>
      </c>
      <c r="O287" s="10">
        <v>0.72733208955223883</v>
      </c>
      <c r="P287" s="10">
        <v>0.88805970149253732</v>
      </c>
      <c r="Q287" s="10">
        <v>0.18508231323449389</v>
      </c>
      <c r="R287" s="10">
        <v>1.6730782584482799E-2</v>
      </c>
      <c r="S287" s="10">
        <v>0.2872567972497575</v>
      </c>
      <c r="T287" s="10">
        <v>0.29262188865847399</v>
      </c>
      <c r="U287" s="10">
        <v>0.1439101439101439</v>
      </c>
      <c r="V287" s="10">
        <v>0.38273921200750471</v>
      </c>
      <c r="W287" s="10">
        <v>8.9816942719116596E-2</v>
      </c>
      <c r="X287" s="10">
        <v>3.5461956521739099E-2</v>
      </c>
      <c r="Y287" s="10">
        <v>0.1191111111111111</v>
      </c>
      <c r="Z287" s="10">
        <v>0.8</v>
      </c>
      <c r="AA287" s="10">
        <v>0.52500000000000002</v>
      </c>
      <c r="AB287" s="10">
        <v>1</v>
      </c>
      <c r="AC287" s="10">
        <v>5.1095542358720797E-2</v>
      </c>
      <c r="AD287">
        <v>4.4833983896007002E-3</v>
      </c>
      <c r="AE287">
        <v>9.6323757309559402E-2</v>
      </c>
    </row>
    <row r="288" spans="1:31" hidden="1">
      <c r="A288" t="s">
        <v>87</v>
      </c>
      <c r="B288" t="s">
        <v>65</v>
      </c>
      <c r="C288" t="s">
        <v>76</v>
      </c>
      <c r="D288" t="s">
        <v>68</v>
      </c>
      <c r="E288">
        <v>20</v>
      </c>
      <c r="F288">
        <v>0.14492753623188401</v>
      </c>
      <c r="G288">
        <v>5</v>
      </c>
      <c r="H288" s="10">
        <v>0.28739066758201648</v>
      </c>
      <c r="I288" s="10">
        <v>0.24850118339282501</v>
      </c>
      <c r="J288" s="10">
        <v>0.34168781168723661</v>
      </c>
      <c r="K288" s="10">
        <v>1.982995606315914</v>
      </c>
      <c r="L288" s="10">
        <v>1.7146581654104931</v>
      </c>
      <c r="M288" s="10">
        <v>2.3576459006419319</v>
      </c>
      <c r="N288" s="10">
        <v>0.67432203389830503</v>
      </c>
      <c r="O288" s="10">
        <v>0.62114406779661024</v>
      </c>
      <c r="P288" s="10">
        <v>0.71076271186440665</v>
      </c>
      <c r="Q288" s="10">
        <v>0.1219244902281455</v>
      </c>
      <c r="R288" s="10">
        <v>5.9426266871069298E-2</v>
      </c>
      <c r="S288" s="10">
        <v>0.16766140162207979</v>
      </c>
      <c r="T288" s="10">
        <v>0.36919804487126318</v>
      </c>
      <c r="U288" s="10">
        <v>0.28773467868662639</v>
      </c>
      <c r="V288" s="10">
        <v>0.45351008215085881</v>
      </c>
      <c r="W288" s="10">
        <v>0.21359713685295079</v>
      </c>
      <c r="X288" s="10">
        <v>0.1566445182724252</v>
      </c>
      <c r="Y288" s="10">
        <v>0.24316134316134311</v>
      </c>
      <c r="Z288" s="10">
        <v>0.51</v>
      </c>
      <c r="AA288" s="10">
        <v>0.31</v>
      </c>
      <c r="AB288" s="10">
        <v>0.89999999999999991</v>
      </c>
      <c r="AC288" s="10">
        <v>0.30958805005406359</v>
      </c>
      <c r="AD288">
        <v>9.7216414280646798E-2</v>
      </c>
      <c r="AE288">
        <v>0.416295679145953</v>
      </c>
    </row>
    <row r="289" spans="1:31" hidden="1">
      <c r="A289" t="s">
        <v>87</v>
      </c>
      <c r="B289" t="s">
        <v>65</v>
      </c>
      <c r="C289" t="s">
        <v>76</v>
      </c>
      <c r="D289" t="s">
        <v>69</v>
      </c>
      <c r="E289">
        <v>26</v>
      </c>
      <c r="F289">
        <v>0.1884057971014492</v>
      </c>
      <c r="G289">
        <v>5</v>
      </c>
      <c r="H289" s="10">
        <v>0.51887452060133366</v>
      </c>
      <c r="I289" s="10">
        <v>0.47635003622559929</v>
      </c>
      <c r="J289" s="10">
        <v>0.55343918389297542</v>
      </c>
      <c r="K289" s="10">
        <v>2.7540263016532318</v>
      </c>
      <c r="L289" s="10">
        <v>2.5283194230435648</v>
      </c>
      <c r="M289" s="10">
        <v>2.9374848991242541</v>
      </c>
      <c r="N289" s="10">
        <v>0.87596153846153846</v>
      </c>
      <c r="O289" s="10">
        <v>0.86026785714285725</v>
      </c>
      <c r="P289" s="10">
        <v>0.88592032967032952</v>
      </c>
      <c r="Q289" s="10">
        <v>0.56848376308070914</v>
      </c>
      <c r="R289" s="10">
        <v>0.537281734508822</v>
      </c>
      <c r="S289" s="10">
        <v>0.59799643237158184</v>
      </c>
      <c r="T289" s="10">
        <v>0.75760504092322045</v>
      </c>
      <c r="U289" s="10">
        <v>0.72130751774419388</v>
      </c>
      <c r="V289" s="10">
        <v>0.80844155844155841</v>
      </c>
      <c r="W289" s="10">
        <v>0.51858980785296571</v>
      </c>
      <c r="X289" s="10">
        <v>0.48088888888888881</v>
      </c>
      <c r="Y289" s="10">
        <v>0.56954887218045114</v>
      </c>
      <c r="Z289" s="10">
        <v>0.86153846153846148</v>
      </c>
      <c r="AA289" s="10">
        <v>0.77307692307692311</v>
      </c>
      <c r="AB289" s="10">
        <v>0.95769230769230762</v>
      </c>
      <c r="AC289" s="10">
        <v>0.34026983172513142</v>
      </c>
      <c r="AD289">
        <v>0.26058607313521809</v>
      </c>
      <c r="AE289">
        <v>0.4190761557371474</v>
      </c>
    </row>
    <row r="290" spans="1:31" hidden="1">
      <c r="A290" t="s">
        <v>87</v>
      </c>
      <c r="B290" t="s">
        <v>65</v>
      </c>
      <c r="C290" t="s">
        <v>76</v>
      </c>
      <c r="D290" t="s">
        <v>70</v>
      </c>
      <c r="E290">
        <v>7</v>
      </c>
      <c r="F290">
        <v>5.0724637681159403E-2</v>
      </c>
      <c r="G290">
        <v>5</v>
      </c>
      <c r="H290" s="10">
        <v>7.9429207725983997E-2</v>
      </c>
      <c r="I290" s="10">
        <v>6.8040012881694395E-2</v>
      </c>
      <c r="J290" s="10">
        <v>0.104094493309613</v>
      </c>
      <c r="K290" s="10">
        <v>1.5658900951693999</v>
      </c>
      <c r="L290" s="10">
        <v>1.3413602539534051</v>
      </c>
      <c r="M290" s="10">
        <v>2.0521485823895138</v>
      </c>
      <c r="N290" s="10">
        <v>0.62115594329334789</v>
      </c>
      <c r="O290" s="10">
        <v>0.5270447110141766</v>
      </c>
      <c r="P290" s="10">
        <v>0.7383860414394765</v>
      </c>
      <c r="Q290" s="10">
        <v>3.60958038712424E-2</v>
      </c>
      <c r="R290" s="10">
        <v>-5.7310574563141099E-2</v>
      </c>
      <c r="S290" s="10">
        <v>0.17203860073450991</v>
      </c>
      <c r="T290" s="10">
        <v>0.1885819896689461</v>
      </c>
      <c r="U290" s="10">
        <v>8.3928571428571394E-2</v>
      </c>
      <c r="V290" s="10">
        <v>0.3162055335968379</v>
      </c>
      <c r="W290" s="10">
        <v>5.9266821807785003E-2</v>
      </c>
      <c r="X290" s="10">
        <v>2.9560439560439501E-2</v>
      </c>
      <c r="Y290" s="10">
        <v>9.2269736842105196E-2</v>
      </c>
      <c r="Z290" s="10">
        <v>0.42857142857142849</v>
      </c>
      <c r="AA290" s="10">
        <v>0.15714285714285711</v>
      </c>
      <c r="AB290" s="10">
        <v>0.81428571428571417</v>
      </c>
      <c r="AC290" s="10">
        <v>9.6548032611526696E-2</v>
      </c>
      <c r="AD290">
        <v>8.2356291382896005E-2</v>
      </c>
      <c r="AE290">
        <v>0.111334624909926</v>
      </c>
    </row>
    <row r="291" spans="1:31" hidden="1">
      <c r="A291" t="s">
        <v>87</v>
      </c>
      <c r="B291" t="s">
        <v>65</v>
      </c>
      <c r="C291" t="s">
        <v>76</v>
      </c>
      <c r="D291" t="s">
        <v>71</v>
      </c>
      <c r="E291">
        <v>9</v>
      </c>
      <c r="F291">
        <v>6.5217391304347797E-2</v>
      </c>
      <c r="G291">
        <v>5</v>
      </c>
      <c r="H291" s="10">
        <v>6.3723089217400303E-2</v>
      </c>
      <c r="I291" s="10">
        <v>5.1463321635374398E-2</v>
      </c>
      <c r="J291" s="10">
        <v>7.7298437716300405E-2</v>
      </c>
      <c r="K291" s="10">
        <v>0.97708736800013796</v>
      </c>
      <c r="L291" s="10">
        <v>0.78910426507574116</v>
      </c>
      <c r="M291" s="10">
        <v>1.18524271164994</v>
      </c>
      <c r="N291" s="10">
        <v>0.40223944875107659</v>
      </c>
      <c r="O291" s="10">
        <v>0.30947459086993961</v>
      </c>
      <c r="P291" s="10">
        <v>0.50327304048234278</v>
      </c>
      <c r="Q291" s="10">
        <v>-7.8790580157804893E-2</v>
      </c>
      <c r="R291" s="10">
        <v>-0.2208266572764713</v>
      </c>
      <c r="S291" s="10">
        <v>5.3153097743060401E-2</v>
      </c>
      <c r="T291" s="10">
        <v>0.1282076357377562</v>
      </c>
      <c r="U291" s="10">
        <v>0</v>
      </c>
      <c r="V291" s="10">
        <v>0.26215576592082618</v>
      </c>
      <c r="W291" s="10">
        <v>3.5033280724627698E-2</v>
      </c>
      <c r="X291" s="10">
        <v>0</v>
      </c>
      <c r="Y291" s="10">
        <v>7.6437246963562702E-2</v>
      </c>
      <c r="Z291" s="10">
        <v>0.4</v>
      </c>
      <c r="AA291" s="10">
        <v>0</v>
      </c>
      <c r="AB291" s="10">
        <v>0.76666666666666672</v>
      </c>
      <c r="AC291" s="10">
        <v>0.14576944741363551</v>
      </c>
      <c r="AD291">
        <v>3.1782829492410403E-2</v>
      </c>
      <c r="AE291">
        <v>0.2981947074451588</v>
      </c>
    </row>
    <row r="292" spans="1:31" hidden="1">
      <c r="A292" t="s">
        <v>87</v>
      </c>
      <c r="B292" t="s">
        <v>65</v>
      </c>
      <c r="C292" t="s">
        <v>83</v>
      </c>
      <c r="D292" t="s">
        <v>67</v>
      </c>
      <c r="E292">
        <v>4</v>
      </c>
      <c r="F292">
        <v>2.8985507246376802E-2</v>
      </c>
      <c r="G292">
        <v>5</v>
      </c>
      <c r="H292" s="10">
        <v>0.16922024956561921</v>
      </c>
      <c r="I292" s="10">
        <v>4.9938298988820601E-2</v>
      </c>
      <c r="J292" s="10">
        <v>0.3606611323459149</v>
      </c>
      <c r="K292" s="10">
        <v>5.8380986100138639</v>
      </c>
      <c r="L292" s="10">
        <v>1.722871315114312</v>
      </c>
      <c r="M292" s="10">
        <v>12.44280906593406</v>
      </c>
      <c r="N292" s="10">
        <v>0.69216417910447758</v>
      </c>
      <c r="O292" s="10">
        <v>0.56007462686567167</v>
      </c>
      <c r="P292" s="10">
        <v>0.91100746268656718</v>
      </c>
      <c r="Q292" s="10">
        <v>0.1723558988860609</v>
      </c>
      <c r="R292" s="10">
        <v>2.3388641690654001E-3</v>
      </c>
      <c r="S292" s="10">
        <v>0.52197877182176411</v>
      </c>
      <c r="T292" s="10">
        <v>0.23309032115781361</v>
      </c>
      <c r="U292" s="10">
        <v>0.1184017595307917</v>
      </c>
      <c r="V292" s="10">
        <v>0.49203283437952672</v>
      </c>
      <c r="W292" s="10">
        <v>0.16385367071452769</v>
      </c>
      <c r="X292" s="10">
        <v>2.87037037037037E-2</v>
      </c>
      <c r="Y292" s="10">
        <v>0.60447761194029836</v>
      </c>
      <c r="Z292" s="10">
        <v>0.75</v>
      </c>
      <c r="AA292" s="10">
        <v>0.5</v>
      </c>
      <c r="AB292" s="10">
        <v>1</v>
      </c>
      <c r="AC292" s="10">
        <v>3.06750771094449E-2</v>
      </c>
      <c r="AD292">
        <v>9.1748967342094E-3</v>
      </c>
      <c r="AE292">
        <v>8.0825548208587603E-2</v>
      </c>
    </row>
    <row r="293" spans="1:31" hidden="1">
      <c r="A293" t="s">
        <v>87</v>
      </c>
      <c r="B293" t="s">
        <v>65</v>
      </c>
      <c r="C293" t="s">
        <v>83</v>
      </c>
      <c r="D293" t="s">
        <v>68</v>
      </c>
      <c r="E293">
        <v>20</v>
      </c>
      <c r="F293">
        <v>0.14492753623188401</v>
      </c>
      <c r="G293">
        <v>5</v>
      </c>
      <c r="H293" s="10">
        <v>0.25816889744853438</v>
      </c>
      <c r="I293" s="10">
        <v>0.1453530134259072</v>
      </c>
      <c r="J293" s="10">
        <v>0.38857580763352823</v>
      </c>
      <c r="K293" s="10">
        <v>1.781365392394888</v>
      </c>
      <c r="L293" s="10">
        <v>1.0029357926387601</v>
      </c>
      <c r="M293" s="10">
        <v>2.6811730726713439</v>
      </c>
      <c r="N293" s="10">
        <v>0.5955932203389831</v>
      </c>
      <c r="O293" s="10">
        <v>0.42377118644067802</v>
      </c>
      <c r="P293" s="10">
        <v>0.72466101694915253</v>
      </c>
      <c r="Q293" s="10">
        <v>0.1385032768882242</v>
      </c>
      <c r="R293" s="10">
        <v>-2.7099922603966299E-2</v>
      </c>
      <c r="S293" s="10">
        <v>0.22207416863296969</v>
      </c>
      <c r="T293" s="10">
        <v>0.27720806854736157</v>
      </c>
      <c r="U293" s="10">
        <v>0.11338100102145041</v>
      </c>
      <c r="V293" s="10">
        <v>0.4603406326034063</v>
      </c>
      <c r="W293" s="10">
        <v>0.26418713450292391</v>
      </c>
      <c r="X293" s="10">
        <v>0.1175438596491228</v>
      </c>
      <c r="Y293" s="10">
        <v>0.42799999999999999</v>
      </c>
      <c r="Z293" s="10">
        <v>0.30999999999999989</v>
      </c>
      <c r="AA293" s="10">
        <v>0.11</v>
      </c>
      <c r="AB293" s="10">
        <v>0.62</v>
      </c>
      <c r="AC293" s="10">
        <v>0.2081680515744786</v>
      </c>
      <c r="AD293">
        <v>0.1384784859512582</v>
      </c>
      <c r="AE293">
        <v>0.25544299643405399</v>
      </c>
    </row>
    <row r="294" spans="1:31" hidden="1">
      <c r="A294" t="s">
        <v>87</v>
      </c>
      <c r="B294" t="s">
        <v>65</v>
      </c>
      <c r="C294" t="s">
        <v>83</v>
      </c>
      <c r="D294" t="s">
        <v>69</v>
      </c>
      <c r="E294">
        <v>26</v>
      </c>
      <c r="F294">
        <v>0.1884057971014492</v>
      </c>
      <c r="G294">
        <v>5</v>
      </c>
      <c r="H294" s="10">
        <v>0.50459044443100587</v>
      </c>
      <c r="I294" s="10">
        <v>0.37555988741968888</v>
      </c>
      <c r="J294" s="10">
        <v>0.59084308468308278</v>
      </c>
      <c r="K294" s="10">
        <v>2.6782108204414929</v>
      </c>
      <c r="L294" s="10">
        <v>1.993356325535272</v>
      </c>
      <c r="M294" s="10">
        <v>3.1360132956255931</v>
      </c>
      <c r="N294" s="10">
        <v>0.77809065934065935</v>
      </c>
      <c r="O294" s="10">
        <v>0.722081043956044</v>
      </c>
      <c r="P294" s="10">
        <v>0.82733516483516489</v>
      </c>
      <c r="Q294" s="10">
        <v>0.41299596563013452</v>
      </c>
      <c r="R294" s="10">
        <v>0.32533745034709882</v>
      </c>
      <c r="S294" s="10">
        <v>0.46146086626457539</v>
      </c>
      <c r="T294" s="10">
        <v>0.54210119420515368</v>
      </c>
      <c r="U294" s="10">
        <v>0.5040186600719424</v>
      </c>
      <c r="V294" s="10">
        <v>0.58279935365242097</v>
      </c>
      <c r="W294" s="10">
        <v>0.50841414141414143</v>
      </c>
      <c r="X294" s="10">
        <v>0.40848484848484851</v>
      </c>
      <c r="Y294" s="10">
        <v>0.55955555555555558</v>
      </c>
      <c r="Z294" s="10">
        <v>0.55384615384615388</v>
      </c>
      <c r="AA294" s="10">
        <v>0.50384615384615383</v>
      </c>
      <c r="AB294" s="10">
        <v>0.61153846153846159</v>
      </c>
      <c r="AC294" s="10">
        <v>0.28825128828033919</v>
      </c>
      <c r="AD294">
        <v>0.16726445055546399</v>
      </c>
      <c r="AE294">
        <v>0.37826548817898659</v>
      </c>
    </row>
    <row r="295" spans="1:31" hidden="1">
      <c r="A295" t="s">
        <v>87</v>
      </c>
      <c r="B295" t="s">
        <v>65</v>
      </c>
      <c r="C295" t="s">
        <v>83</v>
      </c>
      <c r="D295" t="s">
        <v>70</v>
      </c>
      <c r="E295">
        <v>7</v>
      </c>
      <c r="F295">
        <v>5.0724637681159403E-2</v>
      </c>
      <c r="G295">
        <v>5</v>
      </c>
      <c r="H295" s="10">
        <v>8.1592669912864901E-2</v>
      </c>
      <c r="I295" s="10">
        <v>5.41316974975702E-2</v>
      </c>
      <c r="J295" s="10">
        <v>0.13862712290966531</v>
      </c>
      <c r="K295" s="10">
        <v>1.608541206853624</v>
      </c>
      <c r="L295" s="10">
        <v>1.0671677506663859</v>
      </c>
      <c r="M295" s="10">
        <v>2.7329347087905451</v>
      </c>
      <c r="N295" s="10">
        <v>0.59585605234460193</v>
      </c>
      <c r="O295" s="10">
        <v>0.48887677208287889</v>
      </c>
      <c r="P295" s="10">
        <v>0.79814612868047985</v>
      </c>
      <c r="Q295" s="10">
        <v>0.11090135253713659</v>
      </c>
      <c r="R295" s="10">
        <v>5.7747865378321397E-2</v>
      </c>
      <c r="S295" s="10">
        <v>0.22955872948434841</v>
      </c>
      <c r="T295" s="10">
        <v>0.2675389230652388</v>
      </c>
      <c r="U295" s="10">
        <v>0.2275717703349282</v>
      </c>
      <c r="V295" s="10">
        <v>0.38214285714285712</v>
      </c>
      <c r="W295" s="10">
        <v>7.8260237911216196E-2</v>
      </c>
      <c r="X295" s="10">
        <v>5.6544156530936002E-2</v>
      </c>
      <c r="Y295" s="10">
        <v>0.1362637362637362</v>
      </c>
      <c r="Z295" s="10">
        <v>0.82857142857142851</v>
      </c>
      <c r="AA295" s="10">
        <v>0.58571428571428563</v>
      </c>
      <c r="AB295" s="10">
        <v>1</v>
      </c>
      <c r="AC295" s="10">
        <v>4.29760970514734E-2</v>
      </c>
      <c r="AD295">
        <v>2.80971547153069E-2</v>
      </c>
      <c r="AE295">
        <v>6.6630515860875594E-2</v>
      </c>
    </row>
    <row r="296" spans="1:31" hidden="1">
      <c r="A296" t="s">
        <v>87</v>
      </c>
      <c r="B296" t="s">
        <v>65</v>
      </c>
      <c r="C296" t="s">
        <v>83</v>
      </c>
      <c r="D296" t="s">
        <v>71</v>
      </c>
      <c r="E296">
        <v>9</v>
      </c>
      <c r="F296">
        <v>6.5217391304347797E-2</v>
      </c>
      <c r="G296">
        <v>5</v>
      </c>
      <c r="H296" s="10">
        <v>6.5945336739344704E-2</v>
      </c>
      <c r="I296" s="10">
        <v>5.7530432412115799E-2</v>
      </c>
      <c r="J296" s="10">
        <v>7.4016257082667597E-2</v>
      </c>
      <c r="K296" s="10">
        <v>1.0111618300032861</v>
      </c>
      <c r="L296" s="10">
        <v>0.88213329698577614</v>
      </c>
      <c r="M296" s="10">
        <v>1.1349159419342369</v>
      </c>
      <c r="N296" s="10">
        <v>0.4227390180878553</v>
      </c>
      <c r="O296" s="10">
        <v>0.39224806201550377</v>
      </c>
      <c r="P296" s="10">
        <v>0.44814814814814807</v>
      </c>
      <c r="Q296" s="10">
        <v>-1.8421704692269201E-2</v>
      </c>
      <c r="R296" s="10">
        <v>-7.2076630530431604E-2</v>
      </c>
      <c r="S296" s="10">
        <v>8.5685377913788302E-2</v>
      </c>
      <c r="T296" s="10">
        <v>0.13278914331224839</v>
      </c>
      <c r="U296" s="10">
        <v>0</v>
      </c>
      <c r="V296" s="10">
        <v>0.27617038376532049</v>
      </c>
      <c r="W296" s="10">
        <v>3.8631166918575301E-2</v>
      </c>
      <c r="X296" s="10">
        <v>0</v>
      </c>
      <c r="Y296" s="10">
        <v>7.2776421346354994E-2</v>
      </c>
      <c r="Z296" s="10">
        <v>0.37777777777777771</v>
      </c>
      <c r="AA296" s="10">
        <v>0</v>
      </c>
      <c r="AB296" s="10">
        <v>0.9555555555555556</v>
      </c>
      <c r="AC296" s="10">
        <v>7.8539014514558594E-2</v>
      </c>
      <c r="AD296">
        <v>3.7799308656093399E-2</v>
      </c>
      <c r="AE296">
        <v>0.13206519043529891</v>
      </c>
    </row>
    <row r="297" spans="1:31" hidden="1">
      <c r="A297" t="s">
        <v>87</v>
      </c>
      <c r="B297" t="s">
        <v>65</v>
      </c>
      <c r="C297" t="s">
        <v>84</v>
      </c>
      <c r="D297" t="s">
        <v>67</v>
      </c>
      <c r="E297">
        <v>4</v>
      </c>
      <c r="F297">
        <v>2.8985507246376802E-2</v>
      </c>
      <c r="G297">
        <v>5</v>
      </c>
      <c r="H297" s="10">
        <v>0.2413827732742064</v>
      </c>
      <c r="I297" s="10">
        <v>6.9587417641550006E-2</v>
      </c>
      <c r="J297" s="10">
        <v>0.40513970785312248</v>
      </c>
      <c r="K297" s="10">
        <v>8.3277056779601253</v>
      </c>
      <c r="L297" s="10">
        <v>2.4007659086334781</v>
      </c>
      <c r="M297" s="10">
        <v>13.97731992093272</v>
      </c>
      <c r="N297" s="10">
        <v>0.78824626865671643</v>
      </c>
      <c r="O297" s="10">
        <v>0.67304104477611948</v>
      </c>
      <c r="P297" s="10">
        <v>0.8675373134328358</v>
      </c>
      <c r="Q297" s="10">
        <v>0.18907876269353319</v>
      </c>
      <c r="R297" s="10">
        <v>0.1282696028063216</v>
      </c>
      <c r="S297" s="10">
        <v>0.28848096032673171</v>
      </c>
      <c r="T297" s="10">
        <v>0.27017966928132281</v>
      </c>
      <c r="U297" s="10">
        <v>0.19064465408805031</v>
      </c>
      <c r="V297" s="10">
        <v>0.40625</v>
      </c>
      <c r="W297" s="10">
        <v>7.8597792998477897E-2</v>
      </c>
      <c r="X297" s="10">
        <v>4.4999999999999998E-2</v>
      </c>
      <c r="Y297" s="10">
        <v>0.144375</v>
      </c>
      <c r="Z297" s="10">
        <v>0.9</v>
      </c>
      <c r="AA297" s="10">
        <v>0.75</v>
      </c>
      <c r="AB297" s="10">
        <v>1</v>
      </c>
      <c r="AC297" s="10">
        <v>1.2528051182552799E-2</v>
      </c>
      <c r="AD297">
        <v>5.6692757230420001E-3</v>
      </c>
      <c r="AE297">
        <v>2.0861781178201401E-2</v>
      </c>
    </row>
    <row r="298" spans="1:31" hidden="1">
      <c r="A298" t="s">
        <v>87</v>
      </c>
      <c r="B298" t="s">
        <v>65</v>
      </c>
      <c r="C298" t="s">
        <v>84</v>
      </c>
      <c r="D298" t="s">
        <v>68</v>
      </c>
      <c r="E298">
        <v>20</v>
      </c>
      <c r="F298">
        <v>0.14492753623188401</v>
      </c>
      <c r="G298">
        <v>5</v>
      </c>
      <c r="H298" s="10">
        <v>0.29546039774942928</v>
      </c>
      <c r="I298" s="10">
        <v>0.26818174384747101</v>
      </c>
      <c r="J298" s="10">
        <v>0.33774980316564762</v>
      </c>
      <c r="K298" s="10">
        <v>2.0386767444710618</v>
      </c>
      <c r="L298" s="10">
        <v>1.85045403254755</v>
      </c>
      <c r="M298" s="10">
        <v>2.330473641842969</v>
      </c>
      <c r="N298" s="10">
        <v>0.69881355932203393</v>
      </c>
      <c r="O298" s="10">
        <v>0.63957627118644067</v>
      </c>
      <c r="P298" s="10">
        <v>0.75906779661016954</v>
      </c>
      <c r="Q298" s="10">
        <v>0.17721740584828249</v>
      </c>
      <c r="R298" s="10">
        <v>0.11617607503027701</v>
      </c>
      <c r="S298" s="10">
        <v>0.24370335055468079</v>
      </c>
      <c r="T298" s="10">
        <v>0.40671578667545039</v>
      </c>
      <c r="U298" s="10">
        <v>0.14401794616151539</v>
      </c>
      <c r="V298" s="10">
        <v>0.54702743902439033</v>
      </c>
      <c r="W298" s="10">
        <v>0.24801968155683321</v>
      </c>
      <c r="X298" s="10">
        <v>0.18007352941176469</v>
      </c>
      <c r="Y298" s="10">
        <v>0.38368421052631579</v>
      </c>
      <c r="Z298" s="10">
        <v>0.61</v>
      </c>
      <c r="AA298" s="10">
        <v>0.13500000000000001</v>
      </c>
      <c r="AB298" s="10">
        <v>0.89500000000000002</v>
      </c>
      <c r="AC298" s="10">
        <v>0.27708046413785847</v>
      </c>
      <c r="AD298">
        <v>9.1629900872781996E-3</v>
      </c>
      <c r="AE298">
        <v>0.85906429342139323</v>
      </c>
    </row>
    <row r="299" spans="1:31" hidden="1">
      <c r="A299" t="s">
        <v>87</v>
      </c>
      <c r="B299" t="s">
        <v>65</v>
      </c>
      <c r="C299" t="s">
        <v>84</v>
      </c>
      <c r="D299" t="s">
        <v>69</v>
      </c>
      <c r="E299">
        <v>26</v>
      </c>
      <c r="F299">
        <v>0.1884057971014492</v>
      </c>
      <c r="G299">
        <v>5</v>
      </c>
      <c r="H299" s="10">
        <v>0.54890358888974022</v>
      </c>
      <c r="I299" s="10">
        <v>0.46370633677094653</v>
      </c>
      <c r="J299" s="10">
        <v>0.64131556584293503</v>
      </c>
      <c r="K299" s="10">
        <v>2.913411356414775</v>
      </c>
      <c r="L299" s="10">
        <v>2.4612105567073308</v>
      </c>
      <c r="M299" s="10">
        <v>3.4039056956278859</v>
      </c>
      <c r="N299" s="10">
        <v>0.85446428571428579</v>
      </c>
      <c r="O299" s="10">
        <v>0.82582417582417578</v>
      </c>
      <c r="P299" s="10">
        <v>0.8794986263736263</v>
      </c>
      <c r="Q299" s="10">
        <v>0.41792078506229441</v>
      </c>
      <c r="R299" s="10">
        <v>0.380611239455654</v>
      </c>
      <c r="S299" s="10">
        <v>0.45685729923752311</v>
      </c>
      <c r="T299" s="10">
        <v>0.62652937456968805</v>
      </c>
      <c r="U299" s="10">
        <v>0.55673758865248235</v>
      </c>
      <c r="V299" s="10">
        <v>0.72282980177717016</v>
      </c>
      <c r="W299" s="10">
        <v>0.43019523801420761</v>
      </c>
      <c r="X299" s="10">
        <v>0.37582089552238801</v>
      </c>
      <c r="Y299" s="10">
        <v>0.48163771712158809</v>
      </c>
      <c r="Z299" s="10">
        <v>0.72307692307692295</v>
      </c>
      <c r="AA299" s="10">
        <v>0.5807692307692307</v>
      </c>
      <c r="AB299" s="10">
        <v>0.9423076923076924</v>
      </c>
      <c r="AC299" s="10">
        <v>0.21673788017457599</v>
      </c>
      <c r="AD299">
        <v>2.0034535777797201E-2</v>
      </c>
      <c r="AE299">
        <v>0.37145675321694588</v>
      </c>
    </row>
    <row r="300" spans="1:31" hidden="1">
      <c r="A300" t="s">
        <v>87</v>
      </c>
      <c r="B300" t="s">
        <v>65</v>
      </c>
      <c r="C300" t="s">
        <v>84</v>
      </c>
      <c r="D300" t="s">
        <v>70</v>
      </c>
      <c r="E300">
        <v>7</v>
      </c>
      <c r="F300">
        <v>5.0724637681159403E-2</v>
      </c>
      <c r="G300">
        <v>5</v>
      </c>
      <c r="H300" s="10">
        <v>8.4444115484473503E-2</v>
      </c>
      <c r="I300" s="10">
        <v>6.6381393620601498E-2</v>
      </c>
      <c r="J300" s="10">
        <v>0.1001960119896428</v>
      </c>
      <c r="K300" s="10">
        <v>1.664755419551049</v>
      </c>
      <c r="L300" s="10">
        <v>1.308661759949002</v>
      </c>
      <c r="M300" s="10">
        <v>1.9752928077958161</v>
      </c>
      <c r="N300" s="10">
        <v>0.59541984732824427</v>
      </c>
      <c r="O300" s="10">
        <v>0.50796074154852777</v>
      </c>
      <c r="P300" s="10">
        <v>0.67982551799345692</v>
      </c>
      <c r="Q300" s="10">
        <v>0.1042255561515352</v>
      </c>
      <c r="R300" s="10">
        <v>6.5684661895391405E-2</v>
      </c>
      <c r="S300" s="10">
        <v>0.1788789091954692</v>
      </c>
      <c r="T300" s="10">
        <v>0.25832777873522439</v>
      </c>
      <c r="U300" s="10">
        <v>0.2327398255813953</v>
      </c>
      <c r="V300" s="10">
        <v>0.30827702702702697</v>
      </c>
      <c r="W300" s="10">
        <v>6.75056861107797E-2</v>
      </c>
      <c r="X300" s="10">
        <v>5.94653465346534E-2</v>
      </c>
      <c r="Y300" s="10">
        <v>8.2228915662650601E-2</v>
      </c>
      <c r="Z300" s="10">
        <v>0.88571428571428579</v>
      </c>
      <c r="AA300" s="10">
        <v>0.8571428571428571</v>
      </c>
      <c r="AB300" s="10">
        <v>0.98571428571428565</v>
      </c>
      <c r="AC300" s="10">
        <v>4.6062758292712003E-3</v>
      </c>
      <c r="AD300">
        <v>2.6286336401588999E-3</v>
      </c>
      <c r="AE300">
        <v>7.1734761629187998E-3</v>
      </c>
    </row>
    <row r="301" spans="1:31" hidden="1">
      <c r="A301" t="s">
        <v>87</v>
      </c>
      <c r="B301" t="s">
        <v>65</v>
      </c>
      <c r="C301" t="s">
        <v>84</v>
      </c>
      <c r="D301" t="s">
        <v>71</v>
      </c>
      <c r="E301">
        <v>9</v>
      </c>
      <c r="F301">
        <v>6.5217391304347797E-2</v>
      </c>
      <c r="G301">
        <v>5</v>
      </c>
      <c r="H301" s="10">
        <v>9.4839487797914596E-2</v>
      </c>
      <c r="I301" s="10">
        <v>7.1008804873010298E-2</v>
      </c>
      <c r="J301" s="10">
        <v>0.1038384839723219</v>
      </c>
      <c r="K301" s="10">
        <v>1.4542054795680239</v>
      </c>
      <c r="L301" s="10">
        <v>1.088801674719492</v>
      </c>
      <c r="M301" s="10">
        <v>1.592190087575603</v>
      </c>
      <c r="N301" s="10">
        <v>0.4885443583118001</v>
      </c>
      <c r="O301" s="10">
        <v>0.39853574504737288</v>
      </c>
      <c r="P301" s="10">
        <v>0.56020671834625313</v>
      </c>
      <c r="Q301" s="10">
        <v>2.3245517689301699E-2</v>
      </c>
      <c r="R301" s="10">
        <v>-5.3010202996287697E-2</v>
      </c>
      <c r="S301" s="10">
        <v>5.7827912780023201E-2</v>
      </c>
      <c r="T301" s="10">
        <v>0.2222115947392192</v>
      </c>
      <c r="U301" s="10">
        <v>0.1757518796992481</v>
      </c>
      <c r="V301" s="10">
        <v>0.26589412360688958</v>
      </c>
      <c r="W301" s="10">
        <v>7.83250083250083E-2</v>
      </c>
      <c r="X301" s="10">
        <v>6.2051282051281999E-2</v>
      </c>
      <c r="Y301" s="10">
        <v>9.9523809523809501E-2</v>
      </c>
      <c r="Z301" s="10">
        <v>0.62222222222222223</v>
      </c>
      <c r="AA301" s="10">
        <v>0.22222222222222221</v>
      </c>
      <c r="AB301" s="10">
        <v>0.98888888888888882</v>
      </c>
      <c r="AC301" s="10">
        <v>4.6287723195482799E-2</v>
      </c>
      <c r="AD301">
        <v>9.6950984970909997E-4</v>
      </c>
      <c r="AE301">
        <v>0.13693339384249861</v>
      </c>
    </row>
    <row r="302" spans="1:31">
      <c r="A302" t="s">
        <v>79</v>
      </c>
      <c r="B302" t="s">
        <v>78</v>
      </c>
      <c r="C302" t="s">
        <v>80</v>
      </c>
      <c r="D302" t="s">
        <v>67</v>
      </c>
      <c r="E302">
        <v>4</v>
      </c>
      <c r="F302">
        <v>2.8985507246376802E-2</v>
      </c>
      <c r="G302">
        <v>5</v>
      </c>
      <c r="H302" s="10">
        <v>0.1455278149873509</v>
      </c>
      <c r="I302" s="10">
        <v>8.8770615938683101E-2</v>
      </c>
      <c r="J302" s="10">
        <v>0.24471968852403631</v>
      </c>
      <c r="K302" s="10">
        <v>5.0207096170636074</v>
      </c>
      <c r="L302" s="10">
        <v>3.0625862498845691</v>
      </c>
      <c r="M302" s="10">
        <v>8.4428292540792533</v>
      </c>
      <c r="N302" s="10">
        <v>0.83283582089552244</v>
      </c>
      <c r="O302" s="10">
        <v>0.75429104477611941</v>
      </c>
      <c r="P302" s="10">
        <v>0.91492537313432842</v>
      </c>
      <c r="Q302" s="10">
        <v>0.2567043933539308</v>
      </c>
      <c r="R302" s="10">
        <v>0.2114473855174393</v>
      </c>
      <c r="S302" s="10">
        <v>0.35473294980631559</v>
      </c>
      <c r="T302" s="10">
        <v>0.34596089610269981</v>
      </c>
      <c r="U302" s="10">
        <v>0.28076923076923072</v>
      </c>
      <c r="V302" s="10">
        <v>0.47390811117413489</v>
      </c>
      <c r="W302" s="10">
        <v>0.1011609977324263</v>
      </c>
      <c r="X302" s="10">
        <v>7.2448979591836701E-2</v>
      </c>
      <c r="Y302" s="10">
        <v>0.15511111111111109</v>
      </c>
      <c r="Z302" s="10">
        <v>0.95</v>
      </c>
      <c r="AA302" s="10">
        <v>0.77500000000000002</v>
      </c>
      <c r="AB302" s="10">
        <v>1</v>
      </c>
      <c r="AC302" s="10">
        <v>4.2671545842894301E-2</v>
      </c>
      <c r="AD302">
        <v>1.01383106897794E-2</v>
      </c>
      <c r="AE302">
        <v>9.2077123761677607E-2</v>
      </c>
    </row>
    <row r="303" spans="1:31">
      <c r="A303" t="s">
        <v>87</v>
      </c>
      <c r="B303" t="s">
        <v>77</v>
      </c>
      <c r="C303" t="s">
        <v>80</v>
      </c>
      <c r="D303" t="s">
        <v>68</v>
      </c>
      <c r="E303">
        <v>21</v>
      </c>
      <c r="F303">
        <v>0.15</v>
      </c>
      <c r="G303">
        <v>5</v>
      </c>
      <c r="H303" s="10">
        <v>0.41313066952130478</v>
      </c>
      <c r="I303" s="10">
        <v>0.3292509134396428</v>
      </c>
      <c r="J303" s="10">
        <v>0.48154905396722758</v>
      </c>
      <c r="K303" s="10">
        <v>2.7542044634753662</v>
      </c>
      <c r="L303" s="10">
        <v>2.1950060895976198</v>
      </c>
      <c r="M303" s="10">
        <v>3.210327026448184</v>
      </c>
      <c r="N303" s="10">
        <v>0.68155262104841929</v>
      </c>
      <c r="O303" s="10">
        <v>0.57478991596638651</v>
      </c>
      <c r="P303" s="10">
        <v>0.77687074829931968</v>
      </c>
      <c r="Q303" s="10">
        <v>0.28442836934835342</v>
      </c>
      <c r="R303" s="10">
        <v>0.2148476888610906</v>
      </c>
      <c r="S303" s="10">
        <v>0.38206674206092578</v>
      </c>
      <c r="T303" s="10">
        <v>0.34693556394024611</v>
      </c>
      <c r="U303" s="10">
        <v>0.1150761828388131</v>
      </c>
      <c r="V303" s="10">
        <v>0.53456221198156684</v>
      </c>
      <c r="W303" s="10">
        <v>0.539047619047619</v>
      </c>
      <c r="X303" s="10">
        <v>0.28000000000000003</v>
      </c>
      <c r="Y303" s="10">
        <v>0.96666666666666679</v>
      </c>
      <c r="Z303" s="10">
        <v>0.38095238095238099</v>
      </c>
      <c r="AA303" s="10">
        <v>9.5238095238095205E-2</v>
      </c>
      <c r="AB303" s="10">
        <v>0.61428571428571432</v>
      </c>
      <c r="AC303" s="10">
        <v>0.57931030442354126</v>
      </c>
      <c r="AD303">
        <v>6.9040531837951405E-2</v>
      </c>
      <c r="AE303">
        <v>0.99999994833235917</v>
      </c>
    </row>
    <row r="304" spans="1:31">
      <c r="A304" t="s">
        <v>87</v>
      </c>
      <c r="B304" t="s">
        <v>77</v>
      </c>
      <c r="C304" t="s">
        <v>80</v>
      </c>
      <c r="D304" t="s">
        <v>69</v>
      </c>
      <c r="E304">
        <v>26</v>
      </c>
      <c r="F304">
        <v>0.18571428571428569</v>
      </c>
      <c r="G304">
        <v>5</v>
      </c>
      <c r="H304" s="10">
        <v>0.54247205744464666</v>
      </c>
      <c r="I304" s="10">
        <v>0.45510711756927408</v>
      </c>
      <c r="J304" s="10">
        <v>0.65872322515923065</v>
      </c>
      <c r="K304" s="10">
        <v>2.9210033862404048</v>
      </c>
      <c r="L304" s="10">
        <v>2.4505767869114758</v>
      </c>
      <c r="M304" s="10">
        <v>3.546971212395857</v>
      </c>
      <c r="N304" s="10">
        <v>0.8582995951417004</v>
      </c>
      <c r="O304" s="10">
        <v>0.81497975708502024</v>
      </c>
      <c r="P304" s="10">
        <v>0.89018218623481771</v>
      </c>
      <c r="Q304" s="10">
        <v>0.52900517694981408</v>
      </c>
      <c r="R304" s="10">
        <v>0.3950231786455467</v>
      </c>
      <c r="S304" s="10">
        <v>0.58192765032995408</v>
      </c>
      <c r="T304" s="10">
        <v>0.7263885476373122</v>
      </c>
      <c r="U304" s="10">
        <v>0.54681592039800986</v>
      </c>
      <c r="V304" s="10">
        <v>0.78844839371155162</v>
      </c>
      <c r="W304" s="10">
        <v>0.48345098039215689</v>
      </c>
      <c r="X304" s="10">
        <v>0.46705882352941169</v>
      </c>
      <c r="Y304" s="10">
        <v>0.5</v>
      </c>
      <c r="Z304" s="10">
        <v>0.83846153846153848</v>
      </c>
      <c r="AA304" s="10">
        <v>0.57307692307692304</v>
      </c>
      <c r="AB304" s="10">
        <v>0.92307692307692324</v>
      </c>
      <c r="AC304" s="10">
        <v>0.23393699630072889</v>
      </c>
      <c r="AD304">
        <v>5.2596158842071201E-2</v>
      </c>
      <c r="AE304">
        <v>0.52582302939547432</v>
      </c>
    </row>
    <row r="305" spans="1:31">
      <c r="A305" t="s">
        <v>87</v>
      </c>
      <c r="B305" t="s">
        <v>77</v>
      </c>
      <c r="C305" t="s">
        <v>80</v>
      </c>
      <c r="D305" t="s">
        <v>70</v>
      </c>
      <c r="E305">
        <v>7</v>
      </c>
      <c r="F305">
        <v>0.05</v>
      </c>
      <c r="G305">
        <v>5</v>
      </c>
      <c r="H305" s="10">
        <v>0.30685600966439253</v>
      </c>
      <c r="I305" s="10">
        <v>0.21799550091090941</v>
      </c>
      <c r="J305" s="10">
        <v>0.40275415801481218</v>
      </c>
      <c r="K305" s="10">
        <v>6.137120193287851</v>
      </c>
      <c r="L305" s="10">
        <v>4.3599100182181889</v>
      </c>
      <c r="M305" s="10">
        <v>8.0550831602962436</v>
      </c>
      <c r="N305" s="10">
        <v>0.75198711063372714</v>
      </c>
      <c r="O305" s="10">
        <v>0.68856068743286791</v>
      </c>
      <c r="P305" s="10">
        <v>0.78662728249194414</v>
      </c>
      <c r="Q305" s="10">
        <v>0.296065917711547</v>
      </c>
      <c r="R305" s="10">
        <v>-5.0891806346030997E-3</v>
      </c>
      <c r="S305" s="10">
        <v>0.53761047087934877</v>
      </c>
      <c r="T305" s="10">
        <v>0.30879165455778351</v>
      </c>
      <c r="U305" s="10">
        <v>3.2258064516128997E-2</v>
      </c>
      <c r="V305" s="10">
        <v>0.46241554054054052</v>
      </c>
      <c r="W305" s="10">
        <v>0.37272727272727268</v>
      </c>
      <c r="X305" s="10">
        <v>1.13636363636363E-2</v>
      </c>
      <c r="Y305" s="10">
        <v>0.7416666666666667</v>
      </c>
      <c r="Z305" s="10">
        <v>0.37142857142857139</v>
      </c>
      <c r="AA305" s="10">
        <v>2.8571428571428501E-2</v>
      </c>
      <c r="AB305" s="10">
        <v>0.68571428571428572</v>
      </c>
      <c r="AC305" s="10">
        <v>0.60092966488709043</v>
      </c>
      <c r="AD305">
        <v>4.4927133725063399E-2</v>
      </c>
      <c r="AE305">
        <v>0.98137515635798978</v>
      </c>
    </row>
    <row r="306" spans="1:31">
      <c r="A306" t="s">
        <v>87</v>
      </c>
      <c r="B306" t="s">
        <v>77</v>
      </c>
      <c r="C306" t="s">
        <v>80</v>
      </c>
      <c r="D306" t="s">
        <v>71</v>
      </c>
      <c r="E306">
        <v>9</v>
      </c>
      <c r="F306">
        <v>6.4285714285714196E-2</v>
      </c>
      <c r="G306">
        <v>5</v>
      </c>
      <c r="H306" s="10">
        <v>0.2245361690157078</v>
      </c>
      <c r="I306" s="10">
        <v>0.1524610660950079</v>
      </c>
      <c r="J306" s="10">
        <v>0.34130729131177823</v>
      </c>
      <c r="K306" s="10">
        <v>3.4927848513554558</v>
      </c>
      <c r="L306" s="10">
        <v>2.3716165837001228</v>
      </c>
      <c r="M306" s="10">
        <v>5.3092245315165503</v>
      </c>
      <c r="N306" s="10">
        <v>0.57184054283290919</v>
      </c>
      <c r="O306" s="10">
        <v>0.51560644614079731</v>
      </c>
      <c r="P306" s="10">
        <v>0.61933842239185743</v>
      </c>
      <c r="Q306" s="10">
        <v>0.20785484111053229</v>
      </c>
      <c r="R306" s="10">
        <v>-4.4937324616361102E-2</v>
      </c>
      <c r="S306" s="10">
        <v>0.3582917247645287</v>
      </c>
      <c r="T306" s="10">
        <v>0.27012751249728501</v>
      </c>
      <c r="U306" s="10">
        <v>0.2089341692789968</v>
      </c>
      <c r="V306" s="10">
        <v>0.33873307543520309</v>
      </c>
      <c r="W306" s="10">
        <v>0.32388796219071447</v>
      </c>
      <c r="X306" s="10">
        <v>7.4541284403669694E-2</v>
      </c>
      <c r="Y306" s="10">
        <v>0.63749999999999996</v>
      </c>
      <c r="Z306" s="10">
        <v>0.35555555555555551</v>
      </c>
      <c r="AA306" s="10">
        <v>0.22222222222222221</v>
      </c>
      <c r="AB306" s="10">
        <v>0.6333333333333333</v>
      </c>
      <c r="AC306" s="10">
        <v>0.76798074955526563</v>
      </c>
      <c r="AD306">
        <v>8.9478650727253001E-2</v>
      </c>
      <c r="AE306">
        <v>0.99999278746897435</v>
      </c>
    </row>
    <row r="307" spans="1:31" hidden="1">
      <c r="A307" t="s">
        <v>87</v>
      </c>
      <c r="B307" t="s">
        <v>77</v>
      </c>
      <c r="C307" t="s">
        <v>81</v>
      </c>
      <c r="D307" t="s">
        <v>67</v>
      </c>
      <c r="E307">
        <v>4</v>
      </c>
      <c r="F307">
        <v>2.8571428571428501E-2</v>
      </c>
      <c r="G307">
        <v>5</v>
      </c>
      <c r="H307" s="10">
        <v>0.1130952380952381</v>
      </c>
      <c r="I307" s="10">
        <v>8.3928571428571394E-2</v>
      </c>
      <c r="J307" s="10">
        <v>0.14642857142857141</v>
      </c>
      <c r="K307" s="10">
        <v>3.958333333333333</v>
      </c>
      <c r="L307" s="10">
        <v>2.9375</v>
      </c>
      <c r="M307" s="10">
        <v>5.125</v>
      </c>
      <c r="N307" s="10">
        <v>0.61029411764705888</v>
      </c>
      <c r="O307" s="10">
        <v>0.60569852941176472</v>
      </c>
      <c r="P307" s="10">
        <v>0.61709558823529409</v>
      </c>
      <c r="Q307" s="10">
        <v>8.9220243474443794E-2</v>
      </c>
      <c r="R307" s="10">
        <v>0</v>
      </c>
      <c r="S307" s="10">
        <v>0.26117079645378061</v>
      </c>
      <c r="T307" s="10">
        <v>0.17500920132499079</v>
      </c>
      <c r="U307" s="10">
        <v>0.12820512820512819</v>
      </c>
      <c r="V307" s="10">
        <v>0.25956937799043062</v>
      </c>
      <c r="W307" s="10">
        <v>0.1171428571428571</v>
      </c>
      <c r="X307" s="10">
        <v>2.8571428571428501E-2</v>
      </c>
      <c r="Y307" s="10">
        <v>0.3166666666666666</v>
      </c>
      <c r="Z307" s="10">
        <v>0.7</v>
      </c>
      <c r="AA307" s="10">
        <v>0.25</v>
      </c>
      <c r="AB307" s="10">
        <v>1</v>
      </c>
      <c r="AC307" s="10">
        <v>2.90235404898453E-2</v>
      </c>
      <c r="AD307">
        <v>0</v>
      </c>
      <c r="AE307">
        <v>8.2743553664566399E-2</v>
      </c>
    </row>
    <row r="308" spans="1:31" hidden="1">
      <c r="A308" t="s">
        <v>87</v>
      </c>
      <c r="B308" t="s">
        <v>77</v>
      </c>
      <c r="C308" t="s">
        <v>81</v>
      </c>
      <c r="D308" t="s">
        <v>68</v>
      </c>
      <c r="E308">
        <v>21</v>
      </c>
      <c r="F308">
        <v>0.15</v>
      </c>
      <c r="G308">
        <v>5</v>
      </c>
      <c r="H308" s="10">
        <v>0.2564859752944279</v>
      </c>
      <c r="I308" s="10">
        <v>0.20664012221712519</v>
      </c>
      <c r="J308" s="10">
        <v>0.3023326272723052</v>
      </c>
      <c r="K308" s="10">
        <v>1.709906501962853</v>
      </c>
      <c r="L308" s="10">
        <v>1.377600814780835</v>
      </c>
      <c r="M308" s="10">
        <v>2.015550848482035</v>
      </c>
      <c r="N308" s="10">
        <v>0.65186074429771923</v>
      </c>
      <c r="O308" s="10">
        <v>0.61536614645858356</v>
      </c>
      <c r="P308" s="10">
        <v>0.68631452581032415</v>
      </c>
      <c r="Q308" s="10">
        <v>0.15870109147514971</v>
      </c>
      <c r="R308" s="10">
        <v>5.3100717393982602E-2</v>
      </c>
      <c r="S308" s="10">
        <v>0.25022510121833941</v>
      </c>
      <c r="T308" s="10">
        <v>0.43529221645503863</v>
      </c>
      <c r="U308" s="10">
        <v>0.29447343453510438</v>
      </c>
      <c r="V308" s="10">
        <v>0.53443169196593854</v>
      </c>
      <c r="W308" s="10">
        <v>0.21554590570719601</v>
      </c>
      <c r="X308" s="10">
        <v>0.17865384615384611</v>
      </c>
      <c r="Y308" s="10">
        <v>0.2475806451612903</v>
      </c>
      <c r="Z308" s="10">
        <v>0.59047619047619038</v>
      </c>
      <c r="AA308" s="10">
        <v>0.35238095238095229</v>
      </c>
      <c r="AB308" s="10">
        <v>0.75238095238095237</v>
      </c>
      <c r="AC308" s="10">
        <v>0.21118758727897871</v>
      </c>
      <c r="AD308">
        <v>8.7874144714222099E-2</v>
      </c>
      <c r="AE308">
        <v>0.37437272474021821</v>
      </c>
    </row>
    <row r="309" spans="1:31" hidden="1">
      <c r="A309" t="s">
        <v>87</v>
      </c>
      <c r="B309" t="s">
        <v>77</v>
      </c>
      <c r="C309" t="s">
        <v>81</v>
      </c>
      <c r="D309" t="s">
        <v>69</v>
      </c>
      <c r="E309">
        <v>26</v>
      </c>
      <c r="F309">
        <v>0.18571428571428569</v>
      </c>
      <c r="G309">
        <v>5</v>
      </c>
      <c r="H309" s="10">
        <v>0.48451958214305918</v>
      </c>
      <c r="I309" s="10">
        <v>0.41145487137527498</v>
      </c>
      <c r="J309" s="10">
        <v>0.54049010822766919</v>
      </c>
      <c r="K309" s="10">
        <v>2.6089515961549341</v>
      </c>
      <c r="L309" s="10">
        <v>2.2155262304822498</v>
      </c>
      <c r="M309" s="10">
        <v>2.9103313519951421</v>
      </c>
      <c r="N309" s="10">
        <v>0.84517543859649125</v>
      </c>
      <c r="O309" s="10">
        <v>0.76516531713900138</v>
      </c>
      <c r="P309" s="10">
        <v>0.87982456140350884</v>
      </c>
      <c r="Q309" s="10">
        <v>0.39775685594402849</v>
      </c>
      <c r="R309" s="10">
        <v>0.26175175257980549</v>
      </c>
      <c r="S309" s="10">
        <v>0.50387868595473317</v>
      </c>
      <c r="T309" s="10">
        <v>0.59309381377471171</v>
      </c>
      <c r="U309" s="10">
        <v>0.44216058394160579</v>
      </c>
      <c r="V309" s="10">
        <v>0.75414522584333898</v>
      </c>
      <c r="W309" s="10">
        <v>0.42652960724236549</v>
      </c>
      <c r="X309" s="10">
        <v>0.36422924901185771</v>
      </c>
      <c r="Y309" s="10">
        <v>0.5561038961038961</v>
      </c>
      <c r="Z309" s="10">
        <v>0.68461538461538463</v>
      </c>
      <c r="AA309" s="10">
        <v>0.46153846153846151</v>
      </c>
      <c r="AB309" s="10">
        <v>0.95384615384615401</v>
      </c>
      <c r="AC309" s="10">
        <v>0.4495548614860832</v>
      </c>
      <c r="AD309">
        <v>0.39812853235001411</v>
      </c>
      <c r="AE309">
        <v>0.60548951290133524</v>
      </c>
    </row>
    <row r="310" spans="1:31" hidden="1">
      <c r="A310" t="s">
        <v>87</v>
      </c>
      <c r="B310" t="s">
        <v>77</v>
      </c>
      <c r="C310" t="s">
        <v>81</v>
      </c>
      <c r="D310" t="s">
        <v>70</v>
      </c>
      <c r="E310">
        <v>7</v>
      </c>
      <c r="F310">
        <v>0.05</v>
      </c>
      <c r="G310">
        <v>5</v>
      </c>
      <c r="H310" s="10">
        <v>0.32108843537414961</v>
      </c>
      <c r="I310" s="10">
        <v>0.21642857142857139</v>
      </c>
      <c r="J310" s="10">
        <v>0.37227891156462578</v>
      </c>
      <c r="K310" s="10">
        <v>6.4217687074829923</v>
      </c>
      <c r="L310" s="10">
        <v>4.3285714285714283</v>
      </c>
      <c r="M310" s="10">
        <v>7.4455782312925169</v>
      </c>
      <c r="N310" s="10">
        <v>0.69752953813104202</v>
      </c>
      <c r="O310" s="10">
        <v>0.6311493018259936</v>
      </c>
      <c r="P310" s="10">
        <v>0.76165413533834581</v>
      </c>
      <c r="Q310" s="10">
        <v>0.31749024378478219</v>
      </c>
      <c r="R310" s="10">
        <v>3.09057549981843E-2</v>
      </c>
      <c r="S310" s="10">
        <v>0.4706309973094906</v>
      </c>
      <c r="T310" s="10">
        <v>0.3819494628318158</v>
      </c>
      <c r="U310" s="10">
        <v>0.2178030303030303</v>
      </c>
      <c r="V310" s="10">
        <v>0.53060413354531</v>
      </c>
      <c r="W310" s="10">
        <v>0.35388888888888881</v>
      </c>
      <c r="X310" s="10">
        <v>8.2500000000000004E-2</v>
      </c>
      <c r="Y310" s="10">
        <v>0.49444444444444441</v>
      </c>
      <c r="Z310" s="10">
        <v>0.54285714285714282</v>
      </c>
      <c r="AA310" s="10">
        <v>0.3</v>
      </c>
      <c r="AB310" s="10">
        <v>0.95714285714285718</v>
      </c>
      <c r="AC310" s="10">
        <v>0.12547572019995759</v>
      </c>
      <c r="AD310">
        <v>3.1314947938725001E-3</v>
      </c>
      <c r="AE310">
        <v>0.19883435078542089</v>
      </c>
    </row>
    <row r="311" spans="1:31" hidden="1">
      <c r="A311" t="s">
        <v>87</v>
      </c>
      <c r="B311" t="s">
        <v>77</v>
      </c>
      <c r="C311" t="s">
        <v>81</v>
      </c>
      <c r="D311" t="s">
        <v>71</v>
      </c>
      <c r="E311">
        <v>9</v>
      </c>
      <c r="F311">
        <v>6.4285714285714196E-2</v>
      </c>
      <c r="G311">
        <v>5</v>
      </c>
      <c r="H311" s="10">
        <v>0.18304673721340381</v>
      </c>
      <c r="I311" s="10">
        <v>0.1152182539682539</v>
      </c>
      <c r="J311" s="10">
        <v>0.24529100529100531</v>
      </c>
      <c r="K311" s="10">
        <v>2.8473936899862831</v>
      </c>
      <c r="L311" s="10">
        <v>1.7922839506172841</v>
      </c>
      <c r="M311" s="10">
        <v>3.8156378600823051</v>
      </c>
      <c r="N311" s="10">
        <v>0.63307888040712468</v>
      </c>
      <c r="O311" s="10">
        <v>0.61289228159457165</v>
      </c>
      <c r="P311" s="10">
        <v>0.64283290924512293</v>
      </c>
      <c r="Q311" s="10">
        <v>0.1201209863443841</v>
      </c>
      <c r="R311" s="10">
        <v>0</v>
      </c>
      <c r="S311" s="10">
        <v>0.32290849856291648</v>
      </c>
      <c r="T311" s="10">
        <v>0.18576051741236421</v>
      </c>
      <c r="U311" s="10">
        <v>1.2820512820512799E-2</v>
      </c>
      <c r="V311" s="10">
        <v>0.33952167019027479</v>
      </c>
      <c r="W311" s="10">
        <v>0.1919047619047618</v>
      </c>
      <c r="X311" s="10">
        <v>6.4285714285713998E-3</v>
      </c>
      <c r="Y311" s="10">
        <v>0.419047619047619</v>
      </c>
      <c r="Z311" s="10">
        <v>0.33333333333333331</v>
      </c>
      <c r="AA311" s="10">
        <v>1.1111111111111099E-2</v>
      </c>
      <c r="AB311" s="10">
        <v>0.93333333333333324</v>
      </c>
      <c r="AC311" s="10">
        <v>0.20257037187452359</v>
      </c>
      <c r="AD311">
        <v>1.98867522783427E-2</v>
      </c>
      <c r="AE311">
        <v>0.3848514268250493</v>
      </c>
    </row>
    <row r="312" spans="1:31" hidden="1">
      <c r="A312" t="s">
        <v>87</v>
      </c>
      <c r="B312" t="s">
        <v>77</v>
      </c>
      <c r="C312" t="s">
        <v>82</v>
      </c>
      <c r="D312" t="s">
        <v>67</v>
      </c>
      <c r="E312">
        <v>4</v>
      </c>
      <c r="F312">
        <v>2.8571428571428501E-2</v>
      </c>
      <c r="G312">
        <v>5</v>
      </c>
      <c r="H312" s="10">
        <v>4.5165766979287897E-2</v>
      </c>
      <c r="I312" s="10">
        <v>3.1708901744749302E-2</v>
      </c>
      <c r="J312" s="10">
        <v>5.8711311749209703E-2</v>
      </c>
      <c r="K312" s="10">
        <v>1.5808018442750791</v>
      </c>
      <c r="L312" s="10">
        <v>1.1098115610662289</v>
      </c>
      <c r="M312" s="10">
        <v>2.0548959112223408</v>
      </c>
      <c r="N312" s="10">
        <v>0.42610294117647057</v>
      </c>
      <c r="O312" s="10">
        <v>0.35183823529411762</v>
      </c>
      <c r="P312" s="10">
        <v>0.53143382352941171</v>
      </c>
      <c r="Q312" s="10">
        <v>-7.5995478481023001E-3</v>
      </c>
      <c r="R312" s="10">
        <v>-9.8501798279375205E-2</v>
      </c>
      <c r="S312" s="10">
        <v>8.2687938106198705E-2</v>
      </c>
      <c r="T312" s="10">
        <v>0.12986813892426449</v>
      </c>
      <c r="U312" s="10">
        <v>0.1043882978723404</v>
      </c>
      <c r="V312" s="10">
        <v>0.17206856252434749</v>
      </c>
      <c r="W312" s="10">
        <v>2.9906179549114301E-2</v>
      </c>
      <c r="X312" s="10">
        <v>2.3493750000000001E-2</v>
      </c>
      <c r="Y312" s="10">
        <v>4.2093397745571602E-2</v>
      </c>
      <c r="Z312" s="10">
        <v>0.85</v>
      </c>
      <c r="AA312" s="10">
        <v>0.75</v>
      </c>
      <c r="AB312" s="10">
        <v>1</v>
      </c>
      <c r="AC312" s="10">
        <v>4.66147155107813E-2</v>
      </c>
      <c r="AD312">
        <v>2.7515482041326629E-6</v>
      </c>
      <c r="AE312">
        <v>0.17905871681542959</v>
      </c>
    </row>
    <row r="313" spans="1:31" hidden="1">
      <c r="A313" t="s">
        <v>87</v>
      </c>
      <c r="B313" t="s">
        <v>77</v>
      </c>
      <c r="C313" t="s">
        <v>82</v>
      </c>
      <c r="D313" t="s">
        <v>68</v>
      </c>
      <c r="E313">
        <v>21</v>
      </c>
      <c r="F313">
        <v>0.15</v>
      </c>
      <c r="G313">
        <v>5</v>
      </c>
      <c r="H313" s="10">
        <v>0.18007910812966479</v>
      </c>
      <c r="I313" s="10">
        <v>0.1265330070132514</v>
      </c>
      <c r="J313" s="10">
        <v>0.23263695907412449</v>
      </c>
      <c r="K313" s="10">
        <v>1.2005273875310991</v>
      </c>
      <c r="L313" s="10">
        <v>0.84355338008834302</v>
      </c>
      <c r="M313" s="10">
        <v>1.5509130604941641</v>
      </c>
      <c r="N313" s="10">
        <v>0.45794317727090839</v>
      </c>
      <c r="O313" s="10">
        <v>0.35822328931572628</v>
      </c>
      <c r="P313" s="10">
        <v>0.53889555822328927</v>
      </c>
      <c r="Q313" s="10">
        <v>1.9493364326357801E-2</v>
      </c>
      <c r="R313" s="10">
        <v>-7.2387826358340193E-2</v>
      </c>
      <c r="S313" s="10">
        <v>8.9308193910029601E-2</v>
      </c>
      <c r="T313" s="10">
        <v>0.2098831764659479</v>
      </c>
      <c r="U313" s="10">
        <v>1.63934426229508E-2</v>
      </c>
      <c r="V313" s="10">
        <v>0.39182787208843262</v>
      </c>
      <c r="W313" s="10">
        <v>0.1343393448656606</v>
      </c>
      <c r="X313" s="10">
        <v>1.0526315789473601E-2</v>
      </c>
      <c r="Y313" s="10">
        <v>0.19846153846153841</v>
      </c>
      <c r="Z313" s="10">
        <v>0.25714285714285712</v>
      </c>
      <c r="AA313" s="10">
        <v>1.9047619047619001E-2</v>
      </c>
      <c r="AB313" s="10">
        <v>0.54761904761904756</v>
      </c>
      <c r="AC313" s="10">
        <v>0.28304204186927739</v>
      </c>
      <c r="AD313">
        <v>0.14975726055284119</v>
      </c>
      <c r="AE313">
        <v>0.55796350679019946</v>
      </c>
    </row>
    <row r="314" spans="1:31" hidden="1">
      <c r="A314" t="s">
        <v>87</v>
      </c>
      <c r="B314" t="s">
        <v>77</v>
      </c>
      <c r="C314" t="s">
        <v>82</v>
      </c>
      <c r="D314" t="s">
        <v>69</v>
      </c>
      <c r="E314">
        <v>26</v>
      </c>
      <c r="F314">
        <v>0.18571428571428569</v>
      </c>
      <c r="G314">
        <v>5</v>
      </c>
      <c r="H314" s="10">
        <v>0.40471017808310139</v>
      </c>
      <c r="I314" s="10">
        <v>0.32851683580599012</v>
      </c>
      <c r="J314" s="10">
        <v>0.46460644215417352</v>
      </c>
      <c r="K314" s="10">
        <v>2.1792086512167002</v>
      </c>
      <c r="L314" s="10">
        <v>1.7689368081861001</v>
      </c>
      <c r="M314" s="10">
        <v>2.501726996214781</v>
      </c>
      <c r="N314" s="10">
        <v>0.77395411605937914</v>
      </c>
      <c r="O314" s="10">
        <v>0.73663967611336034</v>
      </c>
      <c r="P314" s="10">
        <v>0.81599190283400813</v>
      </c>
      <c r="Q314" s="10">
        <v>0.36394074771537138</v>
      </c>
      <c r="R314" s="10">
        <v>0.21314017160847429</v>
      </c>
      <c r="S314" s="10">
        <v>0.49205598430567948</v>
      </c>
      <c r="T314" s="10">
        <v>0.5439377368318763</v>
      </c>
      <c r="U314" s="10">
        <v>0.25465838509316768</v>
      </c>
      <c r="V314" s="10">
        <v>0.69537926705615372</v>
      </c>
      <c r="W314" s="10">
        <v>0.42464769273279918</v>
      </c>
      <c r="X314" s="10">
        <v>0.33829787234042552</v>
      </c>
      <c r="Y314" s="10">
        <v>0.4838095238095238</v>
      </c>
      <c r="Z314" s="10">
        <v>0.61538461538461542</v>
      </c>
      <c r="AA314" s="10">
        <v>0.23846153846153839</v>
      </c>
      <c r="AB314" s="10">
        <v>0.8</v>
      </c>
      <c r="AC314" s="10">
        <v>0.46456087500340709</v>
      </c>
      <c r="AD314">
        <v>0.37135561130029121</v>
      </c>
      <c r="AE314">
        <v>0.66105279623663538</v>
      </c>
    </row>
    <row r="315" spans="1:31" hidden="1">
      <c r="A315" t="s">
        <v>87</v>
      </c>
      <c r="B315" t="s">
        <v>77</v>
      </c>
      <c r="C315" t="s">
        <v>82</v>
      </c>
      <c r="D315" t="s">
        <v>70</v>
      </c>
      <c r="E315">
        <v>7</v>
      </c>
      <c r="F315">
        <v>0.05</v>
      </c>
      <c r="G315">
        <v>5</v>
      </c>
      <c r="H315" s="10">
        <v>5.8222707405549502E-2</v>
      </c>
      <c r="I315" s="10">
        <v>3.8362242117556497E-2</v>
      </c>
      <c r="J315" s="10">
        <v>8.2042233713272295E-2</v>
      </c>
      <c r="K315" s="10">
        <v>1.16445414811099</v>
      </c>
      <c r="L315" s="10">
        <v>0.76724484235113077</v>
      </c>
      <c r="M315" s="10">
        <v>1.640844674265447</v>
      </c>
      <c r="N315" s="10">
        <v>0.33856068743286788</v>
      </c>
      <c r="O315" s="10">
        <v>0.2469387755102041</v>
      </c>
      <c r="P315" s="10">
        <v>0.4009667024704619</v>
      </c>
      <c r="Q315" s="10">
        <v>-5.1700138401797003E-3</v>
      </c>
      <c r="R315" s="10">
        <v>-9.4994318398892705E-2</v>
      </c>
      <c r="S315" s="10">
        <v>0.1058972307034696</v>
      </c>
      <c r="T315" s="10">
        <v>0.11923810343817</v>
      </c>
      <c r="U315" s="10">
        <v>1.21951219512195E-2</v>
      </c>
      <c r="V315" s="10">
        <v>0.1824077457069784</v>
      </c>
      <c r="W315" s="10">
        <v>6.7042830690321506E-2</v>
      </c>
      <c r="X315" s="10">
        <v>4.5112781954887004E-3</v>
      </c>
      <c r="Y315" s="10">
        <v>0.15769230769230769</v>
      </c>
      <c r="Z315" s="10">
        <v>0.2857142857142857</v>
      </c>
      <c r="AA315" s="10">
        <v>1.42857142857142E-2</v>
      </c>
      <c r="AB315" s="10">
        <v>0.79999999999999993</v>
      </c>
      <c r="AC315" s="10">
        <v>0.13489611649159661</v>
      </c>
      <c r="AD315">
        <v>8.4994964528189998E-3</v>
      </c>
      <c r="AE315">
        <v>0.27908598206599888</v>
      </c>
    </row>
    <row r="316" spans="1:31" hidden="1">
      <c r="A316" t="s">
        <v>87</v>
      </c>
      <c r="B316" t="s">
        <v>77</v>
      </c>
      <c r="C316" t="s">
        <v>82</v>
      </c>
      <c r="D316" t="s">
        <v>71</v>
      </c>
      <c r="E316">
        <v>9</v>
      </c>
      <c r="F316">
        <v>6.4285714285714196E-2</v>
      </c>
      <c r="G316">
        <v>5</v>
      </c>
      <c r="H316" s="10">
        <v>6.0164755443365199E-2</v>
      </c>
      <c r="I316" s="10">
        <v>5.1764365206841703E-2</v>
      </c>
      <c r="J316" s="10">
        <v>7.1979902566082804E-2</v>
      </c>
      <c r="K316" s="10">
        <v>0.93589619578568162</v>
      </c>
      <c r="L316" s="10">
        <v>0.8052234587730932</v>
      </c>
      <c r="M316" s="10">
        <v>1.119687373250178</v>
      </c>
      <c r="N316" s="10">
        <v>0.35691263782866828</v>
      </c>
      <c r="O316" s="10">
        <v>0.32332485156912638</v>
      </c>
      <c r="P316" s="10">
        <v>0.41450381679389298</v>
      </c>
      <c r="Q316" s="10">
        <v>-3.7241857897475798E-2</v>
      </c>
      <c r="R316" s="10">
        <v>-7.6156745262126402E-2</v>
      </c>
      <c r="S316" s="10">
        <v>1.54633967525626E-2</v>
      </c>
      <c r="T316" s="10">
        <v>0.1121845020782956</v>
      </c>
      <c r="U316" s="10">
        <v>7.2463768115942004E-3</v>
      </c>
      <c r="V316" s="10">
        <v>0.18762874106385549</v>
      </c>
      <c r="W316" s="10">
        <v>4.2512847776005599E-2</v>
      </c>
      <c r="X316" s="10">
        <v>3.0303030303029999E-3</v>
      </c>
      <c r="Y316" s="10">
        <v>7.2222222222222202E-2</v>
      </c>
      <c r="Z316" s="10">
        <v>0.22222222222222221</v>
      </c>
      <c r="AA316" s="10">
        <v>1.1111111111111099E-2</v>
      </c>
      <c r="AB316" s="10">
        <v>0.52222222222222225</v>
      </c>
      <c r="AC316" s="10">
        <v>0.14315762592044889</v>
      </c>
      <c r="AD316">
        <v>1.8078890366068801E-2</v>
      </c>
      <c r="AE316">
        <v>0.30579898998507798</v>
      </c>
    </row>
    <row r="317" spans="1:31" hidden="1">
      <c r="A317" t="s">
        <v>87</v>
      </c>
      <c r="B317" t="s">
        <v>77</v>
      </c>
      <c r="C317" t="s">
        <v>76</v>
      </c>
      <c r="D317" t="s">
        <v>67</v>
      </c>
      <c r="E317">
        <v>4</v>
      </c>
      <c r="F317">
        <v>2.8571428571428501E-2</v>
      </c>
      <c r="G317">
        <v>5</v>
      </c>
      <c r="H317" s="10">
        <v>6.2107154319995701E-2</v>
      </c>
      <c r="I317" s="10">
        <v>4.1536913470821203E-2</v>
      </c>
      <c r="J317" s="10">
        <v>9.2419342699074106E-2</v>
      </c>
      <c r="K317" s="10">
        <v>2.1737504011998499</v>
      </c>
      <c r="L317" s="10">
        <v>1.4537919714787439</v>
      </c>
      <c r="M317" s="10">
        <v>3.2346769944675962</v>
      </c>
      <c r="N317" s="10">
        <v>0.64393382352941175</v>
      </c>
      <c r="O317" s="10">
        <v>0.4903492647058823</v>
      </c>
      <c r="P317" s="10">
        <v>0.79613970588235283</v>
      </c>
      <c r="Q317" s="10">
        <v>6.17049675531249E-2</v>
      </c>
      <c r="R317" s="10">
        <v>1.5297429348500379E-5</v>
      </c>
      <c r="S317" s="10">
        <v>0.1127231798033186</v>
      </c>
      <c r="T317" s="10">
        <v>0.15792166514253689</v>
      </c>
      <c r="U317" s="10">
        <v>9.9610356963298105E-2</v>
      </c>
      <c r="V317" s="10">
        <v>0.21035728623042951</v>
      </c>
      <c r="W317" s="10">
        <v>4.8442341564545403E-2</v>
      </c>
      <c r="X317" s="10">
        <v>2.7919708029197E-2</v>
      </c>
      <c r="Y317" s="10">
        <v>6.6451612903225807E-2</v>
      </c>
      <c r="Z317" s="10">
        <v>0.5</v>
      </c>
      <c r="AA317" s="10">
        <v>0.25</v>
      </c>
      <c r="AB317" s="10">
        <v>0.95</v>
      </c>
      <c r="AC317" s="10">
        <v>5.5891963386326203E-2</v>
      </c>
      <c r="AD317">
        <v>4.2743543056001998E-3</v>
      </c>
      <c r="AE317">
        <v>8.9072417317446403E-2</v>
      </c>
    </row>
    <row r="318" spans="1:31" hidden="1">
      <c r="A318" t="s">
        <v>87</v>
      </c>
      <c r="B318" t="s">
        <v>77</v>
      </c>
      <c r="C318" t="s">
        <v>76</v>
      </c>
      <c r="D318" t="s">
        <v>68</v>
      </c>
      <c r="E318">
        <v>21</v>
      </c>
      <c r="F318">
        <v>0.15</v>
      </c>
      <c r="G318">
        <v>5</v>
      </c>
      <c r="H318" s="10">
        <v>0.37943183845992029</v>
      </c>
      <c r="I318" s="10">
        <v>0.35417145494041058</v>
      </c>
      <c r="J318" s="10">
        <v>0.39218386747336598</v>
      </c>
      <c r="K318" s="10">
        <v>2.5295455897328019</v>
      </c>
      <c r="L318" s="10">
        <v>2.361143032936071</v>
      </c>
      <c r="M318" s="10">
        <v>2.6145591164891071</v>
      </c>
      <c r="N318" s="10">
        <v>0.77527010804321728</v>
      </c>
      <c r="O318" s="10">
        <v>0.73401360544217686</v>
      </c>
      <c r="P318" s="10">
        <v>0.80568227290916372</v>
      </c>
      <c r="Q318" s="10">
        <v>0.28811510672251578</v>
      </c>
      <c r="R318" s="10">
        <v>0.17233191148806659</v>
      </c>
      <c r="S318" s="10">
        <v>0.39041760120036578</v>
      </c>
      <c r="T318" s="10">
        <v>0.52202302334026751</v>
      </c>
      <c r="U318" s="10">
        <v>0.3646307798481711</v>
      </c>
      <c r="V318" s="10">
        <v>0.60190879554420984</v>
      </c>
      <c r="W318" s="10">
        <v>0.29469948331238649</v>
      </c>
      <c r="X318" s="10">
        <v>0.24180645161290321</v>
      </c>
      <c r="Y318" s="10">
        <v>0.36845238095238098</v>
      </c>
      <c r="Z318" s="10">
        <v>0.66666666666666674</v>
      </c>
      <c r="AA318" s="10">
        <v>0.40476190476190471</v>
      </c>
      <c r="AB318" s="10">
        <v>0.84761904761904761</v>
      </c>
      <c r="AC318" s="10">
        <v>0.29798721220784757</v>
      </c>
      <c r="AD318">
        <v>0.17595932194152111</v>
      </c>
      <c r="AE318">
        <v>0.41830752491513018</v>
      </c>
    </row>
    <row r="319" spans="1:31" hidden="1">
      <c r="A319" t="s">
        <v>87</v>
      </c>
      <c r="B319" t="s">
        <v>77</v>
      </c>
      <c r="C319" t="s">
        <v>76</v>
      </c>
      <c r="D319" t="s">
        <v>69</v>
      </c>
      <c r="E319">
        <v>26</v>
      </c>
      <c r="F319">
        <v>0.18571428571428569</v>
      </c>
      <c r="G319">
        <v>5</v>
      </c>
      <c r="H319" s="10">
        <v>0.6185917156390115</v>
      </c>
      <c r="I319" s="10">
        <v>0.58263726487012535</v>
      </c>
      <c r="J319" s="10">
        <v>0.66151613172946955</v>
      </c>
      <c r="K319" s="10">
        <v>3.3308784688254449</v>
      </c>
      <c r="L319" s="10">
        <v>3.1372775800699051</v>
      </c>
      <c r="M319" s="10">
        <v>3.5620099400817589</v>
      </c>
      <c r="N319" s="10">
        <v>0.92753036437246961</v>
      </c>
      <c r="O319" s="10">
        <v>0.90880566801619445</v>
      </c>
      <c r="P319" s="10">
        <v>0.93518893387314439</v>
      </c>
      <c r="Q319" s="10">
        <v>0.68344735823235647</v>
      </c>
      <c r="R319" s="10">
        <v>0.65568771698764583</v>
      </c>
      <c r="S319" s="10">
        <v>0.7234630856527452</v>
      </c>
      <c r="T319" s="10">
        <v>0.85269482980892375</v>
      </c>
      <c r="U319" s="10">
        <v>0.83894964096306379</v>
      </c>
      <c r="V319" s="10">
        <v>0.87337995337995344</v>
      </c>
      <c r="W319" s="10">
        <v>0.58907300429039555</v>
      </c>
      <c r="X319" s="10">
        <v>0.55652173913043479</v>
      </c>
      <c r="Y319" s="10">
        <v>0.63846153846153852</v>
      </c>
      <c r="Z319" s="10">
        <v>0.96153846153846156</v>
      </c>
      <c r="AA319" s="10">
        <v>0.92692307692307696</v>
      </c>
      <c r="AB319" s="10">
        <v>0.99615384615384617</v>
      </c>
      <c r="AC319" s="10">
        <v>0.44981879922152102</v>
      </c>
      <c r="AD319">
        <v>0.3509242112234417</v>
      </c>
      <c r="AE319">
        <v>0.5267360530402122</v>
      </c>
    </row>
    <row r="320" spans="1:31" hidden="1">
      <c r="A320" t="s">
        <v>87</v>
      </c>
      <c r="B320" t="s">
        <v>77</v>
      </c>
      <c r="C320" t="s">
        <v>76</v>
      </c>
      <c r="D320" t="s">
        <v>70</v>
      </c>
      <c r="E320">
        <v>7</v>
      </c>
      <c r="F320">
        <v>0.05</v>
      </c>
      <c r="G320">
        <v>5</v>
      </c>
      <c r="H320" s="10">
        <v>0.2376422220672593</v>
      </c>
      <c r="I320" s="10">
        <v>0.18395355056079721</v>
      </c>
      <c r="J320" s="10">
        <v>0.308030484473588</v>
      </c>
      <c r="K320" s="10">
        <v>4.7528444413451849</v>
      </c>
      <c r="L320" s="10">
        <v>3.679071011215945</v>
      </c>
      <c r="M320" s="10">
        <v>6.1606096894717606</v>
      </c>
      <c r="N320" s="10">
        <v>0.66122448979591841</v>
      </c>
      <c r="O320" s="10">
        <v>0.56981740064446829</v>
      </c>
      <c r="P320" s="10">
        <v>0.72309344790547803</v>
      </c>
      <c r="Q320" s="10">
        <v>0.13555207300265051</v>
      </c>
      <c r="R320" s="10">
        <v>3.6009216658240001E-4</v>
      </c>
      <c r="S320" s="10">
        <v>0.2463004113387697</v>
      </c>
      <c r="T320" s="10">
        <v>0.23889115153709231</v>
      </c>
      <c r="U320" s="10">
        <v>0.1696850393700787</v>
      </c>
      <c r="V320" s="10">
        <v>0.3381226053639847</v>
      </c>
      <c r="W320" s="10">
        <v>0.1967676767676767</v>
      </c>
      <c r="X320" s="10">
        <v>5.0050505050504998E-2</v>
      </c>
      <c r="Y320" s="10">
        <v>0.47499999999999998</v>
      </c>
      <c r="Z320" s="10">
        <v>0.54285714285714282</v>
      </c>
      <c r="AA320" s="10">
        <v>0.15714285714285711</v>
      </c>
      <c r="AB320" s="10">
        <v>0.97142857142857142</v>
      </c>
      <c r="AC320" s="10">
        <v>9.7228907436106002E-2</v>
      </c>
      <c r="AD320">
        <v>9.2313511077780006E-3</v>
      </c>
      <c r="AE320">
        <v>0.18381639637222549</v>
      </c>
    </row>
    <row r="321" spans="1:31" hidden="1">
      <c r="A321" t="s">
        <v>87</v>
      </c>
      <c r="B321" t="s">
        <v>77</v>
      </c>
      <c r="C321" t="s">
        <v>76</v>
      </c>
      <c r="D321" t="s">
        <v>71</v>
      </c>
      <c r="E321">
        <v>9</v>
      </c>
      <c r="F321">
        <v>6.4285714285714196E-2</v>
      </c>
      <c r="G321">
        <v>5</v>
      </c>
      <c r="H321" s="10">
        <v>0.18207137738099091</v>
      </c>
      <c r="I321" s="10">
        <v>9.8551943276373594E-2</v>
      </c>
      <c r="J321" s="10">
        <v>0.25350279480097021</v>
      </c>
      <c r="K321" s="10">
        <v>2.8322214259265261</v>
      </c>
      <c r="L321" s="10">
        <v>1.5330302287435911</v>
      </c>
      <c r="M321" s="10">
        <v>3.9433768080150928</v>
      </c>
      <c r="N321" s="10">
        <v>0.60661577608142492</v>
      </c>
      <c r="O321" s="10">
        <v>0.58583545377438506</v>
      </c>
      <c r="P321" s="10">
        <v>0.63494486853265486</v>
      </c>
      <c r="Q321" s="10">
        <v>0.1065191735439129</v>
      </c>
      <c r="R321" s="10">
        <v>-2.0556328874870598E-2</v>
      </c>
      <c r="S321" s="10">
        <v>0.20505178139870209</v>
      </c>
      <c r="T321" s="10">
        <v>0.22193437685913739</v>
      </c>
      <c r="U321" s="10">
        <v>0.14434889434889431</v>
      </c>
      <c r="V321" s="10">
        <v>0.26323529411764701</v>
      </c>
      <c r="W321" s="10">
        <v>0.1561020087532263</v>
      </c>
      <c r="X321" s="10">
        <v>5.40848389630793E-2</v>
      </c>
      <c r="Y321" s="10">
        <v>0.28214285714285708</v>
      </c>
      <c r="Z321" s="10">
        <v>0.40000000000000008</v>
      </c>
      <c r="AA321" s="10">
        <v>0.22222222222222221</v>
      </c>
      <c r="AB321" s="10">
        <v>0.93333333333333324</v>
      </c>
      <c r="AC321" s="10">
        <v>0.1384825893837919</v>
      </c>
      <c r="AD321">
        <v>3.70548762401883E-2</v>
      </c>
      <c r="AE321">
        <v>0.20256935688902639</v>
      </c>
    </row>
    <row r="322" spans="1:31" hidden="1">
      <c r="A322" t="s">
        <v>87</v>
      </c>
      <c r="B322" t="s">
        <v>77</v>
      </c>
      <c r="C322" t="s">
        <v>83</v>
      </c>
      <c r="D322" t="s">
        <v>67</v>
      </c>
      <c r="E322">
        <v>4</v>
      </c>
      <c r="F322">
        <v>2.8571428571428501E-2</v>
      </c>
      <c r="G322">
        <v>5</v>
      </c>
      <c r="H322" s="10">
        <v>2.6802907720420599E-2</v>
      </c>
      <c r="I322" s="10">
        <v>2.21913613038686E-2</v>
      </c>
      <c r="J322" s="10">
        <v>3.6265343421296399E-2</v>
      </c>
      <c r="K322" s="10">
        <v>0.93810177021472219</v>
      </c>
      <c r="L322" s="10">
        <v>0.77669764563540378</v>
      </c>
      <c r="M322" s="10">
        <v>1.2692870197453741</v>
      </c>
      <c r="N322" s="10">
        <v>0.33566176470588233</v>
      </c>
      <c r="O322" s="10">
        <v>0.2334558823529411</v>
      </c>
      <c r="P322" s="10">
        <v>0.51636029411764717</v>
      </c>
      <c r="Q322" s="10">
        <v>-2.7413697043581101E-2</v>
      </c>
      <c r="R322" s="10">
        <v>-0.1201138452173721</v>
      </c>
      <c r="S322" s="10">
        <v>4.8714084849681802E-2</v>
      </c>
      <c r="T322" s="10">
        <v>0.1156691054837377</v>
      </c>
      <c r="U322" s="10">
        <v>8.1429522013973604E-2</v>
      </c>
      <c r="V322" s="10">
        <v>0.13790322580645159</v>
      </c>
      <c r="W322" s="10">
        <v>2.61961467674082E-2</v>
      </c>
      <c r="X322" s="10">
        <v>1.8597168597168499E-2</v>
      </c>
      <c r="Y322" s="10">
        <v>3.1037621359223298E-2</v>
      </c>
      <c r="Z322" s="10">
        <v>0.8</v>
      </c>
      <c r="AA322" s="10">
        <v>0.52500000000000002</v>
      </c>
      <c r="AB322" s="10">
        <v>1</v>
      </c>
      <c r="AC322" s="10">
        <v>1.9907429847156599E-2</v>
      </c>
      <c r="AD322">
        <v>1.5182985565935799E-2</v>
      </c>
      <c r="AE322">
        <v>3.0510188158651901E-2</v>
      </c>
    </row>
    <row r="323" spans="1:31" hidden="1">
      <c r="A323" t="s">
        <v>87</v>
      </c>
      <c r="B323" t="s">
        <v>77</v>
      </c>
      <c r="C323" t="s">
        <v>83</v>
      </c>
      <c r="D323" t="s">
        <v>68</v>
      </c>
      <c r="E323">
        <v>21</v>
      </c>
      <c r="F323">
        <v>0.15</v>
      </c>
      <c r="G323">
        <v>5</v>
      </c>
      <c r="H323" s="10">
        <v>0.22454972312822929</v>
      </c>
      <c r="I323" s="10">
        <v>0.18757174747620281</v>
      </c>
      <c r="J323" s="10">
        <v>0.27588676031012571</v>
      </c>
      <c r="K323" s="10">
        <v>1.496998154188196</v>
      </c>
      <c r="L323" s="10">
        <v>1.2504783165080191</v>
      </c>
      <c r="M323" s="10">
        <v>1.8392450687341719</v>
      </c>
      <c r="N323" s="10">
        <v>0.60500200080032018</v>
      </c>
      <c r="O323" s="10">
        <v>0.56188475390156056</v>
      </c>
      <c r="P323" s="10">
        <v>0.63169267707082832</v>
      </c>
      <c r="Q323" s="10">
        <v>8.8929035782578603E-2</v>
      </c>
      <c r="R323" s="10">
        <v>-4.5732956038002301E-2</v>
      </c>
      <c r="S323" s="10">
        <v>0.2007889746644709</v>
      </c>
      <c r="T323" s="10">
        <v>0.36438804407320152</v>
      </c>
      <c r="U323" s="10">
        <v>0.26754122938530728</v>
      </c>
      <c r="V323" s="10">
        <v>0.43452380952380948</v>
      </c>
      <c r="W323" s="10">
        <v>0.2068642259771292</v>
      </c>
      <c r="X323" s="10">
        <v>0.14601851851851849</v>
      </c>
      <c r="Y323" s="10">
        <v>0.26152073732718889</v>
      </c>
      <c r="Z323" s="10">
        <v>0.4952380952380952</v>
      </c>
      <c r="AA323" s="10">
        <v>0.29523809523809519</v>
      </c>
      <c r="AB323" s="10">
        <v>0.78095238095238095</v>
      </c>
      <c r="AC323" s="10">
        <v>0.1126612563168204</v>
      </c>
      <c r="AD323">
        <v>6.9631140967587199E-2</v>
      </c>
      <c r="AE323">
        <v>0.13953317360747319</v>
      </c>
    </row>
    <row r="324" spans="1:31" hidden="1">
      <c r="A324" t="s">
        <v>87</v>
      </c>
      <c r="B324" t="s">
        <v>77</v>
      </c>
      <c r="C324" t="s">
        <v>83</v>
      </c>
      <c r="D324" t="s">
        <v>69</v>
      </c>
      <c r="E324">
        <v>26</v>
      </c>
      <c r="F324">
        <v>0.18571428571428569</v>
      </c>
      <c r="G324">
        <v>5</v>
      </c>
      <c r="H324" s="10">
        <v>0.63591550704146993</v>
      </c>
      <c r="I324" s="10">
        <v>0.56600103339731411</v>
      </c>
      <c r="J324" s="10">
        <v>0.67523914584843714</v>
      </c>
      <c r="K324" s="10">
        <v>3.4241604225309921</v>
      </c>
      <c r="L324" s="10">
        <v>3.0476978721393841</v>
      </c>
      <c r="M324" s="10">
        <v>3.6359030930300462</v>
      </c>
      <c r="N324" s="10">
        <v>0.82931848852901491</v>
      </c>
      <c r="O324" s="10">
        <v>0.80008434547908236</v>
      </c>
      <c r="P324" s="10">
        <v>0.85971659919028343</v>
      </c>
      <c r="Q324" s="10">
        <v>0.54730277144161754</v>
      </c>
      <c r="R324" s="10">
        <v>0.47615866099345922</v>
      </c>
      <c r="S324" s="10">
        <v>0.60726447771911385</v>
      </c>
      <c r="T324" s="10">
        <v>0.64358139062630171</v>
      </c>
      <c r="U324" s="10">
        <v>0.60204379562043797</v>
      </c>
      <c r="V324" s="10">
        <v>0.67088386194029859</v>
      </c>
      <c r="W324" s="10">
        <v>0.62005411255411258</v>
      </c>
      <c r="X324" s="10">
        <v>0.51988636363636365</v>
      </c>
      <c r="Y324" s="10">
        <v>0.71369047619047621</v>
      </c>
      <c r="Z324" s="10">
        <v>0.65384615384615385</v>
      </c>
      <c r="AA324" s="10">
        <v>0.58461538461538454</v>
      </c>
      <c r="AB324" s="10">
        <v>0.69230769230769229</v>
      </c>
      <c r="AC324" s="10">
        <v>0.1243719017817259</v>
      </c>
      <c r="AD324">
        <v>6.7450494893759302E-2</v>
      </c>
      <c r="AE324">
        <v>0.1978820996882461</v>
      </c>
    </row>
    <row r="325" spans="1:31" hidden="1">
      <c r="A325" t="s">
        <v>87</v>
      </c>
      <c r="B325" t="s">
        <v>77</v>
      </c>
      <c r="C325" t="s">
        <v>83</v>
      </c>
      <c r="D325" t="s">
        <v>70</v>
      </c>
      <c r="E325">
        <v>7</v>
      </c>
      <c r="F325">
        <v>0.05</v>
      </c>
      <c r="G325">
        <v>5</v>
      </c>
      <c r="H325" s="10">
        <v>5.0550094567852602E-2</v>
      </c>
      <c r="I325" s="10">
        <v>4.4956798133935903E-2</v>
      </c>
      <c r="J325" s="10">
        <v>5.42741415523528E-2</v>
      </c>
      <c r="K325" s="10">
        <v>1.0110018913570531</v>
      </c>
      <c r="L325" s="10">
        <v>0.89913596267871854</v>
      </c>
      <c r="M325" s="10">
        <v>1.0854828310470559</v>
      </c>
      <c r="N325" s="10">
        <v>0.40784103114930181</v>
      </c>
      <c r="O325" s="10">
        <v>0.34559613319011812</v>
      </c>
      <c r="P325" s="10">
        <v>0.4575725026852846</v>
      </c>
      <c r="Q325" s="10">
        <v>2.87643116642783E-2</v>
      </c>
      <c r="R325" s="10">
        <v>-0.12804488549538459</v>
      </c>
      <c r="S325" s="10">
        <v>0.1262323057227166</v>
      </c>
      <c r="T325" s="10">
        <v>0.20125008722845331</v>
      </c>
      <c r="U325" s="10">
        <v>0.1018295354951796</v>
      </c>
      <c r="V325" s="10">
        <v>0.25927800269905532</v>
      </c>
      <c r="W325" s="10">
        <v>4.9773478835978803E-2</v>
      </c>
      <c r="X325" s="10">
        <v>2.66137566137566E-2</v>
      </c>
      <c r="Y325" s="10">
        <v>6.5468749999999895E-2</v>
      </c>
      <c r="Z325" s="10">
        <v>0.8571428571428571</v>
      </c>
      <c r="AA325" s="10">
        <v>0.3571428571428571</v>
      </c>
      <c r="AB325" s="10">
        <v>1</v>
      </c>
      <c r="AC325" s="10">
        <v>3.41133054604352E-2</v>
      </c>
      <c r="AD325">
        <v>1.52642373503417E-2</v>
      </c>
      <c r="AE325">
        <v>5.5734720703772403E-2</v>
      </c>
    </row>
    <row r="326" spans="1:31" hidden="1">
      <c r="A326" t="s">
        <v>87</v>
      </c>
      <c r="B326" t="s">
        <v>77</v>
      </c>
      <c r="C326" t="s">
        <v>83</v>
      </c>
      <c r="D326" t="s">
        <v>71</v>
      </c>
      <c r="E326">
        <v>9</v>
      </c>
      <c r="F326">
        <v>6.4285714285714196E-2</v>
      </c>
      <c r="G326">
        <v>5</v>
      </c>
      <c r="H326" s="10">
        <v>6.2079190638025403E-2</v>
      </c>
      <c r="I326" s="10">
        <v>4.64671101232082E-2</v>
      </c>
      <c r="J326" s="10">
        <v>8.6236678231143199E-2</v>
      </c>
      <c r="K326" s="10">
        <v>0.96567629881372996</v>
      </c>
      <c r="L326" s="10">
        <v>0.7228217130276835</v>
      </c>
      <c r="M326" s="10">
        <v>1.341459439151117</v>
      </c>
      <c r="N326" s="10">
        <v>0.37277353689567427</v>
      </c>
      <c r="O326" s="10">
        <v>0.25377438507209499</v>
      </c>
      <c r="P326" s="10">
        <v>0.45729431721798131</v>
      </c>
      <c r="Q326" s="10">
        <v>-7.6698351615471602E-2</v>
      </c>
      <c r="R326" s="10">
        <v>-0.21732048869323489</v>
      </c>
      <c r="S326" s="10">
        <v>3.8148348931786001E-3</v>
      </c>
      <c r="T326" s="10">
        <v>0.1305278160552219</v>
      </c>
      <c r="U326" s="10">
        <v>7.0422535211267E-3</v>
      </c>
      <c r="V326" s="10">
        <v>0.24086795557383789</v>
      </c>
      <c r="W326" s="10">
        <v>3.9246159057848201E-2</v>
      </c>
      <c r="X326" s="10">
        <v>2.8571428571427999E-3</v>
      </c>
      <c r="Y326" s="10">
        <v>6.4102385269912104E-2</v>
      </c>
      <c r="Z326" s="10">
        <v>0.37777777777777771</v>
      </c>
      <c r="AA326" s="10">
        <v>1.1111111111111099E-2</v>
      </c>
      <c r="AB326" s="10">
        <v>0.77777777777777779</v>
      </c>
      <c r="AC326" s="10">
        <v>6.1611087969142803E-2</v>
      </c>
      <c r="AD326">
        <v>2.8155812313493501E-2</v>
      </c>
      <c r="AE326">
        <v>9.0350312825812601E-2</v>
      </c>
    </row>
    <row r="327" spans="1:31" hidden="1">
      <c r="A327" t="s">
        <v>87</v>
      </c>
      <c r="B327" t="s">
        <v>77</v>
      </c>
      <c r="C327" t="s">
        <v>84</v>
      </c>
      <c r="D327" t="s">
        <v>67</v>
      </c>
      <c r="E327">
        <v>4</v>
      </c>
      <c r="F327">
        <v>2.8571428571428501E-2</v>
      </c>
      <c r="G327">
        <v>5</v>
      </c>
      <c r="H327" s="10">
        <v>0.10434476673932019</v>
      </c>
      <c r="I327" s="10">
        <v>5.7534142641769301E-2</v>
      </c>
      <c r="J327" s="10">
        <v>0.14591026588567119</v>
      </c>
      <c r="K327" s="10">
        <v>3.6520668358762078</v>
      </c>
      <c r="L327" s="10">
        <v>2.0136949924619292</v>
      </c>
      <c r="M327" s="10">
        <v>5.1068593059984924</v>
      </c>
      <c r="N327" s="10">
        <v>0.64834558823529409</v>
      </c>
      <c r="O327" s="10">
        <v>0.51341911764705883</v>
      </c>
      <c r="P327" s="10">
        <v>0.76047794117647061</v>
      </c>
      <c r="Q327" s="10">
        <v>4.5013008660253102E-2</v>
      </c>
      <c r="R327" s="10">
        <v>-8.1111071929593201E-2</v>
      </c>
      <c r="S327" s="10">
        <v>0.1807034508023076</v>
      </c>
      <c r="T327" s="10">
        <v>0.1479182548957686</v>
      </c>
      <c r="U327" s="10">
        <v>6.24768261030774E-2</v>
      </c>
      <c r="V327" s="10">
        <v>0.2457052441229656</v>
      </c>
      <c r="W327" s="10">
        <v>4.4784193375742597E-2</v>
      </c>
      <c r="X327" s="10">
        <v>1.52734589354307E-2</v>
      </c>
      <c r="Y327" s="10">
        <v>8.1349206349206296E-2</v>
      </c>
      <c r="Z327" s="10">
        <v>0.5</v>
      </c>
      <c r="AA327" s="10">
        <v>0.25</v>
      </c>
      <c r="AB327" s="10">
        <v>0.95</v>
      </c>
      <c r="AC327" s="10">
        <v>1.4950265340104499E-2</v>
      </c>
      <c r="AD327">
        <v>9.3681376656404997E-3</v>
      </c>
      <c r="AE327">
        <v>3.1599145922940899E-2</v>
      </c>
    </row>
    <row r="328" spans="1:31" hidden="1">
      <c r="A328" t="s">
        <v>87</v>
      </c>
      <c r="B328" t="s">
        <v>77</v>
      </c>
      <c r="C328" t="s">
        <v>84</v>
      </c>
      <c r="D328" t="s">
        <v>68</v>
      </c>
      <c r="E328">
        <v>21</v>
      </c>
      <c r="F328">
        <v>0.15</v>
      </c>
      <c r="G328">
        <v>5</v>
      </c>
      <c r="H328" s="10">
        <v>0.37938305827754137</v>
      </c>
      <c r="I328" s="10">
        <v>0.31682736976128989</v>
      </c>
      <c r="J328" s="10">
        <v>0.47358174961504179</v>
      </c>
      <c r="K328" s="10">
        <v>2.5292203885169422</v>
      </c>
      <c r="L328" s="10">
        <v>2.1121824650752661</v>
      </c>
      <c r="M328" s="10">
        <v>3.157211664100279</v>
      </c>
      <c r="N328" s="10">
        <v>0.73981592637054816</v>
      </c>
      <c r="O328" s="10">
        <v>0.71944777911164459</v>
      </c>
      <c r="P328" s="10">
        <v>0.76346538615446169</v>
      </c>
      <c r="Q328" s="10">
        <v>0.26595297046776412</v>
      </c>
      <c r="R328" s="10">
        <v>0.1291128735500166</v>
      </c>
      <c r="S328" s="10">
        <v>0.3793704673633343</v>
      </c>
      <c r="T328" s="10">
        <v>0.4292561634582911</v>
      </c>
      <c r="U328" s="10">
        <v>0.17861702127659571</v>
      </c>
      <c r="V328" s="10">
        <v>0.59208333333333329</v>
      </c>
      <c r="W328" s="10">
        <v>0.33257549361207889</v>
      </c>
      <c r="X328" s="10">
        <v>0.255</v>
      </c>
      <c r="Y328" s="10">
        <v>0.4303353658536585</v>
      </c>
      <c r="Z328" s="10">
        <v>0.50476190476190474</v>
      </c>
      <c r="AA328" s="10">
        <v>0.1619047619047618</v>
      </c>
      <c r="AB328" s="10">
        <v>0.7142857142857143</v>
      </c>
      <c r="AC328" s="10">
        <v>0.32761679119369652</v>
      </c>
      <c r="AD328">
        <v>3.5154023390113497E-2</v>
      </c>
      <c r="AE328">
        <v>0.65589891137489731</v>
      </c>
    </row>
    <row r="329" spans="1:31" hidden="1">
      <c r="A329" t="s">
        <v>87</v>
      </c>
      <c r="B329" t="s">
        <v>77</v>
      </c>
      <c r="C329" t="s">
        <v>84</v>
      </c>
      <c r="D329" t="s">
        <v>69</v>
      </c>
      <c r="E329">
        <v>26</v>
      </c>
      <c r="F329">
        <v>0.18571428571428569</v>
      </c>
      <c r="G329">
        <v>5</v>
      </c>
      <c r="H329" s="10">
        <v>0.64021579737465661</v>
      </c>
      <c r="I329" s="10">
        <v>0.55984697726521038</v>
      </c>
      <c r="J329" s="10">
        <v>0.7264176873136059</v>
      </c>
      <c r="K329" s="10">
        <v>3.4473158320173818</v>
      </c>
      <c r="L329" s="10">
        <v>3.0145606468126722</v>
      </c>
      <c r="M329" s="10">
        <v>3.9114798547655698</v>
      </c>
      <c r="N329" s="10">
        <v>0.91605937921727398</v>
      </c>
      <c r="O329" s="10">
        <v>0.88943994601889331</v>
      </c>
      <c r="P329" s="10">
        <v>0.93890013495276636</v>
      </c>
      <c r="Q329" s="10">
        <v>0.61549812484477739</v>
      </c>
      <c r="R329" s="10">
        <v>0.56527828757199539</v>
      </c>
      <c r="S329" s="10">
        <v>0.65029409511139136</v>
      </c>
      <c r="T329" s="10">
        <v>0.81693980926717491</v>
      </c>
      <c r="U329" s="10">
        <v>0.78171828171828173</v>
      </c>
      <c r="V329" s="10">
        <v>0.84912146676852551</v>
      </c>
      <c r="W329" s="10">
        <v>0.51529923710374848</v>
      </c>
      <c r="X329" s="10">
        <v>0.45852631578947362</v>
      </c>
      <c r="Y329" s="10">
        <v>0.58383045525902666</v>
      </c>
      <c r="Z329" s="10">
        <v>0.96153846153846156</v>
      </c>
      <c r="AA329" s="10">
        <v>0.88846153846153841</v>
      </c>
      <c r="AB329" s="10">
        <v>1</v>
      </c>
      <c r="AC329" s="10">
        <v>7.2244943230998004E-2</v>
      </c>
      <c r="AD329">
        <v>2.5481304836066299E-2</v>
      </c>
      <c r="AE329">
        <v>0.1448389448084729</v>
      </c>
    </row>
    <row r="330" spans="1:31" hidden="1">
      <c r="A330" t="s">
        <v>87</v>
      </c>
      <c r="B330" t="s">
        <v>77</v>
      </c>
      <c r="C330" t="s">
        <v>84</v>
      </c>
      <c r="D330" t="s">
        <v>70</v>
      </c>
      <c r="E330">
        <v>7</v>
      </c>
      <c r="F330">
        <v>0.05</v>
      </c>
      <c r="G330">
        <v>5</v>
      </c>
      <c r="H330" s="10">
        <v>0.1669019994924707</v>
      </c>
      <c r="I330" s="10">
        <v>9.4098001573578505E-2</v>
      </c>
      <c r="J330" s="10">
        <v>0.2847652301087083</v>
      </c>
      <c r="K330" s="10">
        <v>3.3380399898494129</v>
      </c>
      <c r="L330" s="10">
        <v>1.8819600314715721</v>
      </c>
      <c r="M330" s="10">
        <v>5.6953046021741658</v>
      </c>
      <c r="N330" s="10">
        <v>0.59269602577873248</v>
      </c>
      <c r="O330" s="10">
        <v>0.50977443609022555</v>
      </c>
      <c r="P330" s="10">
        <v>0.67593984962406006</v>
      </c>
      <c r="Q330" s="10">
        <v>0.1089969680434212</v>
      </c>
      <c r="R330" s="10">
        <v>4.6336471921533201E-2</v>
      </c>
      <c r="S330" s="10">
        <v>0.23524826687045719</v>
      </c>
      <c r="T330" s="10">
        <v>0.18576408373607789</v>
      </c>
      <c r="U330" s="10">
        <v>0.13828828828828829</v>
      </c>
      <c r="V330" s="10">
        <v>0.22864424057084609</v>
      </c>
      <c r="W330" s="10">
        <v>0.1718904164475496</v>
      </c>
      <c r="X330" s="10">
        <v>6.24521072796934E-2</v>
      </c>
      <c r="Y330" s="10">
        <v>0.46176470588235291</v>
      </c>
      <c r="Z330" s="10">
        <v>0.31428571428571422</v>
      </c>
      <c r="AA330" s="10">
        <v>0.14285714285714279</v>
      </c>
      <c r="AB330" s="10">
        <v>0.67142857142857137</v>
      </c>
      <c r="AC330" s="10">
        <v>6.0043757671967603E-2</v>
      </c>
      <c r="AD330">
        <v>8.5419423401861001E-3</v>
      </c>
      <c r="AE330">
        <v>0.13701757359059161</v>
      </c>
    </row>
    <row r="331" spans="1:31" hidden="1">
      <c r="A331" t="s">
        <v>87</v>
      </c>
      <c r="B331" t="s">
        <v>77</v>
      </c>
      <c r="C331" t="s">
        <v>84</v>
      </c>
      <c r="D331" t="s">
        <v>71</v>
      </c>
      <c r="E331">
        <v>9</v>
      </c>
      <c r="F331">
        <v>6.4285714285714196E-2</v>
      </c>
      <c r="G331">
        <v>5</v>
      </c>
      <c r="H331" s="10">
        <v>0.28419268572513201</v>
      </c>
      <c r="I331" s="10">
        <v>0.2407335264863554</v>
      </c>
      <c r="J331" s="10">
        <v>0.3268378165828032</v>
      </c>
      <c r="K331" s="10">
        <v>4.4207751112798324</v>
      </c>
      <c r="L331" s="10">
        <v>3.7447437453433068</v>
      </c>
      <c r="M331" s="10">
        <v>5.0841438135102726</v>
      </c>
      <c r="N331" s="10">
        <v>0.675657336726039</v>
      </c>
      <c r="O331" s="10">
        <v>0.56480067854113658</v>
      </c>
      <c r="P331" s="10">
        <v>0.78015267175572511</v>
      </c>
      <c r="Q331" s="10">
        <v>0.13088300961556201</v>
      </c>
      <c r="R331" s="10">
        <v>9.5642385432903997E-3</v>
      </c>
      <c r="S331" s="10">
        <v>0.25395149604757139</v>
      </c>
      <c r="T331" s="10">
        <v>0.2326025395085411</v>
      </c>
      <c r="U331" s="10">
        <v>2.4390243902439001E-2</v>
      </c>
      <c r="V331" s="10">
        <v>0.33048780487804869</v>
      </c>
      <c r="W331" s="10">
        <v>0.1387888731449026</v>
      </c>
      <c r="X331" s="10">
        <v>9.0909090909090003E-3</v>
      </c>
      <c r="Y331" s="10">
        <v>0.37086956521739128</v>
      </c>
      <c r="Z331" s="10">
        <v>0.46666666666666667</v>
      </c>
      <c r="AA331" s="10">
        <v>2.2222222222222199E-2</v>
      </c>
      <c r="AB331" s="10">
        <v>0.9555555555555556</v>
      </c>
      <c r="AC331" s="10">
        <v>0.2428068120696176</v>
      </c>
      <c r="AD331">
        <v>8.3717089096298995E-3</v>
      </c>
      <c r="AE331">
        <v>0.75826744365212995</v>
      </c>
    </row>
    <row r="332" spans="1:31">
      <c r="A332" t="s">
        <v>85</v>
      </c>
      <c r="B332" t="s">
        <v>78</v>
      </c>
      <c r="C332" t="s">
        <v>80</v>
      </c>
      <c r="D332" t="s">
        <v>67</v>
      </c>
      <c r="E332">
        <v>4</v>
      </c>
      <c r="F332">
        <v>2.8985507246376802E-2</v>
      </c>
      <c r="G332">
        <v>5</v>
      </c>
      <c r="H332" s="10">
        <v>9.7842818536866202E-2</v>
      </c>
      <c r="I332" s="10">
        <v>4.9262634640604902E-2</v>
      </c>
      <c r="J332" s="10">
        <v>0.17261442060355101</v>
      </c>
      <c r="K332" s="10">
        <v>3.375577239521887</v>
      </c>
      <c r="L332" s="10">
        <v>1.699560895100872</v>
      </c>
      <c r="M332" s="10">
        <v>5.9551975108225097</v>
      </c>
      <c r="N332" s="10">
        <v>0.75895522388059711</v>
      </c>
      <c r="O332" s="10">
        <v>0.60634328358208955</v>
      </c>
      <c r="P332" s="10">
        <v>0.90447761194029841</v>
      </c>
      <c r="Q332" s="10">
        <v>0.1441311687290513</v>
      </c>
      <c r="R332" s="10">
        <v>0.10457459682290909</v>
      </c>
      <c r="S332" s="10">
        <v>0.22629497072055699</v>
      </c>
      <c r="T332" s="10">
        <v>0.22995809988291191</v>
      </c>
      <c r="U332" s="10">
        <v>0.17712550607287439</v>
      </c>
      <c r="V332" s="10">
        <v>0.30395010395010391</v>
      </c>
      <c r="W332" s="10">
        <v>6.5336046442037193E-2</v>
      </c>
      <c r="X332" s="10">
        <v>4.1573403554970301E-2</v>
      </c>
      <c r="Y332" s="10">
        <v>9.3877551020408095E-2</v>
      </c>
      <c r="Z332" s="10">
        <v>0.75</v>
      </c>
      <c r="AA332" s="10">
        <v>0.5</v>
      </c>
      <c r="AB332" s="10">
        <v>1</v>
      </c>
      <c r="AC332" s="10">
        <v>1.8592138791222901E-2</v>
      </c>
      <c r="AD332">
        <v>2.5570949640251E-3</v>
      </c>
      <c r="AE332">
        <v>5.03994403233528E-2</v>
      </c>
    </row>
    <row r="333" spans="1:31">
      <c r="A333" t="s">
        <v>87</v>
      </c>
      <c r="B333" t="s">
        <v>78</v>
      </c>
      <c r="C333" t="s">
        <v>80</v>
      </c>
      <c r="D333" t="s">
        <v>68</v>
      </c>
      <c r="E333">
        <v>20</v>
      </c>
      <c r="F333">
        <v>0.14492753623188401</v>
      </c>
      <c r="G333">
        <v>5</v>
      </c>
      <c r="H333" s="10">
        <v>0.3661273080317069</v>
      </c>
      <c r="I333" s="10">
        <v>0.26633020400957302</v>
      </c>
      <c r="J333" s="10">
        <v>0.4520693030775339</v>
      </c>
      <c r="K333" s="10">
        <v>2.526278425418778</v>
      </c>
      <c r="L333" s="10">
        <v>1.8376784076660531</v>
      </c>
      <c r="M333" s="10">
        <v>3.1192781912349838</v>
      </c>
      <c r="N333" s="10">
        <v>0.66177966101694918</v>
      </c>
      <c r="O333" s="10">
        <v>0.58792372881355925</v>
      </c>
      <c r="P333" s="10">
        <v>0.74639830508474581</v>
      </c>
      <c r="Q333" s="10">
        <v>0.26365068206527531</v>
      </c>
      <c r="R333" s="10">
        <v>0.141234810077839</v>
      </c>
      <c r="S333" s="10">
        <v>0.38811080053512398</v>
      </c>
      <c r="T333" s="10">
        <v>0.29370168482053122</v>
      </c>
      <c r="U333" s="10">
        <v>6.7603748326639804E-2</v>
      </c>
      <c r="V333" s="10">
        <v>0.45493197278911568</v>
      </c>
      <c r="W333" s="10">
        <v>0.57407407407407407</v>
      </c>
      <c r="X333" s="10">
        <v>0.23333333333333331</v>
      </c>
      <c r="Y333" s="10">
        <v>0.96666666666666679</v>
      </c>
      <c r="Z333" s="10">
        <v>0.31</v>
      </c>
      <c r="AA333" s="10">
        <v>5.5E-2</v>
      </c>
      <c r="AB333" s="10">
        <v>0.54</v>
      </c>
      <c r="AC333" s="10">
        <v>0.77104601721378463</v>
      </c>
      <c r="AD333">
        <v>0.110785293776179</v>
      </c>
      <c r="AE333">
        <v>0.99999962835384881</v>
      </c>
    </row>
    <row r="334" spans="1:31">
      <c r="A334" t="s">
        <v>87</v>
      </c>
      <c r="B334" t="s">
        <v>78</v>
      </c>
      <c r="C334" t="s">
        <v>80</v>
      </c>
      <c r="D334" t="s">
        <v>69</v>
      </c>
      <c r="E334">
        <v>26</v>
      </c>
      <c r="F334">
        <v>0.1884057971014492</v>
      </c>
      <c r="G334">
        <v>5</v>
      </c>
      <c r="H334" s="10">
        <v>0.53750188071166249</v>
      </c>
      <c r="I334" s="10">
        <v>0.46920416996392827</v>
      </c>
      <c r="J334" s="10">
        <v>0.66572300490107328</v>
      </c>
      <c r="K334" s="10">
        <v>2.8528945976234392</v>
      </c>
      <c r="L334" s="10">
        <v>2.4903913636546959</v>
      </c>
      <c r="M334" s="10">
        <v>3.5334528721672349</v>
      </c>
      <c r="N334" s="10">
        <v>0.85473901098901095</v>
      </c>
      <c r="O334" s="10">
        <v>0.8069024725274726</v>
      </c>
      <c r="P334" s="10">
        <v>0.88774038461538451</v>
      </c>
      <c r="Q334" s="10">
        <v>0.54287250276626031</v>
      </c>
      <c r="R334" s="10">
        <v>0.47382951332486861</v>
      </c>
      <c r="S334" s="10">
        <v>0.60157741970506418</v>
      </c>
      <c r="T334" s="10">
        <v>0.75422242134607731</v>
      </c>
      <c r="U334" s="10">
        <v>0.66708333333333336</v>
      </c>
      <c r="V334" s="10">
        <v>0.80580645161290321</v>
      </c>
      <c r="W334" s="10">
        <v>0.47924611223799862</v>
      </c>
      <c r="X334" s="10">
        <v>0.43543103448275861</v>
      </c>
      <c r="Y334" s="10">
        <v>0.5185848252344416</v>
      </c>
      <c r="Z334" s="10">
        <v>0.88461538461538469</v>
      </c>
      <c r="AA334" s="10">
        <v>0.74230769230769222</v>
      </c>
      <c r="AB334" s="10">
        <v>0.96153846153846156</v>
      </c>
      <c r="AC334" s="10">
        <v>0.15052574566869481</v>
      </c>
      <c r="AD334">
        <v>3.1060874442242401E-2</v>
      </c>
      <c r="AE334">
        <v>0.22415922030855509</v>
      </c>
    </row>
    <row r="335" spans="1:31">
      <c r="A335" t="s">
        <v>87</v>
      </c>
      <c r="B335" t="s">
        <v>78</v>
      </c>
      <c r="C335" t="s">
        <v>80</v>
      </c>
      <c r="D335" t="s">
        <v>70</v>
      </c>
      <c r="E335">
        <v>7</v>
      </c>
      <c r="F335">
        <v>5.0724637681159403E-2</v>
      </c>
      <c r="G335">
        <v>5</v>
      </c>
      <c r="H335" s="10">
        <v>0.39878437563383168</v>
      </c>
      <c r="I335" s="10">
        <v>0.2257585052662891</v>
      </c>
      <c r="J335" s="10">
        <v>0.51223804161304165</v>
      </c>
      <c r="K335" s="10">
        <v>7.861749119638394</v>
      </c>
      <c r="L335" s="10">
        <v>4.4506676752496999</v>
      </c>
      <c r="M335" s="10">
        <v>10.098407106085681</v>
      </c>
      <c r="N335" s="10">
        <v>0.76368593238822258</v>
      </c>
      <c r="O335" s="10">
        <v>0.67224645583424203</v>
      </c>
      <c r="P335" s="10">
        <v>0.83925845147219191</v>
      </c>
      <c r="Q335" s="10">
        <v>0.31921754446642447</v>
      </c>
      <c r="R335" s="10">
        <v>-6.9946132969245E-3</v>
      </c>
      <c r="S335" s="10">
        <v>0.54798225313701865</v>
      </c>
      <c r="T335" s="10">
        <v>0.3089673913043478</v>
      </c>
      <c r="U335" s="10">
        <v>3.2608695652173898E-2</v>
      </c>
      <c r="V335" s="10">
        <v>0.46354166666666669</v>
      </c>
      <c r="W335" s="10">
        <v>0.44374999999999998</v>
      </c>
      <c r="X335" s="10">
        <v>9.3749999999999997E-3</v>
      </c>
      <c r="Y335" s="10">
        <v>0.97499999999999998</v>
      </c>
      <c r="Z335" s="10">
        <v>0.39999999999999991</v>
      </c>
      <c r="AA335" s="10">
        <v>2.8571428571428501E-2</v>
      </c>
      <c r="AB335" s="10">
        <v>0.81428571428571417</v>
      </c>
      <c r="AC335" s="10">
        <v>0.6073784082869349</v>
      </c>
      <c r="AD335">
        <v>5.2595523133918298E-2</v>
      </c>
      <c r="AE335">
        <v>0.97429093889454921</v>
      </c>
    </row>
    <row r="336" spans="1:31">
      <c r="A336" t="s">
        <v>87</v>
      </c>
      <c r="B336" t="s">
        <v>78</v>
      </c>
      <c r="C336" t="s">
        <v>80</v>
      </c>
      <c r="D336" t="s">
        <v>71</v>
      </c>
      <c r="E336">
        <v>9</v>
      </c>
      <c r="F336">
        <v>6.5217391304347797E-2</v>
      </c>
      <c r="G336">
        <v>5</v>
      </c>
      <c r="H336" s="10">
        <v>0.2903137891903988</v>
      </c>
      <c r="I336" s="10">
        <v>0.16173519558189001</v>
      </c>
      <c r="J336" s="10">
        <v>0.40102937399921368</v>
      </c>
      <c r="K336" s="10">
        <v>4.4514781009194486</v>
      </c>
      <c r="L336" s="10">
        <v>2.4799396655889798</v>
      </c>
      <c r="M336" s="10">
        <v>6.1491170679879437</v>
      </c>
      <c r="N336" s="10">
        <v>0.59741602067183464</v>
      </c>
      <c r="O336" s="10">
        <v>0.55202411714039623</v>
      </c>
      <c r="P336" s="10">
        <v>0.65150732127476307</v>
      </c>
      <c r="Q336" s="10">
        <v>0.14620539933031881</v>
      </c>
      <c r="R336" s="10">
        <v>-5.1593753971401299E-2</v>
      </c>
      <c r="S336" s="10">
        <v>0.2985478530911766</v>
      </c>
      <c r="T336" s="10">
        <v>0.23560755197787669</v>
      </c>
      <c r="U336" s="10">
        <v>0.1347644603458556</v>
      </c>
      <c r="V336" s="10">
        <v>0.31592256714335543</v>
      </c>
      <c r="W336" s="10">
        <v>0.24824387915160609</v>
      </c>
      <c r="X336" s="10">
        <v>5.6526631657914397E-2</v>
      </c>
      <c r="Y336" s="10">
        <v>0.48333333333333328</v>
      </c>
      <c r="Z336" s="10">
        <v>0.39999999999999991</v>
      </c>
      <c r="AA336" s="10">
        <v>0.1222222222222222</v>
      </c>
      <c r="AB336" s="10">
        <v>0.75555555555555554</v>
      </c>
      <c r="AC336" s="10">
        <v>0.58459063166449465</v>
      </c>
      <c r="AD336">
        <v>6.3975137607099001E-3</v>
      </c>
      <c r="AE336">
        <v>0.99992266274659058</v>
      </c>
    </row>
    <row r="337" spans="1:31" hidden="1">
      <c r="A337" t="s">
        <v>87</v>
      </c>
      <c r="B337" t="s">
        <v>78</v>
      </c>
      <c r="C337" t="s">
        <v>81</v>
      </c>
      <c r="D337" t="s">
        <v>67</v>
      </c>
      <c r="E337">
        <v>4</v>
      </c>
      <c r="F337">
        <v>2.8985507246376802E-2</v>
      </c>
      <c r="G337">
        <v>5</v>
      </c>
      <c r="H337" s="10">
        <v>0.1000724637681159</v>
      </c>
      <c r="I337" s="10">
        <v>7.1739130434782597E-2</v>
      </c>
      <c r="J337" s="10">
        <v>0.14257246376811589</v>
      </c>
      <c r="K337" s="10">
        <v>3.4525000000000001</v>
      </c>
      <c r="L337" s="10">
        <v>2.4750000000000001</v>
      </c>
      <c r="M337" s="10">
        <v>4.9187499999999993</v>
      </c>
      <c r="N337" s="10">
        <v>0.60727611940298498</v>
      </c>
      <c r="O337" s="10">
        <v>0.5982276119402985</v>
      </c>
      <c r="P337" s="10">
        <v>0.6145522388059701</v>
      </c>
      <c r="Q337" s="10">
        <v>8.5051657269092099E-2</v>
      </c>
      <c r="R337" s="10">
        <v>0</v>
      </c>
      <c r="S337" s="10">
        <v>0.22461538087335201</v>
      </c>
      <c r="T337" s="10">
        <v>0.1755411255411255</v>
      </c>
      <c r="U337" s="10">
        <v>0.1298701298701298</v>
      </c>
      <c r="V337" s="10">
        <v>0.24880952380952381</v>
      </c>
      <c r="W337" s="10">
        <v>0.10739130434782609</v>
      </c>
      <c r="X337" s="10">
        <v>2.8985507246376802E-2</v>
      </c>
      <c r="Y337" s="10">
        <v>0.245</v>
      </c>
      <c r="Z337" s="10">
        <v>0.7</v>
      </c>
      <c r="AA337" s="10">
        <v>0.25</v>
      </c>
      <c r="AB337" s="10">
        <v>1</v>
      </c>
      <c r="AC337" s="10">
        <v>4.1745880041868598E-2</v>
      </c>
      <c r="AD337">
        <v>0</v>
      </c>
      <c r="AE337">
        <v>0.17804204053243269</v>
      </c>
    </row>
    <row r="338" spans="1:31" hidden="1">
      <c r="A338" t="s">
        <v>87</v>
      </c>
      <c r="B338" t="s">
        <v>78</v>
      </c>
      <c r="C338" t="s">
        <v>81</v>
      </c>
      <c r="D338" t="s">
        <v>68</v>
      </c>
      <c r="E338">
        <v>20</v>
      </c>
      <c r="F338">
        <v>0.14492753623188401</v>
      </c>
      <c r="G338">
        <v>5</v>
      </c>
      <c r="H338" s="10">
        <v>0.18982065095463629</v>
      </c>
      <c r="I338" s="10">
        <v>0.15932886507938479</v>
      </c>
      <c r="J338" s="10">
        <v>0.2072943909660071</v>
      </c>
      <c r="K338" s="10">
        <v>1.309762491586991</v>
      </c>
      <c r="L338" s="10">
        <v>1.0993691690477549</v>
      </c>
      <c r="M338" s="10">
        <v>1.430331297665449</v>
      </c>
      <c r="N338" s="10">
        <v>0.60360169491525428</v>
      </c>
      <c r="O338" s="10">
        <v>0.57332627118644064</v>
      </c>
      <c r="P338" s="10">
        <v>0.64093220338983059</v>
      </c>
      <c r="Q338" s="10">
        <v>0.13647065194914629</v>
      </c>
      <c r="R338" s="10">
        <v>4.3091830850115899E-2</v>
      </c>
      <c r="S338" s="10">
        <v>0.21427719826219269</v>
      </c>
      <c r="T338" s="10">
        <v>0.39313566397715222</v>
      </c>
      <c r="U338" s="10">
        <v>0.2876290925071413</v>
      </c>
      <c r="V338" s="10">
        <v>0.50249076008356097</v>
      </c>
      <c r="W338" s="10">
        <v>0.20801373731810219</v>
      </c>
      <c r="X338" s="10">
        <v>0.16586646661665411</v>
      </c>
      <c r="Y338" s="10">
        <v>0.23321894303363069</v>
      </c>
      <c r="Z338" s="10">
        <v>0.52</v>
      </c>
      <c r="AA338" s="10">
        <v>0.35</v>
      </c>
      <c r="AB338" s="10">
        <v>0.73499999999999999</v>
      </c>
      <c r="AC338" s="10">
        <v>0.24215319985918879</v>
      </c>
      <c r="AD338">
        <v>5.0236956321419099E-2</v>
      </c>
      <c r="AE338">
        <v>0.39070212533339732</v>
      </c>
    </row>
    <row r="339" spans="1:31" hidden="1">
      <c r="A339" t="s">
        <v>87</v>
      </c>
      <c r="B339" t="s">
        <v>78</v>
      </c>
      <c r="C339" t="s">
        <v>81</v>
      </c>
      <c r="D339" t="s">
        <v>69</v>
      </c>
      <c r="E339">
        <v>26</v>
      </c>
      <c r="F339">
        <v>0.1884057971014492</v>
      </c>
      <c r="G339">
        <v>5</v>
      </c>
      <c r="H339" s="10">
        <v>0.48796560518379439</v>
      </c>
      <c r="I339" s="10">
        <v>0.43973147552029179</v>
      </c>
      <c r="J339" s="10">
        <v>0.58738553256342096</v>
      </c>
      <c r="K339" s="10">
        <v>2.5899712890524471</v>
      </c>
      <c r="L339" s="10">
        <v>2.3339593700692411</v>
      </c>
      <c r="M339" s="10">
        <v>3.1176616728366189</v>
      </c>
      <c r="N339" s="10">
        <v>0.84076236263736281</v>
      </c>
      <c r="O339" s="10">
        <v>0.76905906593406592</v>
      </c>
      <c r="P339" s="10">
        <v>0.87888049450549444</v>
      </c>
      <c r="Q339" s="10">
        <v>0.41612527874473498</v>
      </c>
      <c r="R339" s="10">
        <v>0.3463963442258724</v>
      </c>
      <c r="S339" s="10">
        <v>0.54099080262561861</v>
      </c>
      <c r="T339" s="10">
        <v>0.6075683978909785</v>
      </c>
      <c r="U339" s="10">
        <v>0.4821428571428571</v>
      </c>
      <c r="V339" s="10">
        <v>0.76451612903225807</v>
      </c>
      <c r="W339" s="10">
        <v>0.4461675579322637</v>
      </c>
      <c r="X339" s="10">
        <v>0.38890374331550798</v>
      </c>
      <c r="Y339" s="10">
        <v>0.53796791443850267</v>
      </c>
      <c r="Z339" s="10">
        <v>0.68461538461538463</v>
      </c>
      <c r="AA339" s="10">
        <v>0.47307692307692312</v>
      </c>
      <c r="AB339" s="10">
        <v>0.91153846153846163</v>
      </c>
      <c r="AC339" s="10">
        <v>0.47901428680748842</v>
      </c>
      <c r="AD339">
        <v>0.40014284000408201</v>
      </c>
      <c r="AE339">
        <v>0.7409622956802937</v>
      </c>
    </row>
    <row r="340" spans="1:31" hidden="1">
      <c r="A340" t="s">
        <v>87</v>
      </c>
      <c r="B340" t="s">
        <v>78</v>
      </c>
      <c r="C340" t="s">
        <v>81</v>
      </c>
      <c r="D340" t="s">
        <v>70</v>
      </c>
      <c r="E340">
        <v>7</v>
      </c>
      <c r="F340">
        <v>5.0724637681159403E-2</v>
      </c>
      <c r="G340">
        <v>5</v>
      </c>
      <c r="H340" s="10">
        <v>0.31424430641821949</v>
      </c>
      <c r="I340" s="10">
        <v>0.15908902691511381</v>
      </c>
      <c r="J340" s="10">
        <v>0.41055900621118008</v>
      </c>
      <c r="K340" s="10">
        <v>6.1951020408163258</v>
      </c>
      <c r="L340" s="10">
        <v>3.1363265306122452</v>
      </c>
      <c r="M340" s="10">
        <v>8.0938775510204071</v>
      </c>
      <c r="N340" s="10">
        <v>0.68560523446019628</v>
      </c>
      <c r="O340" s="10">
        <v>0.62431842966194107</v>
      </c>
      <c r="P340" s="10">
        <v>0.76504907306434022</v>
      </c>
      <c r="Q340" s="10">
        <v>0.33997902648443928</v>
      </c>
      <c r="R340" s="10">
        <v>3.0861821290204601E-2</v>
      </c>
      <c r="S340" s="10">
        <v>0.50564597343666351</v>
      </c>
      <c r="T340" s="10">
        <v>0.39050922303934349</v>
      </c>
      <c r="U340" s="10">
        <v>0.22006206644760859</v>
      </c>
      <c r="V340" s="10">
        <v>0.54545454545454541</v>
      </c>
      <c r="W340" s="10">
        <v>0.39585921325051759</v>
      </c>
      <c r="X340" s="10">
        <v>8.5652173913043403E-2</v>
      </c>
      <c r="Y340" s="10">
        <v>0.59</v>
      </c>
      <c r="Z340" s="10">
        <v>0.54285714285714282</v>
      </c>
      <c r="AA340" s="10">
        <v>0.3</v>
      </c>
      <c r="AB340" s="10">
        <v>0.95714285714285718</v>
      </c>
      <c r="AC340" s="10">
        <v>0.1324597094951242</v>
      </c>
      <c r="AD340">
        <v>6.9721445352076998E-3</v>
      </c>
      <c r="AE340">
        <v>0.1979953586806093</v>
      </c>
    </row>
    <row r="341" spans="1:31" hidden="1">
      <c r="A341" t="s">
        <v>87</v>
      </c>
      <c r="B341" t="s">
        <v>78</v>
      </c>
      <c r="C341" t="s">
        <v>81</v>
      </c>
      <c r="D341" t="s">
        <v>71</v>
      </c>
      <c r="E341">
        <v>9</v>
      </c>
      <c r="F341">
        <v>6.5217391304347797E-2</v>
      </c>
      <c r="G341">
        <v>5</v>
      </c>
      <c r="H341" s="10">
        <v>0.1805386856836132</v>
      </c>
      <c r="I341" s="10">
        <v>0.1299812130971551</v>
      </c>
      <c r="J341" s="10">
        <v>0.2327639751552795</v>
      </c>
      <c r="K341" s="10">
        <v>2.7682598471487361</v>
      </c>
      <c r="L341" s="10">
        <v>1.9930452674897119</v>
      </c>
      <c r="M341" s="10">
        <v>3.5690476190476188</v>
      </c>
      <c r="N341" s="10">
        <v>0.640396210163652</v>
      </c>
      <c r="O341" s="10">
        <v>0.63066322136089581</v>
      </c>
      <c r="P341" s="10">
        <v>0.66197243755383284</v>
      </c>
      <c r="Q341" s="10">
        <v>0.161740610815751</v>
      </c>
      <c r="R341" s="10">
        <v>1.26799422701656E-2</v>
      </c>
      <c r="S341" s="10">
        <v>0.2847176339285587</v>
      </c>
      <c r="T341" s="10">
        <v>0.19855072463768109</v>
      </c>
      <c r="U341" s="10">
        <v>1.2500000000000001E-2</v>
      </c>
      <c r="V341" s="10">
        <v>0.33260869565217388</v>
      </c>
      <c r="W341" s="10">
        <v>0.21</v>
      </c>
      <c r="X341" s="10">
        <v>1.6666666666666601E-2</v>
      </c>
      <c r="Y341" s="10">
        <v>0.3299999999999999</v>
      </c>
      <c r="Z341" s="10">
        <v>0.2</v>
      </c>
      <c r="AA341" s="10">
        <v>1.1111111111111099E-2</v>
      </c>
      <c r="AB341" s="10">
        <v>0.33333333333333331</v>
      </c>
      <c r="AC341" s="10">
        <v>0.24197612925534431</v>
      </c>
      <c r="AD341">
        <v>0.196465138797115</v>
      </c>
      <c r="AE341">
        <v>0.38484644524868011</v>
      </c>
    </row>
    <row r="342" spans="1:31" hidden="1">
      <c r="A342" t="s">
        <v>87</v>
      </c>
      <c r="B342" t="s">
        <v>78</v>
      </c>
      <c r="C342" t="s">
        <v>82</v>
      </c>
      <c r="D342" t="s">
        <v>67</v>
      </c>
      <c r="E342">
        <v>4</v>
      </c>
      <c r="F342">
        <v>2.8985507246376802E-2</v>
      </c>
      <c r="G342">
        <v>5</v>
      </c>
      <c r="H342" s="10">
        <v>3.19327398172825E-2</v>
      </c>
      <c r="I342" s="10">
        <v>2.3374150375540401E-2</v>
      </c>
      <c r="J342" s="10">
        <v>4.6491853851828802E-2</v>
      </c>
      <c r="K342" s="10">
        <v>1.101679523696248</v>
      </c>
      <c r="L342" s="10">
        <v>0.806408187956145</v>
      </c>
      <c r="M342" s="10">
        <v>1.6039689578880949</v>
      </c>
      <c r="N342" s="10">
        <v>0.41529850746268659</v>
      </c>
      <c r="O342" s="10">
        <v>0.2458955223880597</v>
      </c>
      <c r="P342" s="10">
        <v>0.59645522388059702</v>
      </c>
      <c r="Q342" s="10">
        <v>7.1290702574939302E-2</v>
      </c>
      <c r="R342" s="10">
        <v>3.5526181497484703E-2</v>
      </c>
      <c r="S342" s="10">
        <v>9.2413704491301402E-2</v>
      </c>
      <c r="T342" s="10">
        <v>0.15237123169040839</v>
      </c>
      <c r="U342" s="10">
        <v>0.1404539385847797</v>
      </c>
      <c r="V342" s="10">
        <v>0.16221447928765001</v>
      </c>
      <c r="W342" s="10">
        <v>3.5001589490585502E-2</v>
      </c>
      <c r="X342" s="10">
        <v>3.2328961361219398E-2</v>
      </c>
      <c r="Y342" s="10">
        <v>3.7281223449447697E-2</v>
      </c>
      <c r="Z342" s="10">
        <v>0.95</v>
      </c>
      <c r="AA342" s="10">
        <v>0.77500000000000002</v>
      </c>
      <c r="AB342" s="10">
        <v>1</v>
      </c>
      <c r="AC342" s="10">
        <v>7.5358298434214696E-2</v>
      </c>
      <c r="AD342">
        <v>6.7433263020567997E-3</v>
      </c>
      <c r="AE342">
        <v>0.15930663587910049</v>
      </c>
    </row>
    <row r="343" spans="1:31" hidden="1">
      <c r="A343" t="s">
        <v>87</v>
      </c>
      <c r="B343" t="s">
        <v>78</v>
      </c>
      <c r="C343" t="s">
        <v>82</v>
      </c>
      <c r="D343" t="s">
        <v>68</v>
      </c>
      <c r="E343">
        <v>20</v>
      </c>
      <c r="F343">
        <v>0.14492753623188401</v>
      </c>
      <c r="G343">
        <v>5</v>
      </c>
      <c r="H343" s="10">
        <v>0.31508402359181659</v>
      </c>
      <c r="I343" s="10">
        <v>0.25073615365020391</v>
      </c>
      <c r="J343" s="10">
        <v>0.36554219320422188</v>
      </c>
      <c r="K343" s="10">
        <v>2.1740797627835349</v>
      </c>
      <c r="L343" s="10">
        <v>1.7300794601864069</v>
      </c>
      <c r="M343" s="10">
        <v>2.522241133109131</v>
      </c>
      <c r="N343" s="10">
        <v>0.65699152542372885</v>
      </c>
      <c r="O343" s="10">
        <v>0.60453389830508475</v>
      </c>
      <c r="P343" s="10">
        <v>0.70118644067796609</v>
      </c>
      <c r="Q343" s="10">
        <v>0.24017760079030739</v>
      </c>
      <c r="R343" s="10">
        <v>0.18481344107060679</v>
      </c>
      <c r="S343" s="10">
        <v>0.29549507644323408</v>
      </c>
      <c r="T343" s="10">
        <v>0.34161477411477409</v>
      </c>
      <c r="U343" s="10">
        <v>0.18269230769230771</v>
      </c>
      <c r="V343" s="10">
        <v>0.56208333333333327</v>
      </c>
      <c r="W343" s="10">
        <v>0.39817370129870128</v>
      </c>
      <c r="X343" s="10">
        <v>0.2352232142857143</v>
      </c>
      <c r="Y343" s="10">
        <v>0.71499999999999997</v>
      </c>
      <c r="Z343" s="10">
        <v>0.43</v>
      </c>
      <c r="AA343" s="10">
        <v>0.155</v>
      </c>
      <c r="AB343" s="10">
        <v>0.84</v>
      </c>
      <c r="AC343" s="10">
        <v>0.85983708131395264</v>
      </c>
      <c r="AD343">
        <v>0.64044985238070706</v>
      </c>
      <c r="AE343">
        <v>0.99980737862359581</v>
      </c>
    </row>
    <row r="344" spans="1:31" hidden="1">
      <c r="A344" t="s">
        <v>87</v>
      </c>
      <c r="B344" t="s">
        <v>78</v>
      </c>
      <c r="C344" t="s">
        <v>82</v>
      </c>
      <c r="D344" t="s">
        <v>69</v>
      </c>
      <c r="E344">
        <v>26</v>
      </c>
      <c r="F344">
        <v>0.1884057971014492</v>
      </c>
      <c r="G344">
        <v>5</v>
      </c>
      <c r="H344" s="10">
        <v>0.2029930603046185</v>
      </c>
      <c r="I344" s="10">
        <v>0.1847360068029045</v>
      </c>
      <c r="J344" s="10">
        <v>0.22493781231258281</v>
      </c>
      <c r="K344" s="10">
        <v>1.0774247046937451</v>
      </c>
      <c r="L344" s="10">
        <v>0.98052188226157</v>
      </c>
      <c r="M344" s="10">
        <v>1.193900696120632</v>
      </c>
      <c r="N344" s="10">
        <v>0.55425824175824179</v>
      </c>
      <c r="O344" s="10">
        <v>0.5052197802197802</v>
      </c>
      <c r="P344" s="10">
        <v>0.59866071428571432</v>
      </c>
      <c r="Q344" s="10">
        <v>0.11911209762437271</v>
      </c>
      <c r="R344" s="10">
        <v>8.5119712692832694E-2</v>
      </c>
      <c r="S344" s="10">
        <v>0.1669724325549857</v>
      </c>
      <c r="T344" s="10">
        <v>0.50227647103643813</v>
      </c>
      <c r="U344" s="10">
        <v>0.38044614848379221</v>
      </c>
      <c r="V344" s="10">
        <v>0.55376344086021512</v>
      </c>
      <c r="W344" s="10">
        <v>0.22170428666372721</v>
      </c>
      <c r="X344" s="10">
        <v>0.20095238095238091</v>
      </c>
      <c r="Y344" s="10">
        <v>0.24291645044110011</v>
      </c>
      <c r="Z344" s="10">
        <v>0.76923076923076927</v>
      </c>
      <c r="AA344" s="10">
        <v>0.45769230769230768</v>
      </c>
      <c r="AB344" s="10">
        <v>0.98461538461538456</v>
      </c>
      <c r="AC344" s="10">
        <v>0.19972977258496349</v>
      </c>
      <c r="AD344">
        <v>1.6421779866899799E-2</v>
      </c>
      <c r="AE344">
        <v>0.41893455322834849</v>
      </c>
    </row>
    <row r="345" spans="1:31" hidden="1">
      <c r="A345" t="s">
        <v>87</v>
      </c>
      <c r="B345" t="s">
        <v>78</v>
      </c>
      <c r="C345" t="s">
        <v>82</v>
      </c>
      <c r="D345" t="s">
        <v>70</v>
      </c>
      <c r="E345">
        <v>7</v>
      </c>
      <c r="F345">
        <v>5.0724637681159403E-2</v>
      </c>
      <c r="G345">
        <v>5</v>
      </c>
      <c r="H345" s="10">
        <v>0.18466733110935041</v>
      </c>
      <c r="I345" s="10">
        <v>0.12639528137572309</v>
      </c>
      <c r="J345" s="10">
        <v>0.23483332904537979</v>
      </c>
      <c r="K345" s="10">
        <v>3.640584527584338</v>
      </c>
      <c r="L345" s="10">
        <v>2.4917926899785412</v>
      </c>
      <c r="M345" s="10">
        <v>4.6295713440374877</v>
      </c>
      <c r="N345" s="10">
        <v>0.61570338058887675</v>
      </c>
      <c r="O345" s="10">
        <v>0.54302071973827704</v>
      </c>
      <c r="P345" s="10">
        <v>0.67077426390403494</v>
      </c>
      <c r="Q345" s="10">
        <v>0.17432753180776819</v>
      </c>
      <c r="R345" s="10">
        <v>0.1145828188708367</v>
      </c>
      <c r="S345" s="10">
        <v>0.24265635379160291</v>
      </c>
      <c r="T345" s="10">
        <v>0.21722543658027521</v>
      </c>
      <c r="U345" s="10">
        <v>0.1524926686217008</v>
      </c>
      <c r="V345" s="10">
        <v>0.3309357744841615</v>
      </c>
      <c r="W345" s="10">
        <v>0.24379041248606459</v>
      </c>
      <c r="X345" s="10">
        <v>8.0100334448160504E-2</v>
      </c>
      <c r="Y345" s="10">
        <v>0.48333333333333328</v>
      </c>
      <c r="Z345" s="10">
        <v>0.37142857142857139</v>
      </c>
      <c r="AA345" s="10">
        <v>0.14285714285714279</v>
      </c>
      <c r="AB345" s="10">
        <v>0.7142857142857143</v>
      </c>
      <c r="AC345" s="10">
        <v>0.93024116203047635</v>
      </c>
      <c r="AD345">
        <v>0.79882787772030917</v>
      </c>
      <c r="AE345">
        <v>0.99999999954625918</v>
      </c>
    </row>
    <row r="346" spans="1:31" hidden="1">
      <c r="A346" t="s">
        <v>87</v>
      </c>
      <c r="B346" t="s">
        <v>78</v>
      </c>
      <c r="C346" t="s">
        <v>82</v>
      </c>
      <c r="D346" t="s">
        <v>71</v>
      </c>
      <c r="E346">
        <v>9</v>
      </c>
      <c r="F346">
        <v>6.5217391304347797E-2</v>
      </c>
      <c r="G346">
        <v>5</v>
      </c>
      <c r="H346" s="10">
        <v>6.90179963036755E-2</v>
      </c>
      <c r="I346" s="10">
        <v>5.6324971196341903E-2</v>
      </c>
      <c r="J346" s="10">
        <v>9.5612143873341507E-2</v>
      </c>
      <c r="K346" s="10">
        <v>1.058275943323026</v>
      </c>
      <c r="L346" s="10">
        <v>0.86364955834390988</v>
      </c>
      <c r="M346" s="10">
        <v>1.466052872724571</v>
      </c>
      <c r="N346" s="10">
        <v>0.41722652885443579</v>
      </c>
      <c r="O346" s="10">
        <v>0.3455641688199827</v>
      </c>
      <c r="P346" s="10">
        <v>0.4820844099913868</v>
      </c>
      <c r="Q346" s="10">
        <v>-1.9587132951574701E-2</v>
      </c>
      <c r="R346" s="10">
        <v>-6.7354260103913793E-2</v>
      </c>
      <c r="S346" s="10">
        <v>5.0680986885085003E-2</v>
      </c>
      <c r="T346" s="10">
        <v>7.2089947089946996E-2</v>
      </c>
      <c r="U346" s="10">
        <v>0</v>
      </c>
      <c r="V346" s="10">
        <v>0.16997354497354489</v>
      </c>
      <c r="W346" s="10">
        <v>4.1111111111111098E-2</v>
      </c>
      <c r="X346" s="10">
        <v>0</v>
      </c>
      <c r="Y346" s="10">
        <v>9.5555555555555505E-2</v>
      </c>
      <c r="Z346" s="10">
        <v>8.8888888888888795E-2</v>
      </c>
      <c r="AA346" s="10">
        <v>0</v>
      </c>
      <c r="AB346" s="10">
        <v>0.211111111111111</v>
      </c>
      <c r="AC346" s="10">
        <v>0.99610603683852561</v>
      </c>
      <c r="AD346">
        <v>0.98950339694580625</v>
      </c>
      <c r="AE346">
        <v>0.99999999900924141</v>
      </c>
    </row>
    <row r="347" spans="1:31" hidden="1">
      <c r="A347" t="s">
        <v>87</v>
      </c>
      <c r="B347" t="s">
        <v>78</v>
      </c>
      <c r="C347" t="s">
        <v>76</v>
      </c>
      <c r="D347" t="s">
        <v>67</v>
      </c>
      <c r="E347">
        <v>4</v>
      </c>
      <c r="F347">
        <v>2.8985507246376802E-2</v>
      </c>
      <c r="G347">
        <v>5</v>
      </c>
      <c r="H347" s="10">
        <v>7.4673716021691094E-2</v>
      </c>
      <c r="I347" s="10">
        <v>4.9461243306727597E-2</v>
      </c>
      <c r="J347" s="10">
        <v>0.1183641621278566</v>
      </c>
      <c r="K347" s="10">
        <v>2.5762432027483442</v>
      </c>
      <c r="L347" s="10">
        <v>1.7064128940821019</v>
      </c>
      <c r="M347" s="10">
        <v>4.0835635934110517</v>
      </c>
      <c r="N347" s="10">
        <v>0.70727611940298507</v>
      </c>
      <c r="O347" s="10">
        <v>0.62266791044776126</v>
      </c>
      <c r="P347" s="10">
        <v>0.79085820895522396</v>
      </c>
      <c r="Q347" s="10">
        <v>0.1072638201058756</v>
      </c>
      <c r="R347" s="10">
        <v>1.7484435852749902E-2</v>
      </c>
      <c r="S347" s="10">
        <v>0.20594811048247191</v>
      </c>
      <c r="T347" s="10">
        <v>0.1939530050024659</v>
      </c>
      <c r="U347" s="10">
        <v>0.1131578947368421</v>
      </c>
      <c r="V347" s="10">
        <v>0.2740963855421687</v>
      </c>
      <c r="W347" s="10">
        <v>5.2289231183981502E-2</v>
      </c>
      <c r="X347" s="10">
        <v>3.3448275862068902E-2</v>
      </c>
      <c r="Y347" s="10">
        <v>7.0535714285714202E-2</v>
      </c>
      <c r="Z347" s="10">
        <v>0.65</v>
      </c>
      <c r="AA347" s="10">
        <v>0.27500000000000002</v>
      </c>
      <c r="AB347" s="10">
        <v>1</v>
      </c>
      <c r="AC347" s="10">
        <v>4.92480863936062E-2</v>
      </c>
      <c r="AD347">
        <v>3.16392201804961E-2</v>
      </c>
      <c r="AE347">
        <v>8.0830497616106695E-2</v>
      </c>
    </row>
    <row r="348" spans="1:31" hidden="1">
      <c r="A348" t="s">
        <v>87</v>
      </c>
      <c r="B348" t="s">
        <v>78</v>
      </c>
      <c r="C348" t="s">
        <v>76</v>
      </c>
      <c r="D348" t="s">
        <v>68</v>
      </c>
      <c r="E348">
        <v>20</v>
      </c>
      <c r="F348">
        <v>0.14492753623188401</v>
      </c>
      <c r="G348">
        <v>5</v>
      </c>
      <c r="H348" s="10">
        <v>0.34464676888386581</v>
      </c>
      <c r="I348" s="10">
        <v>0.31374067061538807</v>
      </c>
      <c r="J348" s="10">
        <v>0.38093644606326321</v>
      </c>
      <c r="K348" s="10">
        <v>2.378062705298674</v>
      </c>
      <c r="L348" s="10">
        <v>2.1648106272461778</v>
      </c>
      <c r="M348" s="10">
        <v>2.6284614778365158</v>
      </c>
      <c r="N348" s="10">
        <v>0.7707627118644067</v>
      </c>
      <c r="O348" s="10">
        <v>0.74949152542372877</v>
      </c>
      <c r="P348" s="10">
        <v>0.78830508474576266</v>
      </c>
      <c r="Q348" s="10">
        <v>0.2613473745695149</v>
      </c>
      <c r="R348" s="10">
        <v>0.13504598271471169</v>
      </c>
      <c r="S348" s="10">
        <v>0.32808782308440232</v>
      </c>
      <c r="T348" s="10">
        <v>0.46451304656686032</v>
      </c>
      <c r="U348" s="10">
        <v>0.19385964912280701</v>
      </c>
      <c r="V348" s="10">
        <v>0.58763094278807415</v>
      </c>
      <c r="W348" s="10">
        <v>0.28581487140310669</v>
      </c>
      <c r="X348" s="10">
        <v>0.26038961038961039</v>
      </c>
      <c r="Y348" s="10">
        <v>0.29941176470588232</v>
      </c>
      <c r="Z348" s="10">
        <v>0.6</v>
      </c>
      <c r="AA348" s="10">
        <v>0.185</v>
      </c>
      <c r="AB348" s="10">
        <v>0.84499999999999997</v>
      </c>
      <c r="AC348" s="10">
        <v>0.32025797664212591</v>
      </c>
      <c r="AD348">
        <v>0.1968023886658064</v>
      </c>
      <c r="AE348">
        <v>0.48037051367701589</v>
      </c>
    </row>
    <row r="349" spans="1:31" hidden="1">
      <c r="A349" t="s">
        <v>87</v>
      </c>
      <c r="B349" t="s">
        <v>78</v>
      </c>
      <c r="C349" t="s">
        <v>76</v>
      </c>
      <c r="D349" t="s">
        <v>69</v>
      </c>
      <c r="E349">
        <v>26</v>
      </c>
      <c r="F349">
        <v>0.1884057971014492</v>
      </c>
      <c r="G349">
        <v>5</v>
      </c>
      <c r="H349" s="10">
        <v>0.61082841225205342</v>
      </c>
      <c r="I349" s="10">
        <v>0.55386940999948409</v>
      </c>
      <c r="J349" s="10">
        <v>0.67180404298672691</v>
      </c>
      <c r="K349" s="10">
        <v>3.2420892650301298</v>
      </c>
      <c r="L349" s="10">
        <v>2.9397684069203378</v>
      </c>
      <c r="M349" s="10">
        <v>3.565729151237242</v>
      </c>
      <c r="N349" s="10">
        <v>0.925206043956044</v>
      </c>
      <c r="O349" s="10">
        <v>0.90346840659340677</v>
      </c>
      <c r="P349" s="10">
        <v>0.94323489010989003</v>
      </c>
      <c r="Q349" s="10">
        <v>0.67412457824280136</v>
      </c>
      <c r="R349" s="10">
        <v>0.64431370637815732</v>
      </c>
      <c r="S349" s="10">
        <v>0.72115621555836662</v>
      </c>
      <c r="T349" s="10">
        <v>0.83488523488523492</v>
      </c>
      <c r="U349" s="10">
        <v>0.78333333333333333</v>
      </c>
      <c r="V349" s="10">
        <v>0.8711727461727462</v>
      </c>
      <c r="W349" s="10">
        <v>0.59965737861951052</v>
      </c>
      <c r="X349" s="10">
        <v>0.54594861660079053</v>
      </c>
      <c r="Y349" s="10">
        <v>0.67377998345740275</v>
      </c>
      <c r="Z349" s="10">
        <v>0.93076923076923079</v>
      </c>
      <c r="AA349" s="10">
        <v>0.82307692307692304</v>
      </c>
      <c r="AB349" s="10">
        <v>0.96153846153846156</v>
      </c>
      <c r="AC349" s="10">
        <v>0.447372473339534</v>
      </c>
      <c r="AD349">
        <v>0.35002605483306271</v>
      </c>
      <c r="AE349">
        <v>0.54021802218321124</v>
      </c>
    </row>
    <row r="350" spans="1:31" hidden="1">
      <c r="A350" t="s">
        <v>87</v>
      </c>
      <c r="B350" t="s">
        <v>78</v>
      </c>
      <c r="C350" t="s">
        <v>76</v>
      </c>
      <c r="D350" t="s">
        <v>70</v>
      </c>
      <c r="E350">
        <v>7</v>
      </c>
      <c r="F350">
        <v>5.0724637681159403E-2</v>
      </c>
      <c r="G350">
        <v>5</v>
      </c>
      <c r="H350" s="10">
        <v>0.2377749684609643</v>
      </c>
      <c r="I350" s="10">
        <v>0.15355002182725519</v>
      </c>
      <c r="J350" s="10">
        <v>0.37615926340304118</v>
      </c>
      <c r="K350" s="10">
        <v>4.6875636639447249</v>
      </c>
      <c r="L350" s="10">
        <v>3.0271290017373169</v>
      </c>
      <c r="M350" s="10">
        <v>7.415711192802811</v>
      </c>
      <c r="N350" s="10">
        <v>0.68004362050163569</v>
      </c>
      <c r="O350" s="10">
        <v>0.60087241003271541</v>
      </c>
      <c r="P350" s="10">
        <v>0.76412213740458013</v>
      </c>
      <c r="Q350" s="10">
        <v>0.1121910233694549</v>
      </c>
      <c r="R350" s="10">
        <v>1.9749362828826002E-3</v>
      </c>
      <c r="S350" s="10">
        <v>0.3838673183278789</v>
      </c>
      <c r="T350" s="10">
        <v>0.2413709509172004</v>
      </c>
      <c r="U350" s="10">
        <v>0.2109711573566995</v>
      </c>
      <c r="V350" s="10">
        <v>0.31413210445468509</v>
      </c>
      <c r="W350" s="10">
        <v>0.17858901386352979</v>
      </c>
      <c r="X350" s="10">
        <v>5.0761662964138303E-2</v>
      </c>
      <c r="Y350" s="10">
        <v>0.60649350649350642</v>
      </c>
      <c r="Z350" s="10">
        <v>0.74285714285714288</v>
      </c>
      <c r="AA350" s="10">
        <v>0.32857142857142851</v>
      </c>
      <c r="AB350" s="10">
        <v>1</v>
      </c>
      <c r="AC350" s="10">
        <v>6.2260757710143402E-2</v>
      </c>
      <c r="AD350">
        <v>7.4091620809409999E-3</v>
      </c>
      <c r="AE350">
        <v>0.15546807346115779</v>
      </c>
    </row>
    <row r="351" spans="1:31" hidden="1">
      <c r="A351" t="s">
        <v>87</v>
      </c>
      <c r="B351" t="s">
        <v>78</v>
      </c>
      <c r="C351" t="s">
        <v>76</v>
      </c>
      <c r="D351" t="s">
        <v>71</v>
      </c>
      <c r="E351">
        <v>9</v>
      </c>
      <c r="F351">
        <v>6.5217391304347797E-2</v>
      </c>
      <c r="G351">
        <v>5</v>
      </c>
      <c r="H351" s="10">
        <v>0.18251766637766459</v>
      </c>
      <c r="I351" s="10">
        <v>8.6008161143763098E-2</v>
      </c>
      <c r="J351" s="10">
        <v>0.2486322711291051</v>
      </c>
      <c r="K351" s="10">
        <v>2.7986042177908592</v>
      </c>
      <c r="L351" s="10">
        <v>1.318791804204368</v>
      </c>
      <c r="M351" s="10">
        <v>3.8123614906462779</v>
      </c>
      <c r="N351" s="10">
        <v>0.56968130921619287</v>
      </c>
      <c r="O351" s="10">
        <v>0.51714039621016361</v>
      </c>
      <c r="P351" s="10">
        <v>0.6579672695951766</v>
      </c>
      <c r="Q351" s="10">
        <v>0.11455274411880891</v>
      </c>
      <c r="R351" s="10">
        <v>-7.6363430897715703E-2</v>
      </c>
      <c r="S351" s="10">
        <v>0.25889037217749428</v>
      </c>
      <c r="T351" s="10">
        <v>0.289105222081189</v>
      </c>
      <c r="U351" s="10">
        <v>0.2216117216117216</v>
      </c>
      <c r="V351" s="10">
        <v>0.33769344141488578</v>
      </c>
      <c r="W351" s="10">
        <v>0.15221850613154961</v>
      </c>
      <c r="X351" s="10">
        <v>6.18181818181818E-2</v>
      </c>
      <c r="Y351" s="10">
        <v>0.287391304347826</v>
      </c>
      <c r="Z351" s="10">
        <v>0.51111111111111107</v>
      </c>
      <c r="AA351" s="10">
        <v>0.34444444444444439</v>
      </c>
      <c r="AB351" s="10">
        <v>0.84444444444444433</v>
      </c>
      <c r="AC351" s="10">
        <v>0.12090083412123991</v>
      </c>
      <c r="AD351">
        <v>3.62470797349446E-2</v>
      </c>
      <c r="AE351">
        <v>0.1733221038400217</v>
      </c>
    </row>
    <row r="352" spans="1:31" hidden="1">
      <c r="A352" t="s">
        <v>87</v>
      </c>
      <c r="B352" t="s">
        <v>78</v>
      </c>
      <c r="C352" t="s">
        <v>83</v>
      </c>
      <c r="D352" t="s">
        <v>67</v>
      </c>
      <c r="E352">
        <v>4</v>
      </c>
      <c r="F352">
        <v>2.8985507246376802E-2</v>
      </c>
      <c r="G352">
        <v>5</v>
      </c>
      <c r="H352" s="10">
        <v>2.7864574557685901E-2</v>
      </c>
      <c r="I352" s="10">
        <v>2.0616908019372899E-2</v>
      </c>
      <c r="J352" s="10">
        <v>3.6999218513796499E-2</v>
      </c>
      <c r="K352" s="10">
        <v>0.96132782224016478</v>
      </c>
      <c r="L352" s="10">
        <v>0.71128332666836624</v>
      </c>
      <c r="M352" s="10">
        <v>1.2764730387259799</v>
      </c>
      <c r="N352" s="10">
        <v>0.29906716417910451</v>
      </c>
      <c r="O352" s="10">
        <v>0.14813432835820889</v>
      </c>
      <c r="P352" s="10">
        <v>0.46539179104477613</v>
      </c>
      <c r="Q352" s="10">
        <v>-0.18812268981073119</v>
      </c>
      <c r="R352" s="10">
        <v>-0.54863773723482612</v>
      </c>
      <c r="S352" s="10">
        <v>7.0154240366520404E-2</v>
      </c>
      <c r="T352" s="10">
        <v>8.0667061922859398E-2</v>
      </c>
      <c r="U352" s="10">
        <v>6.6225165562912996E-3</v>
      </c>
      <c r="V352" s="10">
        <v>0.15098526540031951</v>
      </c>
      <c r="W352" s="10">
        <v>1.8290303315312902E-2</v>
      </c>
      <c r="X352" s="10">
        <v>1.4814814814814001E-3</v>
      </c>
      <c r="Y352" s="10">
        <v>3.4467102731819903E-2</v>
      </c>
      <c r="Z352" s="10">
        <v>0.55000000000000004</v>
      </c>
      <c r="AA352" s="10">
        <v>0.05</v>
      </c>
      <c r="AB352" s="10">
        <v>0.97499999999999998</v>
      </c>
      <c r="AC352" s="10">
        <v>2.4031621443587999E-2</v>
      </c>
      <c r="AD352">
        <v>1.3046894336492899E-2</v>
      </c>
      <c r="AE352">
        <v>5.3921247792916203E-2</v>
      </c>
    </row>
    <row r="353" spans="1:31" hidden="1">
      <c r="A353" t="s">
        <v>87</v>
      </c>
      <c r="B353" t="s">
        <v>78</v>
      </c>
      <c r="C353" t="s">
        <v>83</v>
      </c>
      <c r="D353" t="s">
        <v>68</v>
      </c>
      <c r="E353">
        <v>20</v>
      </c>
      <c r="F353">
        <v>0.14492753623188401</v>
      </c>
      <c r="G353">
        <v>5</v>
      </c>
      <c r="H353" s="10">
        <v>0.21604950897658959</v>
      </c>
      <c r="I353" s="10">
        <v>0.18697616217338739</v>
      </c>
      <c r="J353" s="10">
        <v>0.2356710078299222</v>
      </c>
      <c r="K353" s="10">
        <v>1.4907416119384691</v>
      </c>
      <c r="L353" s="10">
        <v>1.290135518996373</v>
      </c>
      <c r="M353" s="10">
        <v>1.626129954026464</v>
      </c>
      <c r="N353" s="10">
        <v>0.61995762711864411</v>
      </c>
      <c r="O353" s="10">
        <v>0.57654661016949149</v>
      </c>
      <c r="P353" s="10">
        <v>0.66913135593220341</v>
      </c>
      <c r="Q353" s="10">
        <v>0.13063520440361309</v>
      </c>
      <c r="R353" s="10">
        <v>5.55980295372967E-2</v>
      </c>
      <c r="S353" s="10">
        <v>0.2327638731212737</v>
      </c>
      <c r="T353" s="10">
        <v>0.38029089461520599</v>
      </c>
      <c r="U353" s="10">
        <v>0.32334197072624138</v>
      </c>
      <c r="V353" s="10">
        <v>0.44649122807017538</v>
      </c>
      <c r="W353" s="10">
        <v>0.22036142356629171</v>
      </c>
      <c r="X353" s="10">
        <v>0.1567379679144385</v>
      </c>
      <c r="Y353" s="10">
        <v>0.28884381338742388</v>
      </c>
      <c r="Z353" s="10">
        <v>0.51</v>
      </c>
      <c r="AA353" s="10">
        <v>0.35499999999999998</v>
      </c>
      <c r="AB353" s="10">
        <v>0.81499999999999995</v>
      </c>
      <c r="AC353" s="10">
        <v>0.1161548210513593</v>
      </c>
      <c r="AD353">
        <v>7.1879755182802305E-2</v>
      </c>
      <c r="AE353">
        <v>0.1391206311746144</v>
      </c>
    </row>
    <row r="354" spans="1:31" hidden="1">
      <c r="A354" t="s">
        <v>87</v>
      </c>
      <c r="B354" t="s">
        <v>78</v>
      </c>
      <c r="C354" t="s">
        <v>83</v>
      </c>
      <c r="D354" t="s">
        <v>69</v>
      </c>
      <c r="E354">
        <v>26</v>
      </c>
      <c r="F354">
        <v>0.1884057971014492</v>
      </c>
      <c r="G354">
        <v>5</v>
      </c>
      <c r="H354" s="10">
        <v>0.61003988970728273</v>
      </c>
      <c r="I354" s="10">
        <v>0.53828880081842156</v>
      </c>
      <c r="J354" s="10">
        <v>0.65235316685739098</v>
      </c>
      <c r="K354" s="10">
        <v>3.2379040299848092</v>
      </c>
      <c r="L354" s="10">
        <v>2.857071327420853</v>
      </c>
      <c r="M354" s="10">
        <v>3.46248988562769</v>
      </c>
      <c r="N354" s="10">
        <v>0.82609890109890105</v>
      </c>
      <c r="O354" s="10">
        <v>0.80051510989010988</v>
      </c>
      <c r="P354" s="10">
        <v>0.85388049450549453</v>
      </c>
      <c r="Q354" s="10">
        <v>0.5357807391391024</v>
      </c>
      <c r="R354" s="10">
        <v>0.49907760832023679</v>
      </c>
      <c r="S354" s="10">
        <v>0.5776404339653235</v>
      </c>
      <c r="T354" s="10">
        <v>0.66753809843399614</v>
      </c>
      <c r="U354" s="10">
        <v>0.63214652516261549</v>
      </c>
      <c r="V354" s="10">
        <v>0.69292817095102088</v>
      </c>
      <c r="W354" s="10">
        <v>0.57463171146035597</v>
      </c>
      <c r="X354" s="10">
        <v>0.51510333863275037</v>
      </c>
      <c r="Y354" s="10">
        <v>0.68366271409749668</v>
      </c>
      <c r="Z354" s="10">
        <v>0.7</v>
      </c>
      <c r="AA354" s="10">
        <v>0.62307692307692308</v>
      </c>
      <c r="AB354" s="10">
        <v>0.73076923076923073</v>
      </c>
      <c r="AC354" s="10">
        <v>7.8411188506507495E-2</v>
      </c>
      <c r="AD354">
        <v>3.9479395612312999E-2</v>
      </c>
      <c r="AE354">
        <v>0.13438898086518031</v>
      </c>
    </row>
    <row r="355" spans="1:31" hidden="1">
      <c r="A355" t="s">
        <v>87</v>
      </c>
      <c r="B355" t="s">
        <v>78</v>
      </c>
      <c r="C355" t="s">
        <v>83</v>
      </c>
      <c r="D355" t="s">
        <v>70</v>
      </c>
      <c r="E355">
        <v>7</v>
      </c>
      <c r="F355">
        <v>5.0724637681159403E-2</v>
      </c>
      <c r="G355">
        <v>5</v>
      </c>
      <c r="H355" s="10">
        <v>5.7674647658891798E-2</v>
      </c>
      <c r="I355" s="10">
        <v>4.5876048471134197E-2</v>
      </c>
      <c r="J355" s="10">
        <v>8.3859532949732696E-2</v>
      </c>
      <c r="K355" s="10">
        <v>1.1370144824181529</v>
      </c>
      <c r="L355" s="10">
        <v>0.90441352700236077</v>
      </c>
      <c r="M355" s="10">
        <v>1.6532307924375871</v>
      </c>
      <c r="N355" s="10">
        <v>0.41319520174482011</v>
      </c>
      <c r="O355" s="10">
        <v>0.34880043620501627</v>
      </c>
      <c r="P355" s="10">
        <v>0.49405670665212648</v>
      </c>
      <c r="Q355" s="10">
        <v>4.5908396787625802E-2</v>
      </c>
      <c r="R355" s="10">
        <v>-1.48155345095472E-2</v>
      </c>
      <c r="S355" s="10">
        <v>0.1117923622438816</v>
      </c>
      <c r="T355" s="10">
        <v>0.22004784718769069</v>
      </c>
      <c r="U355" s="10">
        <v>0.19219367588932801</v>
      </c>
      <c r="V355" s="10">
        <v>0.25198583082868181</v>
      </c>
      <c r="W355" s="10">
        <v>5.4623164002690801E-2</v>
      </c>
      <c r="X355" s="10">
        <v>4.8532388663967599E-2</v>
      </c>
      <c r="Y355" s="10">
        <v>6.3353720693170204E-2</v>
      </c>
      <c r="Z355" s="10">
        <v>0.91428571428571437</v>
      </c>
      <c r="AA355" s="10">
        <v>0.72857142857142854</v>
      </c>
      <c r="AB355" s="10">
        <v>1</v>
      </c>
      <c r="AC355" s="10">
        <v>3.3745968311323302E-2</v>
      </c>
      <c r="AD355">
        <v>2.0582369752235399E-2</v>
      </c>
      <c r="AE355">
        <v>4.4895045242702901E-2</v>
      </c>
    </row>
    <row r="356" spans="1:31" hidden="1">
      <c r="A356" t="s">
        <v>87</v>
      </c>
      <c r="B356" t="s">
        <v>78</v>
      </c>
      <c r="C356" t="s">
        <v>83</v>
      </c>
      <c r="D356" t="s">
        <v>71</v>
      </c>
      <c r="E356">
        <v>9</v>
      </c>
      <c r="F356">
        <v>6.5217391304347797E-2</v>
      </c>
      <c r="G356">
        <v>5</v>
      </c>
      <c r="H356" s="10">
        <v>6.8790342474684296E-2</v>
      </c>
      <c r="I356" s="10">
        <v>4.8093930301343998E-2</v>
      </c>
      <c r="J356" s="10">
        <v>0.1035338584538022</v>
      </c>
      <c r="K356" s="10">
        <v>1.054785251278493</v>
      </c>
      <c r="L356" s="10">
        <v>0.73744026462060885</v>
      </c>
      <c r="M356" s="10">
        <v>1.5875191629583021</v>
      </c>
      <c r="N356" s="10">
        <v>0.36933677863910419</v>
      </c>
      <c r="O356" s="10">
        <v>0.2677433247200689</v>
      </c>
      <c r="P356" s="10">
        <v>0.46627906976744188</v>
      </c>
      <c r="Q356" s="10">
        <v>-7.2900784326351706E-2</v>
      </c>
      <c r="R356" s="10">
        <v>-0.13824901716621019</v>
      </c>
      <c r="S356" s="10">
        <v>3.7705573685261798E-2</v>
      </c>
      <c r="T356" s="10">
        <v>0.20969188671785721</v>
      </c>
      <c r="U356" s="10">
        <v>0.1105813035291259</v>
      </c>
      <c r="V356" s="10">
        <v>0.26190393317090149</v>
      </c>
      <c r="W356" s="10">
        <v>5.4921080964341597E-2</v>
      </c>
      <c r="X356" s="10">
        <v>3.3204118715929702E-2</v>
      </c>
      <c r="Y356" s="10">
        <v>6.6588112071222796E-2</v>
      </c>
      <c r="Z356" s="10">
        <v>0.73333333333333328</v>
      </c>
      <c r="AA356" s="10">
        <v>0.27777777777777779</v>
      </c>
      <c r="AB356" s="10">
        <v>0.98888888888888882</v>
      </c>
      <c r="AC356" s="10">
        <v>4.2544735552148903E-2</v>
      </c>
      <c r="AD356">
        <v>2.3571518953910301E-2</v>
      </c>
      <c r="AE356">
        <v>6.7812798389767795E-2</v>
      </c>
    </row>
    <row r="357" spans="1:31" hidden="1">
      <c r="A357" t="s">
        <v>87</v>
      </c>
      <c r="B357" t="s">
        <v>78</v>
      </c>
      <c r="C357" t="s">
        <v>84</v>
      </c>
      <c r="D357" t="s">
        <v>67</v>
      </c>
      <c r="E357">
        <v>4</v>
      </c>
      <c r="F357">
        <v>2.8985507246376802E-2</v>
      </c>
      <c r="G357">
        <v>5</v>
      </c>
      <c r="H357" s="10">
        <v>0.104854197122653</v>
      </c>
      <c r="I357" s="10">
        <v>5.0530715541353799E-2</v>
      </c>
      <c r="J357" s="10">
        <v>0.16475718425721539</v>
      </c>
      <c r="K357" s="10">
        <v>3.6174698007315329</v>
      </c>
      <c r="L357" s="10">
        <v>1.7433096861767079</v>
      </c>
      <c r="M357" s="10">
        <v>5.6841228568739313</v>
      </c>
      <c r="N357" s="10">
        <v>0.66268656716417917</v>
      </c>
      <c r="O357" s="10">
        <v>0.55755597014925384</v>
      </c>
      <c r="P357" s="10">
        <v>0.77957089552238801</v>
      </c>
      <c r="Q357" s="10">
        <v>9.0375771180471604E-2</v>
      </c>
      <c r="R357" s="10">
        <v>-4.6728511858391997E-2</v>
      </c>
      <c r="S357" s="10">
        <v>0.14625305559313401</v>
      </c>
      <c r="T357" s="10">
        <v>0.16868432995354279</v>
      </c>
      <c r="U357" s="10">
        <v>7.6909641360037195E-2</v>
      </c>
      <c r="V357" s="10">
        <v>0.20749999999999999</v>
      </c>
      <c r="W357" s="10">
        <v>5.1104565537555199E-2</v>
      </c>
      <c r="X357" s="10">
        <v>1.9123711340206101E-2</v>
      </c>
      <c r="Y357" s="10">
        <v>9.5000000000000001E-2</v>
      </c>
      <c r="Z357" s="10">
        <v>0.7</v>
      </c>
      <c r="AA357" s="10">
        <v>0.25</v>
      </c>
      <c r="AB357" s="10">
        <v>1</v>
      </c>
      <c r="AC357" s="10">
        <v>1.4828521701708499E-2</v>
      </c>
      <c r="AD357">
        <v>8.8789619194417999E-3</v>
      </c>
      <c r="AE357">
        <v>3.22129817133507E-2</v>
      </c>
    </row>
    <row r="358" spans="1:31" hidden="1">
      <c r="A358" t="s">
        <v>87</v>
      </c>
      <c r="B358" t="s">
        <v>78</v>
      </c>
      <c r="C358" t="s">
        <v>84</v>
      </c>
      <c r="D358" t="s">
        <v>68</v>
      </c>
      <c r="E358">
        <v>20</v>
      </c>
      <c r="F358">
        <v>0.14492753623188401</v>
      </c>
      <c r="G358">
        <v>5</v>
      </c>
      <c r="H358" s="10">
        <v>0.3033233394479099</v>
      </c>
      <c r="I358" s="10">
        <v>0.25369469238467141</v>
      </c>
      <c r="J358" s="10">
        <v>0.36414710410503648</v>
      </c>
      <c r="K358" s="10">
        <v>2.0929310421905778</v>
      </c>
      <c r="L358" s="10">
        <v>1.7504933774542331</v>
      </c>
      <c r="M358" s="10">
        <v>2.5126150183247522</v>
      </c>
      <c r="N358" s="10">
        <v>0.7033050847457627</v>
      </c>
      <c r="O358" s="10">
        <v>0.68228813559322044</v>
      </c>
      <c r="P358" s="10">
        <v>0.72779661016949149</v>
      </c>
      <c r="Q358" s="10">
        <v>0.23255196842690451</v>
      </c>
      <c r="R358" s="10">
        <v>0.12543520361213281</v>
      </c>
      <c r="S358" s="10">
        <v>0.37461016529543861</v>
      </c>
      <c r="T358" s="10">
        <v>0.35821167632825912</v>
      </c>
      <c r="U358" s="10">
        <v>0.18293539325842689</v>
      </c>
      <c r="V358" s="10">
        <v>0.55561072492552133</v>
      </c>
      <c r="W358" s="10">
        <v>0.33252931445531059</v>
      </c>
      <c r="X358" s="10">
        <v>0.23655913978494619</v>
      </c>
      <c r="Y358" s="10">
        <v>0.38161764705882351</v>
      </c>
      <c r="Z358" s="10">
        <v>0.37999999999999989</v>
      </c>
      <c r="AA358" s="10">
        <v>0.1649999999999999</v>
      </c>
      <c r="AB358" s="10">
        <v>0.63</v>
      </c>
      <c r="AC358" s="10">
        <v>0.43685738639436178</v>
      </c>
      <c r="AD358">
        <v>0.19638635868612839</v>
      </c>
      <c r="AE358">
        <v>0.67728502710410721</v>
      </c>
    </row>
    <row r="359" spans="1:31" hidden="1">
      <c r="A359" t="s">
        <v>87</v>
      </c>
      <c r="B359" t="s">
        <v>78</v>
      </c>
      <c r="C359" t="s">
        <v>84</v>
      </c>
      <c r="D359" t="s">
        <v>69</v>
      </c>
      <c r="E359">
        <v>26</v>
      </c>
      <c r="F359">
        <v>0.1884057971014492</v>
      </c>
      <c r="G359">
        <v>5</v>
      </c>
      <c r="H359" s="10">
        <v>0.62316349793271075</v>
      </c>
      <c r="I359" s="10">
        <v>0.54998140273572138</v>
      </c>
      <c r="J359" s="10">
        <v>0.67334358576334774</v>
      </c>
      <c r="K359" s="10">
        <v>3.3075601044120799</v>
      </c>
      <c r="L359" s="10">
        <v>2.919132060674213</v>
      </c>
      <c r="M359" s="10">
        <v>3.5739005705900762</v>
      </c>
      <c r="N359" s="10">
        <v>0.90885989010988999</v>
      </c>
      <c r="O359" s="10">
        <v>0.88162774725274717</v>
      </c>
      <c r="P359" s="10">
        <v>0.92771291208791196</v>
      </c>
      <c r="Q359" s="10">
        <v>0.57378669967751184</v>
      </c>
      <c r="R359" s="10">
        <v>0.51898855177195913</v>
      </c>
      <c r="S359" s="10">
        <v>0.64450184404422561</v>
      </c>
      <c r="T359" s="10">
        <v>0.77870191949052858</v>
      </c>
      <c r="U359" s="10">
        <v>0.70972644376899696</v>
      </c>
      <c r="V359" s="10">
        <v>0.84698436336559935</v>
      </c>
      <c r="W359" s="10">
        <v>0.4963368652089864</v>
      </c>
      <c r="X359" s="10">
        <v>0.44475831763967349</v>
      </c>
      <c r="Y359" s="10">
        <v>0.5395477109762824</v>
      </c>
      <c r="Z359" s="10">
        <v>0.91538461538461535</v>
      </c>
      <c r="AA359" s="10">
        <v>0.77307692307692311</v>
      </c>
      <c r="AB359" s="10">
        <v>1</v>
      </c>
      <c r="AC359" s="10">
        <v>8.4359081748442505E-2</v>
      </c>
      <c r="AD359">
        <v>1.40665875270439E-2</v>
      </c>
      <c r="AE359">
        <v>0.1823516196484245</v>
      </c>
    </row>
    <row r="360" spans="1:31" hidden="1">
      <c r="A360" t="s">
        <v>87</v>
      </c>
      <c r="B360" t="s">
        <v>78</v>
      </c>
      <c r="C360" t="s">
        <v>84</v>
      </c>
      <c r="D360" t="s">
        <v>70</v>
      </c>
      <c r="E360">
        <v>7</v>
      </c>
      <c r="F360">
        <v>5.0724637681159403E-2</v>
      </c>
      <c r="G360">
        <v>5</v>
      </c>
      <c r="H360" s="10">
        <v>0.15227412118870701</v>
      </c>
      <c r="I360" s="10">
        <v>7.8888753058970404E-2</v>
      </c>
      <c r="J360" s="10">
        <v>0.2117386055849117</v>
      </c>
      <c r="K360" s="10">
        <v>3.0019755320059391</v>
      </c>
      <c r="L360" s="10">
        <v>1.5552354174482741</v>
      </c>
      <c r="M360" s="10">
        <v>4.1742753672454027</v>
      </c>
      <c r="N360" s="10">
        <v>0.53991275899672853</v>
      </c>
      <c r="O360" s="10">
        <v>0.48031624863685929</v>
      </c>
      <c r="P360" s="10">
        <v>0.60643402399127588</v>
      </c>
      <c r="Q360" s="10">
        <v>5.7265340767074499E-2</v>
      </c>
      <c r="R360" s="10">
        <v>2.88194178705336E-2</v>
      </c>
      <c r="S360" s="10">
        <v>8.3942285263505195E-2</v>
      </c>
      <c r="T360" s="10">
        <v>0.16730158730158731</v>
      </c>
      <c r="U360" s="10">
        <v>0.125</v>
      </c>
      <c r="V360" s="10">
        <v>0.2314285714285714</v>
      </c>
      <c r="W360" s="10">
        <v>8.0523028883684594E-2</v>
      </c>
      <c r="X360" s="10">
        <v>5.3951990632318501E-2</v>
      </c>
      <c r="Y360" s="10">
        <v>0.12083333333333331</v>
      </c>
      <c r="Z360" s="10">
        <v>0.45714285714285707</v>
      </c>
      <c r="AA360" s="10">
        <v>0.14285714285714279</v>
      </c>
      <c r="AB360" s="10">
        <v>0.98571428571428565</v>
      </c>
      <c r="AC360" s="10">
        <v>3.9966840745071501E-2</v>
      </c>
      <c r="AD360">
        <v>4.4960656269433996E-3</v>
      </c>
      <c r="AE360">
        <v>7.1925886220687199E-2</v>
      </c>
    </row>
    <row r="361" spans="1:31" hidden="1">
      <c r="A361" t="s">
        <v>87</v>
      </c>
      <c r="B361" t="s">
        <v>78</v>
      </c>
      <c r="C361" t="s">
        <v>84</v>
      </c>
      <c r="D361" t="s">
        <v>71</v>
      </c>
      <c r="E361">
        <v>9</v>
      </c>
      <c r="F361">
        <v>6.5217391304347797E-2</v>
      </c>
      <c r="G361">
        <v>5</v>
      </c>
      <c r="H361" s="10">
        <v>0.25533913222171217</v>
      </c>
      <c r="I361" s="10">
        <v>0.1630328055045529</v>
      </c>
      <c r="J361" s="10">
        <v>0.33092977451167988</v>
      </c>
      <c r="K361" s="10">
        <v>3.9152000273995879</v>
      </c>
      <c r="L361" s="10">
        <v>2.4998363510698121</v>
      </c>
      <c r="M361" s="10">
        <v>5.0742565425124244</v>
      </c>
      <c r="N361" s="10">
        <v>0.63824289405684753</v>
      </c>
      <c r="O361" s="10">
        <v>0.49978466838931951</v>
      </c>
      <c r="P361" s="10">
        <v>0.76701119724375544</v>
      </c>
      <c r="Q361" s="10">
        <v>0.16938385303372519</v>
      </c>
      <c r="R361" s="10">
        <v>8.2615986960498294E-2</v>
      </c>
      <c r="S361" s="10">
        <v>0.31246320105031428</v>
      </c>
      <c r="T361" s="10">
        <v>0.22242494210457589</v>
      </c>
      <c r="U361" s="10">
        <v>0.13193456614509241</v>
      </c>
      <c r="V361" s="10">
        <v>0.29821627647714599</v>
      </c>
      <c r="W361" s="10">
        <v>0.36057399390732719</v>
      </c>
      <c r="X361" s="10">
        <v>8.7301587301587297E-2</v>
      </c>
      <c r="Y361" s="10">
        <v>0.95</v>
      </c>
      <c r="Z361" s="10">
        <v>0.37777777777777782</v>
      </c>
      <c r="AA361" s="10">
        <v>0.1111111111111111</v>
      </c>
      <c r="AB361" s="10">
        <v>0.74444444444444446</v>
      </c>
      <c r="AC361" s="10">
        <v>0.23204031848840079</v>
      </c>
      <c r="AD361">
        <v>1.0943759520898501E-2</v>
      </c>
      <c r="AE361">
        <v>0.56450869694786454</v>
      </c>
    </row>
    <row r="362" spans="1:31">
      <c r="A362" t="s">
        <v>86</v>
      </c>
      <c r="B362" t="s">
        <v>78</v>
      </c>
      <c r="C362" t="s">
        <v>80</v>
      </c>
      <c r="D362" t="s">
        <v>67</v>
      </c>
      <c r="E362">
        <v>4</v>
      </c>
      <c r="F362">
        <v>2.8985507246376802E-2</v>
      </c>
      <c r="G362">
        <v>5</v>
      </c>
      <c r="H362" s="10">
        <v>0.34807636094930328</v>
      </c>
      <c r="I362" s="10">
        <v>0.14941649135109861</v>
      </c>
      <c r="J362" s="10">
        <v>0.69791666666666663</v>
      </c>
      <c r="K362" s="10">
        <v>12.008634452750959</v>
      </c>
      <c r="L362" s="10">
        <v>5.1548689516129027</v>
      </c>
      <c r="M362" s="10">
        <v>24.078125</v>
      </c>
      <c r="N362" s="10">
        <v>0.87910447761194033</v>
      </c>
      <c r="O362" s="10">
        <v>0.73470149253731343</v>
      </c>
      <c r="P362" s="10">
        <v>0.98283582089552235</v>
      </c>
      <c r="Q362" s="10">
        <v>0.34325451180220162</v>
      </c>
      <c r="R362" s="10">
        <v>0.12930093550236371</v>
      </c>
      <c r="S362" s="10">
        <v>0.5650184661095915</v>
      </c>
      <c r="T362" s="10">
        <v>0.371253496058988</v>
      </c>
      <c r="U362" s="10">
        <v>0.2</v>
      </c>
      <c r="V362" s="10">
        <v>0.63958810068649885</v>
      </c>
      <c r="W362" s="10">
        <v>0.36349206349206348</v>
      </c>
      <c r="X362" s="10">
        <v>0.1111111111111111</v>
      </c>
      <c r="Y362" s="10">
        <v>0.64999999999999991</v>
      </c>
      <c r="Z362" s="10">
        <v>0.4</v>
      </c>
      <c r="AA362" s="10">
        <v>0.25</v>
      </c>
      <c r="AB362" s="10">
        <v>0.72499999999999998</v>
      </c>
      <c r="AC362" s="10">
        <v>0.3210442642549583</v>
      </c>
      <c r="AD362">
        <v>4.6420722047160801E-2</v>
      </c>
      <c r="AE362">
        <v>0.71782680267987597</v>
      </c>
    </row>
    <row r="363" spans="1:31">
      <c r="A363" t="s">
        <v>88</v>
      </c>
      <c r="B363" t="s">
        <v>65</v>
      </c>
      <c r="C363" t="s">
        <v>80</v>
      </c>
      <c r="D363" t="s">
        <v>68</v>
      </c>
      <c r="E363">
        <v>20</v>
      </c>
      <c r="F363">
        <v>0.14492753623188401</v>
      </c>
      <c r="G363">
        <v>5</v>
      </c>
      <c r="H363" s="10">
        <v>0.1250669534737307</v>
      </c>
      <c r="I363" s="10">
        <v>0.10332299311322329</v>
      </c>
      <c r="J363" s="10">
        <v>0.1387347200539665</v>
      </c>
      <c r="K363" s="10">
        <v>0.86296197896874172</v>
      </c>
      <c r="L363" s="10">
        <v>0.71292865248124071</v>
      </c>
      <c r="M363" s="10">
        <v>0.95726956837236921</v>
      </c>
      <c r="N363" s="10">
        <v>0.36466101694915248</v>
      </c>
      <c r="O363" s="10">
        <v>0.2883898305084745</v>
      </c>
      <c r="P363" s="10">
        <v>0.4327966101694915</v>
      </c>
      <c r="Q363" s="10">
        <v>-0.1027177325447224</v>
      </c>
      <c r="R363" s="10">
        <v>-0.18241352426407439</v>
      </c>
      <c r="S363" s="10">
        <v>2.0858471293143901E-2</v>
      </c>
      <c r="T363" s="10">
        <v>0.27471531632698432</v>
      </c>
      <c r="U363" s="10">
        <v>0.1632772323515661</v>
      </c>
      <c r="V363" s="10">
        <v>0.38089485739386908</v>
      </c>
      <c r="W363" s="10">
        <v>0.1132044947856554</v>
      </c>
      <c r="X363" s="10">
        <v>8.6677115987460807E-2</v>
      </c>
      <c r="Y363" s="10">
        <v>0.15245486221095969</v>
      </c>
      <c r="Z363" s="10">
        <v>0.45</v>
      </c>
      <c r="AA363" s="10">
        <v>0.20499999999999999</v>
      </c>
      <c r="AB363" s="10">
        <v>0.73499999999999999</v>
      </c>
      <c r="AC363" s="10">
        <v>8.4543765603781601E-2</v>
      </c>
      <c r="AD363">
        <v>2.9401291036112E-3</v>
      </c>
      <c r="AE363">
        <v>0.22015327275632079</v>
      </c>
    </row>
    <row r="364" spans="1:31">
      <c r="A364" t="s">
        <v>88</v>
      </c>
      <c r="B364" t="s">
        <v>65</v>
      </c>
      <c r="C364" t="s">
        <v>80</v>
      </c>
      <c r="D364" t="s">
        <v>69</v>
      </c>
      <c r="E364">
        <v>26</v>
      </c>
      <c r="F364">
        <v>0.1884057971014492</v>
      </c>
      <c r="G364">
        <v>5</v>
      </c>
      <c r="H364" s="10">
        <v>0.36857107258821359</v>
      </c>
      <c r="I364" s="10">
        <v>0.31959226736323632</v>
      </c>
      <c r="J364" s="10">
        <v>0.41887625586800808</v>
      </c>
      <c r="K364" s="10">
        <v>1.9562618468143651</v>
      </c>
      <c r="L364" s="10">
        <v>1.696297419081793</v>
      </c>
      <c r="M364" s="10">
        <v>2.2232662811455821</v>
      </c>
      <c r="N364" s="10">
        <v>0.78605769230769229</v>
      </c>
      <c r="O364" s="10">
        <v>0.73464972527472527</v>
      </c>
      <c r="P364" s="10">
        <v>0.84175824175824165</v>
      </c>
      <c r="Q364" s="10">
        <v>0.45750321879043149</v>
      </c>
      <c r="R364" s="10">
        <v>0.39675494961044011</v>
      </c>
      <c r="S364" s="10">
        <v>0.57025938867804526</v>
      </c>
      <c r="T364" s="10">
        <v>0.67712520139323895</v>
      </c>
      <c r="U364" s="10">
        <v>0.5978789422498032</v>
      </c>
      <c r="V364" s="10">
        <v>0.77960526315789469</v>
      </c>
      <c r="W364" s="10">
        <v>0.43953055100927441</v>
      </c>
      <c r="X364" s="10">
        <v>0.4058297872340425</v>
      </c>
      <c r="Y364" s="10">
        <v>0.49375000000000002</v>
      </c>
      <c r="Z364" s="10">
        <v>0.78461538461538471</v>
      </c>
      <c r="AA364" s="10">
        <v>0.66153846153846152</v>
      </c>
      <c r="AB364" s="10">
        <v>0.91153846153846163</v>
      </c>
      <c r="AC364" s="10">
        <v>0.42947085048721501</v>
      </c>
      <c r="AD364">
        <v>0.27868227257670758</v>
      </c>
      <c r="AE364">
        <v>0.60298157027866051</v>
      </c>
    </row>
    <row r="365" spans="1:31">
      <c r="A365" t="s">
        <v>88</v>
      </c>
      <c r="B365" t="s">
        <v>65</v>
      </c>
      <c r="C365" t="s">
        <v>80</v>
      </c>
      <c r="D365" t="s">
        <v>70</v>
      </c>
      <c r="E365">
        <v>7</v>
      </c>
      <c r="F365">
        <v>5.0724637681159403E-2</v>
      </c>
      <c r="G365">
        <v>5</v>
      </c>
      <c r="H365" s="10">
        <v>8.51589456679991E-2</v>
      </c>
      <c r="I365" s="10">
        <v>6.3948037293232493E-2</v>
      </c>
      <c r="J365" s="10">
        <v>9.5085396388693399E-2</v>
      </c>
      <c r="K365" s="10">
        <v>1.6788477860262681</v>
      </c>
      <c r="L365" s="10">
        <v>1.2606898780665849</v>
      </c>
      <c r="M365" s="10">
        <v>1.8745406716628139</v>
      </c>
      <c r="N365" s="10">
        <v>0.58996728462377312</v>
      </c>
      <c r="O365" s="10">
        <v>0.41025081788440559</v>
      </c>
      <c r="P365" s="10">
        <v>0.71733914940021803</v>
      </c>
      <c r="Q365" s="10">
        <v>0.1113797548971661</v>
      </c>
      <c r="R365" s="10">
        <v>3.3292958909385197E-2</v>
      </c>
      <c r="S365" s="10">
        <v>0.2259800762372409</v>
      </c>
      <c r="T365" s="10">
        <v>0.2465165886459281</v>
      </c>
      <c r="U365" s="10">
        <v>0.125</v>
      </c>
      <c r="V365" s="10">
        <v>0.37254138266796488</v>
      </c>
      <c r="W365" s="10">
        <v>8.7421092094742303E-2</v>
      </c>
      <c r="X365" s="10">
        <v>6.8786692759295498E-2</v>
      </c>
      <c r="Y365" s="10">
        <v>0.1166931637519872</v>
      </c>
      <c r="Z365" s="10">
        <v>0.51428571428571435</v>
      </c>
      <c r="AA365" s="10">
        <v>0.15714285714285711</v>
      </c>
      <c r="AB365" s="10">
        <v>0.84285714285714275</v>
      </c>
      <c r="AC365" s="10">
        <v>3.4263850696482398E-2</v>
      </c>
      <c r="AD365">
        <v>4.4360671317976996E-3</v>
      </c>
      <c r="AE365">
        <v>7.5725266784528095E-2</v>
      </c>
    </row>
    <row r="366" spans="1:31">
      <c r="A366" t="s">
        <v>88</v>
      </c>
      <c r="B366" t="s">
        <v>65</v>
      </c>
      <c r="C366" t="s">
        <v>80</v>
      </c>
      <c r="D366" t="s">
        <v>71</v>
      </c>
      <c r="E366">
        <v>9</v>
      </c>
      <c r="F366">
        <v>6.5217391304347797E-2</v>
      </c>
      <c r="G366">
        <v>5</v>
      </c>
      <c r="H366" s="10">
        <v>0.102391278183685</v>
      </c>
      <c r="I366" s="10">
        <v>7.0062237435775498E-2</v>
      </c>
      <c r="J366" s="10">
        <v>0.1392984393337556</v>
      </c>
      <c r="K366" s="10">
        <v>1.5699995988165041</v>
      </c>
      <c r="L366" s="10">
        <v>1.074287640681892</v>
      </c>
      <c r="M366" s="10">
        <v>2.1359094031175871</v>
      </c>
      <c r="N366" s="10">
        <v>0.53901808785529715</v>
      </c>
      <c r="O366" s="10">
        <v>0.42583979328165372</v>
      </c>
      <c r="P366" s="10">
        <v>0.66304909560723502</v>
      </c>
      <c r="Q366" s="10">
        <v>4.4334513411760004E-3</v>
      </c>
      <c r="R366" s="10">
        <v>-0.19022983540755059</v>
      </c>
      <c r="S366" s="10">
        <v>0.11805697658628191</v>
      </c>
      <c r="T366" s="10">
        <v>0.22039945598243429</v>
      </c>
      <c r="U366" s="10">
        <v>0.16760676873489119</v>
      </c>
      <c r="V366" s="10">
        <v>0.26300489596083232</v>
      </c>
      <c r="W366" s="10">
        <v>8.4665185547538394E-2</v>
      </c>
      <c r="X366" s="10">
        <v>4.50791855203619E-2</v>
      </c>
      <c r="Y366" s="10">
        <v>0.1581081081081081</v>
      </c>
      <c r="Z366" s="10">
        <v>0.62222222222222234</v>
      </c>
      <c r="AA366" s="10">
        <v>0.23333333333333331</v>
      </c>
      <c r="AB366" s="10">
        <v>1</v>
      </c>
      <c r="AC366" s="10">
        <v>0.2121661867758127</v>
      </c>
      <c r="AD366">
        <v>4.6973965234420376E-10</v>
      </c>
      <c r="AE366">
        <v>0.86155484531217219</v>
      </c>
    </row>
    <row r="367" spans="1:31" hidden="1">
      <c r="A367" t="s">
        <v>88</v>
      </c>
      <c r="B367" t="s">
        <v>65</v>
      </c>
      <c r="C367" t="s">
        <v>81</v>
      </c>
      <c r="D367" t="s">
        <v>67</v>
      </c>
      <c r="E367">
        <v>4</v>
      </c>
      <c r="F367">
        <v>2.8985507246376802E-2</v>
      </c>
      <c r="G367">
        <v>5</v>
      </c>
      <c r="H367" s="10">
        <v>6.6521739130434701E-2</v>
      </c>
      <c r="I367" s="10">
        <v>2.8985507246376802E-2</v>
      </c>
      <c r="J367" s="10">
        <v>0.1039673913043478</v>
      </c>
      <c r="K367" s="10">
        <v>2.2949999999999999</v>
      </c>
      <c r="L367" s="10">
        <v>1</v>
      </c>
      <c r="M367" s="10">
        <v>3.586875</v>
      </c>
      <c r="N367" s="10">
        <v>0.57705223880597012</v>
      </c>
      <c r="O367" s="10">
        <v>0.4761194029850746</v>
      </c>
      <c r="P367" s="10">
        <v>0.69692164179104477</v>
      </c>
      <c r="Q367" s="10">
        <v>-2.9522104186205998E-3</v>
      </c>
      <c r="R367" s="10">
        <v>-1.32849468837928E-2</v>
      </c>
      <c r="S367" s="10">
        <v>0</v>
      </c>
      <c r="T367" s="10">
        <v>0.10389610389610381</v>
      </c>
      <c r="U367" s="10">
        <v>1.2987012987012899E-2</v>
      </c>
      <c r="V367" s="10">
        <v>0.1298701298701298</v>
      </c>
      <c r="W367" s="10">
        <v>2.3188405797101401E-2</v>
      </c>
      <c r="X367" s="10">
        <v>2.8985507246376001E-3</v>
      </c>
      <c r="Y367" s="10">
        <v>2.8985507246376802E-2</v>
      </c>
      <c r="Z367" s="10">
        <v>0.8</v>
      </c>
      <c r="AA367" s="10">
        <v>0.1</v>
      </c>
      <c r="AB367" s="10">
        <v>1</v>
      </c>
      <c r="AC367" s="10">
        <v>1.16932107237108E-2</v>
      </c>
      <c r="AD367">
        <v>0</v>
      </c>
      <c r="AE367">
        <v>5.2619448256698599E-2</v>
      </c>
    </row>
    <row r="368" spans="1:31" hidden="1">
      <c r="A368" t="s">
        <v>88</v>
      </c>
      <c r="B368" t="s">
        <v>65</v>
      </c>
      <c r="C368" t="s">
        <v>81</v>
      </c>
      <c r="D368" t="s">
        <v>68</v>
      </c>
      <c r="E368">
        <v>20</v>
      </c>
      <c r="F368">
        <v>0.14492753623188401</v>
      </c>
      <c r="G368">
        <v>5</v>
      </c>
      <c r="H368" s="10">
        <v>0.19804177256036229</v>
      </c>
      <c r="I368" s="10">
        <v>0.15931785806898729</v>
      </c>
      <c r="J368" s="10">
        <v>0.25271076707744328</v>
      </c>
      <c r="K368" s="10">
        <v>1.3664882306665</v>
      </c>
      <c r="L368" s="10">
        <v>1.0992932206760131</v>
      </c>
      <c r="M368" s="10">
        <v>1.743704292834358</v>
      </c>
      <c r="N368" s="10">
        <v>0.5516101694915253</v>
      </c>
      <c r="O368" s="10">
        <v>0.51961864406779668</v>
      </c>
      <c r="P368" s="10">
        <v>0.59059322033898298</v>
      </c>
      <c r="Q368" s="10">
        <v>4.7140785906164898E-2</v>
      </c>
      <c r="R368" s="10">
        <v>-1.2589359487990901E-2</v>
      </c>
      <c r="S368" s="10">
        <v>9.9198106537532096E-2</v>
      </c>
      <c r="T368" s="10">
        <v>0.14954822054213529</v>
      </c>
      <c r="U368" s="10">
        <v>5.8823529411764698E-2</v>
      </c>
      <c r="V368" s="10">
        <v>0.31818181818181818</v>
      </c>
      <c r="W368" s="10">
        <v>0.2038095238095238</v>
      </c>
      <c r="X368" s="10">
        <v>0.14000000000000001</v>
      </c>
      <c r="Y368" s="10">
        <v>0.27714285714285708</v>
      </c>
      <c r="Z368" s="10">
        <v>0.16</v>
      </c>
      <c r="AA368" s="10">
        <v>0.05</v>
      </c>
      <c r="AB368" s="10">
        <v>0.38</v>
      </c>
      <c r="AC368" s="10">
        <v>0.47393943996592303</v>
      </c>
      <c r="AD368">
        <v>0.20187664216056561</v>
      </c>
      <c r="AE368">
        <v>0.67188383856961287</v>
      </c>
    </row>
    <row r="369" spans="1:31" hidden="1">
      <c r="A369" t="s">
        <v>88</v>
      </c>
      <c r="B369" t="s">
        <v>65</v>
      </c>
      <c r="C369" t="s">
        <v>81</v>
      </c>
      <c r="D369" t="s">
        <v>69</v>
      </c>
      <c r="E369">
        <v>26</v>
      </c>
      <c r="F369">
        <v>0.1884057971014492</v>
      </c>
      <c r="G369">
        <v>5</v>
      </c>
      <c r="H369" s="10">
        <v>0.53700459950982027</v>
      </c>
      <c r="I369" s="10">
        <v>0.44945153432827328</v>
      </c>
      <c r="J369" s="10">
        <v>0.59410185077114464</v>
      </c>
      <c r="K369" s="10">
        <v>2.8502551820136621</v>
      </c>
      <c r="L369" s="10">
        <v>2.3855504514346819</v>
      </c>
      <c r="M369" s="10">
        <v>3.153309823323768</v>
      </c>
      <c r="N369" s="10">
        <v>0.83767170329670326</v>
      </c>
      <c r="O369" s="10">
        <v>0.79931318681318675</v>
      </c>
      <c r="P369" s="10">
        <v>0.86962568681318697</v>
      </c>
      <c r="Q369" s="10">
        <v>0.4952747741169467</v>
      </c>
      <c r="R369" s="10">
        <v>0.46176142804170428</v>
      </c>
      <c r="S369" s="10">
        <v>0.54584495271779365</v>
      </c>
      <c r="T369" s="10">
        <v>0.69868783957529756</v>
      </c>
      <c r="U369" s="10">
        <v>0.64354703247480405</v>
      </c>
      <c r="V369" s="10">
        <v>0.73958333333333326</v>
      </c>
      <c r="W369" s="10">
        <v>0.4725559179869524</v>
      </c>
      <c r="X369" s="10">
        <v>0.4161637931034482</v>
      </c>
      <c r="Y369" s="10">
        <v>0.52249999999999996</v>
      </c>
      <c r="Z369" s="10">
        <v>0.8</v>
      </c>
      <c r="AA369" s="10">
        <v>0.7</v>
      </c>
      <c r="AB369" s="10">
        <v>0.91153846153846163</v>
      </c>
      <c r="AC369" s="10">
        <v>0.20372593518877821</v>
      </c>
      <c r="AD369">
        <v>0.1568097839901319</v>
      </c>
      <c r="AE369">
        <v>0.26497523607414308</v>
      </c>
    </row>
    <row r="370" spans="1:31" hidden="1">
      <c r="A370" t="s">
        <v>88</v>
      </c>
      <c r="B370" t="s">
        <v>65</v>
      </c>
      <c r="C370" t="s">
        <v>81</v>
      </c>
      <c r="D370" t="s">
        <v>70</v>
      </c>
      <c r="E370">
        <v>7</v>
      </c>
      <c r="F370">
        <v>5.0724637681159403E-2</v>
      </c>
      <c r="G370">
        <v>5</v>
      </c>
      <c r="H370" s="10">
        <v>5.1473164516642703E-2</v>
      </c>
      <c r="I370" s="10">
        <v>5.0724637681159403E-2</v>
      </c>
      <c r="J370" s="10">
        <v>5.4093008440834499E-2</v>
      </c>
      <c r="K370" s="10">
        <v>1.0147566718995289</v>
      </c>
      <c r="L370" s="10">
        <v>1</v>
      </c>
      <c r="M370" s="10">
        <v>1.066405023547881</v>
      </c>
      <c r="N370" s="10">
        <v>0.45681570338058891</v>
      </c>
      <c r="O370" s="10">
        <v>0.4351145038167939</v>
      </c>
      <c r="P370" s="10">
        <v>0.50414394765539805</v>
      </c>
      <c r="Q370" s="10">
        <v>-1.29222572650612E-2</v>
      </c>
      <c r="R370" s="10">
        <v>-5.8150157692775498E-2</v>
      </c>
      <c r="S370" s="10">
        <v>0</v>
      </c>
      <c r="T370" s="10">
        <v>0.16867469879518071</v>
      </c>
      <c r="U370" s="10">
        <v>2.1084337349397499E-2</v>
      </c>
      <c r="V370" s="10">
        <v>0.21084337349397589</v>
      </c>
      <c r="W370" s="10">
        <v>4.0579710144927499E-2</v>
      </c>
      <c r="X370" s="10">
        <v>5.0724637681159E-3</v>
      </c>
      <c r="Y370" s="10">
        <v>5.0724637681159403E-2</v>
      </c>
      <c r="Z370" s="10">
        <v>0.8</v>
      </c>
      <c r="AA370" s="10">
        <v>0.1</v>
      </c>
      <c r="AB370" s="10">
        <v>1</v>
      </c>
      <c r="AC370" s="10">
        <v>3.6614395838537102E-2</v>
      </c>
      <c r="AD370">
        <v>0</v>
      </c>
      <c r="AE370">
        <v>0.1647647812734169</v>
      </c>
    </row>
    <row r="371" spans="1:31" hidden="1">
      <c r="A371" t="s">
        <v>88</v>
      </c>
      <c r="B371" t="s">
        <v>65</v>
      </c>
      <c r="C371" t="s">
        <v>81</v>
      </c>
      <c r="D371" t="s">
        <v>71</v>
      </c>
      <c r="E371">
        <v>9</v>
      </c>
      <c r="F371">
        <v>6.5217391304347797E-2</v>
      </c>
      <c r="G371">
        <v>5</v>
      </c>
      <c r="H371" s="10">
        <v>6.87449144186255E-2</v>
      </c>
      <c r="I371" s="10">
        <v>6.16368286445012E-2</v>
      </c>
      <c r="J371" s="10">
        <v>8.2850280069959703E-2</v>
      </c>
      <c r="K371" s="10">
        <v>1.0540886877522579</v>
      </c>
      <c r="L371" s="10">
        <v>0.94509803921568625</v>
      </c>
      <c r="M371" s="10">
        <v>1.2703709610727161</v>
      </c>
      <c r="N371" s="10">
        <v>0.44987080103359178</v>
      </c>
      <c r="O371" s="10">
        <v>0.4072782084409991</v>
      </c>
      <c r="P371" s="10">
        <v>0.49776055124892338</v>
      </c>
      <c r="Q371" s="10">
        <v>-3.0707125998881899E-2</v>
      </c>
      <c r="R371" s="10">
        <v>-9.3042210967232905E-2</v>
      </c>
      <c r="S371" s="10">
        <v>0</v>
      </c>
      <c r="T371" s="10">
        <v>0.13891594692296039</v>
      </c>
      <c r="U371" s="10">
        <v>8.4745762711864007E-3</v>
      </c>
      <c r="V371" s="10">
        <v>0.25862068965517238</v>
      </c>
      <c r="W371" s="10">
        <v>4.5893719806763197E-2</v>
      </c>
      <c r="X371" s="10">
        <v>4.3478260869565001E-3</v>
      </c>
      <c r="Y371" s="10">
        <v>6.5217391304347797E-2</v>
      </c>
      <c r="Z371" s="10">
        <v>0.44444444444444448</v>
      </c>
      <c r="AA371" s="10">
        <v>1.1111111111111099E-2</v>
      </c>
      <c r="AB371" s="10">
        <v>1</v>
      </c>
      <c r="AC371" s="10">
        <v>0.1157192772662896</v>
      </c>
      <c r="AD371">
        <v>0</v>
      </c>
      <c r="AE371">
        <v>0.19783111626864419</v>
      </c>
    </row>
    <row r="372" spans="1:31" hidden="1">
      <c r="A372" t="s">
        <v>88</v>
      </c>
      <c r="B372" t="s">
        <v>65</v>
      </c>
      <c r="C372" t="s">
        <v>82</v>
      </c>
      <c r="D372" t="s">
        <v>67</v>
      </c>
      <c r="E372">
        <v>4</v>
      </c>
      <c r="F372">
        <v>2.8985507246376802E-2</v>
      </c>
      <c r="G372">
        <v>5</v>
      </c>
      <c r="H372" s="10">
        <v>2.1796516421771401E-2</v>
      </c>
      <c r="I372" s="10">
        <v>2.07025234124029E-2</v>
      </c>
      <c r="J372" s="10">
        <v>2.2481870866068E-2</v>
      </c>
      <c r="K372" s="10">
        <v>0.75197981655111357</v>
      </c>
      <c r="L372" s="10">
        <v>0.71423705772790202</v>
      </c>
      <c r="M372" s="10">
        <v>0.77562454487934895</v>
      </c>
      <c r="N372" s="10">
        <v>0.19402985074626861</v>
      </c>
      <c r="O372" s="10">
        <v>0.14365671641791039</v>
      </c>
      <c r="P372" s="10">
        <v>0.2231343283582089</v>
      </c>
      <c r="Q372" s="10">
        <v>1.4868853311416001E-3</v>
      </c>
      <c r="R372" s="10">
        <v>-7.6506636021010502E-2</v>
      </c>
      <c r="S372" s="10">
        <v>3.6137000717634697E-2</v>
      </c>
      <c r="T372" s="10">
        <v>0.12758635732145659</v>
      </c>
      <c r="U372" s="10">
        <v>0.1094155844155844</v>
      </c>
      <c r="V372" s="10">
        <v>0.13495495495495491</v>
      </c>
      <c r="W372" s="10">
        <v>2.8592492366957999E-2</v>
      </c>
      <c r="X372" s="10">
        <v>2.46727442730247E-2</v>
      </c>
      <c r="Y372" s="10">
        <v>3.0257801899592901E-2</v>
      </c>
      <c r="Z372" s="10">
        <v>0.95</v>
      </c>
      <c r="AA372" s="10">
        <v>0.77500000000000002</v>
      </c>
      <c r="AB372" s="10">
        <v>1</v>
      </c>
      <c r="AC372" s="10">
        <v>5.6867256025637319E-5</v>
      </c>
      <c r="AD372">
        <v>3.1927998983388801E-49</v>
      </c>
      <c r="AE372">
        <v>2.5590265211529998E-4</v>
      </c>
    </row>
    <row r="373" spans="1:31" hidden="1">
      <c r="A373" t="s">
        <v>88</v>
      </c>
      <c r="B373" t="s">
        <v>65</v>
      </c>
      <c r="C373" t="s">
        <v>82</v>
      </c>
      <c r="D373" t="s">
        <v>68</v>
      </c>
      <c r="E373">
        <v>20</v>
      </c>
      <c r="F373">
        <v>0.14492753623188401</v>
      </c>
      <c r="G373">
        <v>5</v>
      </c>
      <c r="H373" s="10">
        <v>0.14921394888978701</v>
      </c>
      <c r="I373" s="10">
        <v>0.12787680868687989</v>
      </c>
      <c r="J373" s="10">
        <v>0.16603250561285529</v>
      </c>
      <c r="K373" s="10">
        <v>1.0295762473395309</v>
      </c>
      <c r="L373" s="10">
        <v>0.88234997993947129</v>
      </c>
      <c r="M373" s="10">
        <v>1.145624288728702</v>
      </c>
      <c r="N373" s="10">
        <v>0.41779661016949149</v>
      </c>
      <c r="O373" s="10">
        <v>0.37478813559322027</v>
      </c>
      <c r="P373" s="10">
        <v>0.45635593220338971</v>
      </c>
      <c r="Q373" s="10">
        <v>-5.1480671448563498E-2</v>
      </c>
      <c r="R373" s="10">
        <v>-0.1045511249603803</v>
      </c>
      <c r="S373" s="10">
        <v>1.3051078368741999E-2</v>
      </c>
      <c r="T373" s="10">
        <v>0.16857264644988429</v>
      </c>
      <c r="U373" s="10">
        <v>9.8039215686274005E-3</v>
      </c>
      <c r="V373" s="10">
        <v>0.36143892339544509</v>
      </c>
      <c r="W373" s="10">
        <v>9.9962037962037897E-2</v>
      </c>
      <c r="X373" s="10">
        <v>9.0909090909090003E-3</v>
      </c>
      <c r="Y373" s="10">
        <v>0.1574615384615384</v>
      </c>
      <c r="Z373" s="10">
        <v>0.24</v>
      </c>
      <c r="AA373" s="10">
        <v>0.01</v>
      </c>
      <c r="AB373" s="10">
        <v>0.64999999999999991</v>
      </c>
      <c r="AC373" s="10">
        <v>0.39499140445633441</v>
      </c>
      <c r="AD373">
        <v>0.2500500951154771</v>
      </c>
      <c r="AE373">
        <v>0.46632711453711329</v>
      </c>
    </row>
    <row r="374" spans="1:31" hidden="1">
      <c r="A374" t="s">
        <v>88</v>
      </c>
      <c r="B374" t="s">
        <v>65</v>
      </c>
      <c r="C374" t="s">
        <v>82</v>
      </c>
      <c r="D374" t="s">
        <v>69</v>
      </c>
      <c r="E374">
        <v>26</v>
      </c>
      <c r="F374">
        <v>0.1884057971014492</v>
      </c>
      <c r="G374">
        <v>5</v>
      </c>
      <c r="H374" s="10">
        <v>0.2461528148293117</v>
      </c>
      <c r="I374" s="10">
        <v>0.18968265223567909</v>
      </c>
      <c r="J374" s="10">
        <v>0.28622096638862221</v>
      </c>
      <c r="K374" s="10">
        <v>1.3065034017863471</v>
      </c>
      <c r="L374" s="10">
        <v>1.0067771541739889</v>
      </c>
      <c r="M374" s="10">
        <v>1.5191728216011491</v>
      </c>
      <c r="N374" s="10">
        <v>0.47630494505494508</v>
      </c>
      <c r="O374" s="10">
        <v>0.4436126373626374</v>
      </c>
      <c r="P374" s="10">
        <v>0.50803571428571426</v>
      </c>
      <c r="Q374" s="10">
        <v>5.2689512826506003E-2</v>
      </c>
      <c r="R374" s="10">
        <v>-0.1051515632691525</v>
      </c>
      <c r="S374" s="10">
        <v>0.2064298880258337</v>
      </c>
      <c r="T374" s="10">
        <v>0.20765073588259569</v>
      </c>
      <c r="U374" s="10">
        <v>9.1743119266054999E-3</v>
      </c>
      <c r="V374" s="10">
        <v>0.37702020202020198</v>
      </c>
      <c r="W374" s="10">
        <v>0.2444626271561256</v>
      </c>
      <c r="X374" s="10">
        <v>1.71052631578947E-2</v>
      </c>
      <c r="Y374" s="10">
        <v>0.39571428571428569</v>
      </c>
      <c r="Z374" s="10">
        <v>0.2307692307692307</v>
      </c>
      <c r="AA374" s="10">
        <v>7.6923076923075999E-3</v>
      </c>
      <c r="AB374" s="10">
        <v>0.48846153846153839</v>
      </c>
      <c r="AC374" s="10">
        <v>0.44367066287417511</v>
      </c>
      <c r="AD374">
        <v>0.31636294477761479</v>
      </c>
      <c r="AE374">
        <v>0.52309119221897316</v>
      </c>
    </row>
    <row r="375" spans="1:31" hidden="1">
      <c r="A375" t="s">
        <v>88</v>
      </c>
      <c r="B375" t="s">
        <v>65</v>
      </c>
      <c r="C375" t="s">
        <v>82</v>
      </c>
      <c r="D375" t="s">
        <v>70</v>
      </c>
      <c r="E375">
        <v>7</v>
      </c>
      <c r="F375">
        <v>5.0724637681159403E-2</v>
      </c>
      <c r="G375">
        <v>5</v>
      </c>
      <c r="H375" s="10">
        <v>5.1970464700592897E-2</v>
      </c>
      <c r="I375" s="10">
        <v>4.21136425716351E-2</v>
      </c>
      <c r="J375" s="10">
        <v>6.0738233128737697E-2</v>
      </c>
      <c r="K375" s="10">
        <v>1.024560589811689</v>
      </c>
      <c r="L375" s="10">
        <v>0.83024038212652185</v>
      </c>
      <c r="M375" s="10">
        <v>1.19741088168083</v>
      </c>
      <c r="N375" s="10">
        <v>0.3186477644492911</v>
      </c>
      <c r="O375" s="10">
        <v>0.29487459105779712</v>
      </c>
      <c r="P375" s="10">
        <v>0.35092693565976008</v>
      </c>
      <c r="Q375" s="10">
        <v>-1.38552616595951E-2</v>
      </c>
      <c r="R375" s="10">
        <v>-0.10712729475887429</v>
      </c>
      <c r="S375" s="10">
        <v>9.0520355272956501E-2</v>
      </c>
      <c r="T375" s="10">
        <v>7.2182932578972098E-2</v>
      </c>
      <c r="U375" s="10">
        <v>0</v>
      </c>
      <c r="V375" s="10">
        <v>0.14047619047619039</v>
      </c>
      <c r="W375" s="10">
        <v>4.83365949119373E-2</v>
      </c>
      <c r="X375" s="10">
        <v>0</v>
      </c>
      <c r="Y375" s="10">
        <v>0.1357142857142857</v>
      </c>
      <c r="Z375" s="10">
        <v>0.1142857142857142</v>
      </c>
      <c r="AA375" s="10">
        <v>0</v>
      </c>
      <c r="AB375" s="10">
        <v>0.27142857142857141</v>
      </c>
      <c r="AC375" s="10">
        <v>0.40160939432588982</v>
      </c>
      <c r="AD375">
        <v>0.3045166629523382</v>
      </c>
      <c r="AE375">
        <v>0.45181396691011427</v>
      </c>
    </row>
    <row r="376" spans="1:31" hidden="1">
      <c r="A376" t="s">
        <v>88</v>
      </c>
      <c r="B376" t="s">
        <v>65</v>
      </c>
      <c r="C376" t="s">
        <v>82</v>
      </c>
      <c r="D376" t="s">
        <v>71</v>
      </c>
      <c r="E376">
        <v>9</v>
      </c>
      <c r="F376">
        <v>6.5217391304347797E-2</v>
      </c>
      <c r="G376">
        <v>5</v>
      </c>
      <c r="H376" s="10">
        <v>7.7431716603619097E-2</v>
      </c>
      <c r="I376" s="10">
        <v>6.1950133553987298E-2</v>
      </c>
      <c r="J376" s="10">
        <v>0.10575702140501431</v>
      </c>
      <c r="K376" s="10">
        <v>1.1872863212554929</v>
      </c>
      <c r="L376" s="10">
        <v>0.94990204782780596</v>
      </c>
      <c r="M376" s="10">
        <v>1.621607661543554</v>
      </c>
      <c r="N376" s="10">
        <v>0.39483204134366923</v>
      </c>
      <c r="O376" s="10">
        <v>0.37915590008613259</v>
      </c>
      <c r="P376" s="10">
        <v>0.40637381567614123</v>
      </c>
      <c r="Q376" s="10">
        <v>-7.3302346919104505E-2</v>
      </c>
      <c r="R376" s="10">
        <v>-0.16139930974485289</v>
      </c>
      <c r="S376" s="10">
        <v>3.80802859165403E-2</v>
      </c>
      <c r="T376" s="10">
        <v>0.1149979948367045</v>
      </c>
      <c r="U376" s="10">
        <v>1.0752688172042999E-2</v>
      </c>
      <c r="V376" s="10">
        <v>0.20533216783216779</v>
      </c>
      <c r="W376" s="10">
        <v>4.8916008671930598E-2</v>
      </c>
      <c r="X376" s="10">
        <v>3.5087719298244999E-3</v>
      </c>
      <c r="Y376" s="10">
        <v>0.1054263565891472</v>
      </c>
      <c r="Z376" s="10">
        <v>0.28888888888888892</v>
      </c>
      <c r="AA376" s="10">
        <v>1.1111111111111099E-2</v>
      </c>
      <c r="AB376" s="10">
        <v>0.73333333333333328</v>
      </c>
      <c r="AC376" s="10">
        <v>0.37533688011207428</v>
      </c>
      <c r="AD376">
        <v>4.2010967425423401E-2</v>
      </c>
      <c r="AE376">
        <v>0.52458731823577476</v>
      </c>
    </row>
    <row r="377" spans="1:31" hidden="1">
      <c r="A377" t="s">
        <v>88</v>
      </c>
      <c r="B377" t="s">
        <v>65</v>
      </c>
      <c r="C377" t="s">
        <v>76</v>
      </c>
      <c r="D377" t="s">
        <v>67</v>
      </c>
      <c r="E377">
        <v>4</v>
      </c>
      <c r="F377">
        <v>2.8985507246376802E-2</v>
      </c>
      <c r="G377">
        <v>5</v>
      </c>
      <c r="H377" s="10">
        <v>9.3011935146468605E-2</v>
      </c>
      <c r="I377" s="10">
        <v>4.2417602803224701E-2</v>
      </c>
      <c r="J377" s="10">
        <v>0.1633643149613544</v>
      </c>
      <c r="K377" s="10">
        <v>3.2089117625531691</v>
      </c>
      <c r="L377" s="10">
        <v>1.463407296711253</v>
      </c>
      <c r="M377" s="10">
        <v>5.6360688661667284</v>
      </c>
      <c r="N377" s="10">
        <v>0.72126865671641793</v>
      </c>
      <c r="O377" s="10">
        <v>0.52537313432835819</v>
      </c>
      <c r="P377" s="10">
        <v>0.83246268656716427</v>
      </c>
      <c r="Q377" s="10">
        <v>7.9644561151314394E-2</v>
      </c>
      <c r="R377" s="10">
        <v>-2.1533919777846E-3</v>
      </c>
      <c r="S377" s="10">
        <v>0.20262653429404001</v>
      </c>
      <c r="T377" s="10">
        <v>0.17675325139163131</v>
      </c>
      <c r="U377" s="10">
        <v>0.12494145199063229</v>
      </c>
      <c r="V377" s="10">
        <v>0.27566137566137561</v>
      </c>
      <c r="W377" s="10">
        <v>4.44298650520513E-2</v>
      </c>
      <c r="X377" s="10">
        <v>2.8697504564820401E-2</v>
      </c>
      <c r="Y377" s="10">
        <v>7.1929824561403496E-2</v>
      </c>
      <c r="Z377" s="10">
        <v>0.8</v>
      </c>
      <c r="AA377" s="10">
        <v>0.52500000000000002</v>
      </c>
      <c r="AB377" s="10">
        <v>1</v>
      </c>
      <c r="AC377" s="10">
        <v>2.0752291219154301E-2</v>
      </c>
      <c r="AD377">
        <v>5.8713242133129001E-3</v>
      </c>
      <c r="AE377">
        <v>4.9838535269468097E-2</v>
      </c>
    </row>
    <row r="378" spans="1:31" hidden="1">
      <c r="A378" t="s">
        <v>88</v>
      </c>
      <c r="B378" t="s">
        <v>65</v>
      </c>
      <c r="C378" t="s">
        <v>76</v>
      </c>
      <c r="D378" t="s">
        <v>68</v>
      </c>
      <c r="E378">
        <v>20</v>
      </c>
      <c r="F378">
        <v>0.14492753623188401</v>
      </c>
      <c r="G378">
        <v>5</v>
      </c>
      <c r="H378" s="10">
        <v>0.26270893034342879</v>
      </c>
      <c r="I378" s="10">
        <v>0.24646236701733529</v>
      </c>
      <c r="J378" s="10">
        <v>0.28200637881528262</v>
      </c>
      <c r="K378" s="10">
        <v>1.8126916193696589</v>
      </c>
      <c r="L378" s="10">
        <v>1.7005903324196141</v>
      </c>
      <c r="M378" s="10">
        <v>1.94584401382545</v>
      </c>
      <c r="N378" s="10">
        <v>0.63949152542372878</v>
      </c>
      <c r="O378" s="10">
        <v>0.60432203389830519</v>
      </c>
      <c r="P378" s="10">
        <v>0.66961864406779648</v>
      </c>
      <c r="Q378" s="10">
        <v>7.54398519519799E-2</v>
      </c>
      <c r="R378" s="10">
        <v>-2.0448948915540999E-3</v>
      </c>
      <c r="S378" s="10">
        <v>0.1709375282076086</v>
      </c>
      <c r="T378" s="10">
        <v>0.34131706366654191</v>
      </c>
      <c r="U378" s="10">
        <v>0.16332438328578619</v>
      </c>
      <c r="V378" s="10">
        <v>0.43810359964881468</v>
      </c>
      <c r="W378" s="10">
        <v>0.1828055802588909</v>
      </c>
      <c r="X378" s="10">
        <v>0.1430875576036866</v>
      </c>
      <c r="Y378" s="10">
        <v>0.23465608465608459</v>
      </c>
      <c r="Z378" s="10">
        <v>0.49</v>
      </c>
      <c r="AA378" s="10">
        <v>0.1699999999999999</v>
      </c>
      <c r="AB378" s="10">
        <v>0.86499999999999999</v>
      </c>
      <c r="AC378" s="10">
        <v>0.2894799210591924</v>
      </c>
      <c r="AD378">
        <v>0.1035393743414209</v>
      </c>
      <c r="AE378">
        <v>0.37802145805021242</v>
      </c>
    </row>
    <row r="379" spans="1:31" hidden="1">
      <c r="A379" t="s">
        <v>88</v>
      </c>
      <c r="B379" t="s">
        <v>65</v>
      </c>
      <c r="C379" t="s">
        <v>76</v>
      </c>
      <c r="D379" t="s">
        <v>69</v>
      </c>
      <c r="E379">
        <v>26</v>
      </c>
      <c r="F379">
        <v>0.1884057971014492</v>
      </c>
      <c r="G379">
        <v>5</v>
      </c>
      <c r="H379" s="10">
        <v>0.54270008691674476</v>
      </c>
      <c r="I379" s="10">
        <v>0.4851595911771841</v>
      </c>
      <c r="J379" s="10">
        <v>0.59036259797623636</v>
      </c>
      <c r="K379" s="10">
        <v>2.880485076711953</v>
      </c>
      <c r="L379" s="10">
        <v>2.5750778300942851</v>
      </c>
      <c r="M379" s="10">
        <v>3.1334630200277158</v>
      </c>
      <c r="N379" s="10">
        <v>0.88221153846153832</v>
      </c>
      <c r="O379" s="10">
        <v>0.85916895604395604</v>
      </c>
      <c r="P379" s="10">
        <v>0.89907280219780217</v>
      </c>
      <c r="Q379" s="10">
        <v>0.54889822136346123</v>
      </c>
      <c r="R379" s="10">
        <v>0.4675990404146273</v>
      </c>
      <c r="S379" s="10">
        <v>0.61198784275871199</v>
      </c>
      <c r="T379" s="10">
        <v>0.69764445021449095</v>
      </c>
      <c r="U379" s="10">
        <v>0.56313344594594594</v>
      </c>
      <c r="V379" s="10">
        <v>0.7635294117647059</v>
      </c>
      <c r="W379" s="10">
        <v>0.55833333333333335</v>
      </c>
      <c r="X379" s="10">
        <v>0.4795454545454545</v>
      </c>
      <c r="Y379" s="10">
        <v>0.62310606060606055</v>
      </c>
      <c r="Z379" s="10">
        <v>0.75384615384615383</v>
      </c>
      <c r="AA379" s="10">
        <v>0.56153846153846154</v>
      </c>
      <c r="AB379" s="10">
        <v>0.87692307692307692</v>
      </c>
      <c r="AC379" s="10">
        <v>0.38609822488360518</v>
      </c>
      <c r="AD379">
        <v>0.28616232200569469</v>
      </c>
      <c r="AE379">
        <v>0.44622403737722649</v>
      </c>
    </row>
    <row r="380" spans="1:31" hidden="1">
      <c r="A380" t="s">
        <v>88</v>
      </c>
      <c r="B380" t="s">
        <v>65</v>
      </c>
      <c r="C380" t="s">
        <v>76</v>
      </c>
      <c r="D380" t="s">
        <v>70</v>
      </c>
      <c r="E380">
        <v>7</v>
      </c>
      <c r="F380">
        <v>5.0724637681159403E-2</v>
      </c>
      <c r="G380">
        <v>5</v>
      </c>
      <c r="H380" s="10">
        <v>0.1037764199311948</v>
      </c>
      <c r="I380" s="10">
        <v>8.0598804812558794E-2</v>
      </c>
      <c r="J380" s="10">
        <v>0.12376247904416909</v>
      </c>
      <c r="K380" s="10">
        <v>2.045877992929269</v>
      </c>
      <c r="L380" s="10">
        <v>1.5889478663047309</v>
      </c>
      <c r="M380" s="10">
        <v>2.4398888725850489</v>
      </c>
      <c r="N380" s="10">
        <v>0.63925845147219185</v>
      </c>
      <c r="O380" s="10">
        <v>0.55070883315158126</v>
      </c>
      <c r="P380" s="10">
        <v>0.73675027262813531</v>
      </c>
      <c r="Q380" s="10">
        <v>7.9798899381936003E-2</v>
      </c>
      <c r="R380" s="10">
        <v>-5.0499000055961203E-2</v>
      </c>
      <c r="S380" s="10">
        <v>0.18647994568835879</v>
      </c>
      <c r="T380" s="10">
        <v>0.25225625878131591</v>
      </c>
      <c r="U380" s="10">
        <v>0.1825102479016201</v>
      </c>
      <c r="V380" s="10">
        <v>0.33599695585996953</v>
      </c>
      <c r="W380" s="10">
        <v>7.8494381833614804E-2</v>
      </c>
      <c r="X380" s="10">
        <v>4.5823008849557499E-2</v>
      </c>
      <c r="Y380" s="10">
        <v>0.1149572649572649</v>
      </c>
      <c r="Z380" s="10">
        <v>0.68571428571428572</v>
      </c>
      <c r="AA380" s="10">
        <v>0.45714285714285707</v>
      </c>
      <c r="AB380" s="10">
        <v>0.84285714285714275</v>
      </c>
      <c r="AC380" s="10">
        <v>7.8462980214143802E-2</v>
      </c>
      <c r="AD380">
        <v>3.6316947241399097E-2</v>
      </c>
      <c r="AE380">
        <v>0.1258522963243974</v>
      </c>
    </row>
    <row r="381" spans="1:31" hidden="1">
      <c r="A381" t="s">
        <v>88</v>
      </c>
      <c r="B381" t="s">
        <v>65</v>
      </c>
      <c r="C381" t="s">
        <v>76</v>
      </c>
      <c r="D381" t="s">
        <v>71</v>
      </c>
      <c r="E381">
        <v>9</v>
      </c>
      <c r="F381">
        <v>6.5217391304347797E-2</v>
      </c>
      <c r="G381">
        <v>5</v>
      </c>
      <c r="H381" s="10">
        <v>6.0066336532512997E-2</v>
      </c>
      <c r="I381" s="10">
        <v>5.3771778559477797E-2</v>
      </c>
      <c r="J381" s="10">
        <v>6.3535479122081504E-2</v>
      </c>
      <c r="K381" s="10">
        <v>0.92101716016520019</v>
      </c>
      <c r="L381" s="10">
        <v>0.82450060457866081</v>
      </c>
      <c r="M381" s="10">
        <v>0.97421067987191678</v>
      </c>
      <c r="N381" s="10">
        <v>0.40964685615848401</v>
      </c>
      <c r="O381" s="10">
        <v>0.3590008613264426</v>
      </c>
      <c r="P381" s="10">
        <v>0.45701981050818258</v>
      </c>
      <c r="Q381" s="10">
        <v>-2.6820493739588801E-2</v>
      </c>
      <c r="R381" s="10">
        <v>-0.1302052774247259</v>
      </c>
      <c r="S381" s="10">
        <v>2.5037887674907E-2</v>
      </c>
      <c r="T381" s="10">
        <v>0.17194159087388311</v>
      </c>
      <c r="U381" s="10">
        <v>1.8749999999999999E-2</v>
      </c>
      <c r="V381" s="10">
        <v>0.25557643888081127</v>
      </c>
      <c r="W381" s="10">
        <v>5.2798671814994501E-2</v>
      </c>
      <c r="X381" s="10">
        <v>5.5118110236220003E-3</v>
      </c>
      <c r="Y381" s="10">
        <v>7.4318181818181797E-2</v>
      </c>
      <c r="Z381" s="10">
        <v>0.48888888888888887</v>
      </c>
      <c r="AA381" s="10">
        <v>3.3333333333333298E-2</v>
      </c>
      <c r="AB381" s="10">
        <v>0.97777777777777763</v>
      </c>
      <c r="AC381" s="10">
        <v>0.13431608181477739</v>
      </c>
      <c r="AD381">
        <v>2.2565915086083001E-2</v>
      </c>
      <c r="AE381">
        <v>0.28086760870161309</v>
      </c>
    </row>
    <row r="382" spans="1:31" hidden="1">
      <c r="A382" t="s">
        <v>88</v>
      </c>
      <c r="B382" t="s">
        <v>65</v>
      </c>
      <c r="C382" t="s">
        <v>83</v>
      </c>
      <c r="D382" t="s">
        <v>67</v>
      </c>
      <c r="E382">
        <v>4</v>
      </c>
      <c r="F382">
        <v>2.8985507246376802E-2</v>
      </c>
      <c r="G382">
        <v>5</v>
      </c>
      <c r="H382" s="10">
        <v>3.8385961569795901E-2</v>
      </c>
      <c r="I382" s="10">
        <v>2.8267336724779601E-2</v>
      </c>
      <c r="J382" s="10">
        <v>6.0736295460931101E-2</v>
      </c>
      <c r="K382" s="10">
        <v>1.32431567415796</v>
      </c>
      <c r="L382" s="10">
        <v>0.97522311700489905</v>
      </c>
      <c r="M382" s="10">
        <v>2.0954021934021241</v>
      </c>
      <c r="N382" s="10">
        <v>0.49235074626865671</v>
      </c>
      <c r="O382" s="10">
        <v>0.39244402985074628</v>
      </c>
      <c r="P382" s="10">
        <v>0.63731343283582087</v>
      </c>
      <c r="Q382" s="10">
        <v>1.24284752033156E-2</v>
      </c>
      <c r="R382" s="10">
        <v>-6.2813302622621497E-2</v>
      </c>
      <c r="S382" s="10">
        <v>9.0811019152514202E-2</v>
      </c>
      <c r="T382" s="10">
        <v>0.13306655397538611</v>
      </c>
      <c r="U382" s="10">
        <v>9.3629205440228999E-2</v>
      </c>
      <c r="V382" s="10">
        <v>0.17839863390570149</v>
      </c>
      <c r="W382" s="10">
        <v>3.1228561047551201E-2</v>
      </c>
      <c r="X382" s="10">
        <v>2.1851638872915399E-2</v>
      </c>
      <c r="Y382" s="10">
        <v>4.3902111066290099E-2</v>
      </c>
      <c r="Z382" s="10">
        <v>0.75</v>
      </c>
      <c r="AA382" s="10">
        <v>0.52500000000000002</v>
      </c>
      <c r="AB382" s="10">
        <v>0.97499999999999998</v>
      </c>
      <c r="AC382" s="10">
        <v>1.9455719627056799E-2</v>
      </c>
      <c r="AD382">
        <v>1.20578295387372E-2</v>
      </c>
      <c r="AE382">
        <v>2.8079693884531898E-2</v>
      </c>
    </row>
    <row r="383" spans="1:31" hidden="1">
      <c r="A383" t="s">
        <v>88</v>
      </c>
      <c r="B383" t="s">
        <v>65</v>
      </c>
      <c r="C383" t="s">
        <v>83</v>
      </c>
      <c r="D383" t="s">
        <v>68</v>
      </c>
      <c r="E383">
        <v>20</v>
      </c>
      <c r="F383">
        <v>0.14492753623188401</v>
      </c>
      <c r="G383">
        <v>5</v>
      </c>
      <c r="H383" s="10">
        <v>0.2464281288821667</v>
      </c>
      <c r="I383" s="10">
        <v>0.19484522910283661</v>
      </c>
      <c r="J383" s="10">
        <v>0.32716676152898749</v>
      </c>
      <c r="K383" s="10">
        <v>1.70035408928695</v>
      </c>
      <c r="L383" s="10">
        <v>1.3444320808095731</v>
      </c>
      <c r="M383" s="10">
        <v>2.2574506545500141</v>
      </c>
      <c r="N383" s="10">
        <v>0.53241525423728808</v>
      </c>
      <c r="O383" s="10">
        <v>0.42913135593220342</v>
      </c>
      <c r="P383" s="10">
        <v>0.59654661016949162</v>
      </c>
      <c r="Q383" s="10">
        <v>7.8331513819212994E-2</v>
      </c>
      <c r="R383" s="10">
        <v>-3.0254061958459501E-2</v>
      </c>
      <c r="S383" s="10">
        <v>0.2102398665691525</v>
      </c>
      <c r="T383" s="10">
        <v>0.210232049219231</v>
      </c>
      <c r="U383" s="10">
        <v>6.8367810866105896E-2</v>
      </c>
      <c r="V383" s="10">
        <v>0.44107656127515021</v>
      </c>
      <c r="W383" s="10">
        <v>0.2511192511192511</v>
      </c>
      <c r="X383" s="10">
        <v>0.1186609686609686</v>
      </c>
      <c r="Y383" s="10">
        <v>0.43333333333333329</v>
      </c>
      <c r="Z383" s="10">
        <v>0.31</v>
      </c>
      <c r="AA383" s="10">
        <v>0.06</v>
      </c>
      <c r="AB383" s="10">
        <v>0.92</v>
      </c>
      <c r="AC383" s="10">
        <v>0.22728068078381619</v>
      </c>
      <c r="AD383">
        <v>5.6404787077971703E-2</v>
      </c>
      <c r="AE383">
        <v>0.43266659751427738</v>
      </c>
    </row>
    <row r="384" spans="1:31" hidden="1">
      <c r="A384" t="s">
        <v>88</v>
      </c>
      <c r="B384" t="s">
        <v>65</v>
      </c>
      <c r="C384" t="s">
        <v>83</v>
      </c>
      <c r="D384" t="s">
        <v>69</v>
      </c>
      <c r="E384">
        <v>26</v>
      </c>
      <c r="F384">
        <v>0.1884057971014492</v>
      </c>
      <c r="G384">
        <v>5</v>
      </c>
      <c r="H384" s="10">
        <v>0.55969205991478688</v>
      </c>
      <c r="I384" s="10">
        <v>0.48077759840380668</v>
      </c>
      <c r="J384" s="10">
        <v>0.64438761173552173</v>
      </c>
      <c r="K384" s="10">
        <v>2.970673241086176</v>
      </c>
      <c r="L384" s="10">
        <v>2.5518195607586658</v>
      </c>
      <c r="M384" s="10">
        <v>3.420211169980846</v>
      </c>
      <c r="N384" s="10">
        <v>0.83173076923076938</v>
      </c>
      <c r="O384" s="10">
        <v>0.79217032967032974</v>
      </c>
      <c r="P384" s="10">
        <v>0.86102335164835153</v>
      </c>
      <c r="Q384" s="10">
        <v>0.43678233081853579</v>
      </c>
      <c r="R384" s="10">
        <v>0.40272077875243001</v>
      </c>
      <c r="S384" s="10">
        <v>0.48116326223066219</v>
      </c>
      <c r="T384" s="10">
        <v>0.59379495786101277</v>
      </c>
      <c r="U384" s="10">
        <v>0.52932815038291947</v>
      </c>
      <c r="V384" s="10">
        <v>0.68231750531537916</v>
      </c>
      <c r="W384" s="10">
        <v>0.49562211981566823</v>
      </c>
      <c r="X384" s="10">
        <v>0.37958525345622118</v>
      </c>
      <c r="Y384" s="10">
        <v>0.63500000000000001</v>
      </c>
      <c r="Z384" s="10">
        <v>0.64615384615384619</v>
      </c>
      <c r="AA384" s="10">
        <v>0.5115384615384615</v>
      </c>
      <c r="AB384" s="10">
        <v>0.85769230769230764</v>
      </c>
      <c r="AC384" s="10">
        <v>0.1906653008086634</v>
      </c>
      <c r="AD384">
        <v>0.1138502967542085</v>
      </c>
      <c r="AE384">
        <v>0.31504339190284408</v>
      </c>
    </row>
    <row r="385" spans="1:31" hidden="1">
      <c r="A385" t="s">
        <v>88</v>
      </c>
      <c r="B385" t="s">
        <v>65</v>
      </c>
      <c r="C385" t="s">
        <v>83</v>
      </c>
      <c r="D385" t="s">
        <v>70</v>
      </c>
      <c r="E385">
        <v>7</v>
      </c>
      <c r="F385">
        <v>5.0724637681159403E-2</v>
      </c>
      <c r="G385">
        <v>5</v>
      </c>
      <c r="H385" s="10">
        <v>4.9979507377967997E-2</v>
      </c>
      <c r="I385" s="10">
        <v>4.52399329837204E-2</v>
      </c>
      <c r="J385" s="10">
        <v>6.1070240059487003E-2</v>
      </c>
      <c r="K385" s="10">
        <v>0.98531028830851264</v>
      </c>
      <c r="L385" s="10">
        <v>0.89187296453620268</v>
      </c>
      <c r="M385" s="10">
        <v>1.203956161172745</v>
      </c>
      <c r="N385" s="10">
        <v>0.390185387131952</v>
      </c>
      <c r="O385" s="10">
        <v>0.33102508178844048</v>
      </c>
      <c r="P385" s="10">
        <v>0.50114503816793898</v>
      </c>
      <c r="Q385" s="10">
        <v>5.8286356449907999E-3</v>
      </c>
      <c r="R385" s="10">
        <v>-0.1086317744249439</v>
      </c>
      <c r="S385" s="10">
        <v>7.2020635624375107E-2</v>
      </c>
      <c r="T385" s="10">
        <v>0.19778988965087119</v>
      </c>
      <c r="U385" s="10">
        <v>0.15005205622071829</v>
      </c>
      <c r="V385" s="10">
        <v>0.22775735294117641</v>
      </c>
      <c r="W385" s="10">
        <v>4.9151548508824E-2</v>
      </c>
      <c r="X385" s="10">
        <v>3.8039215686274497E-2</v>
      </c>
      <c r="Y385" s="10">
        <v>5.5703030303030303E-2</v>
      </c>
      <c r="Z385" s="10">
        <v>0.82857142857142851</v>
      </c>
      <c r="AA385" s="10">
        <v>0.5714285714285714</v>
      </c>
      <c r="AB385" s="10">
        <v>1</v>
      </c>
      <c r="AC385" s="10">
        <v>3.9224017419574E-2</v>
      </c>
      <c r="AD385">
        <v>2.8449455202593298E-2</v>
      </c>
      <c r="AE385">
        <v>5.5247328369570699E-2</v>
      </c>
    </row>
    <row r="386" spans="1:31" hidden="1">
      <c r="A386" t="s">
        <v>88</v>
      </c>
      <c r="B386" t="s">
        <v>65</v>
      </c>
      <c r="C386" t="s">
        <v>83</v>
      </c>
      <c r="D386" t="s">
        <v>71</v>
      </c>
      <c r="E386">
        <v>9</v>
      </c>
      <c r="F386">
        <v>6.5217391304347797E-2</v>
      </c>
      <c r="G386">
        <v>5</v>
      </c>
      <c r="H386" s="10">
        <v>6.8907079793963003E-2</v>
      </c>
      <c r="I386" s="10">
        <v>5.5964450486426898E-2</v>
      </c>
      <c r="J386" s="10">
        <v>8.9886238870107604E-2</v>
      </c>
      <c r="K386" s="10">
        <v>1.056575223507433</v>
      </c>
      <c r="L386" s="10">
        <v>0.85812157412521284</v>
      </c>
      <c r="M386" s="10">
        <v>1.378255662674984</v>
      </c>
      <c r="N386" s="10">
        <v>0.44840654608096459</v>
      </c>
      <c r="O386" s="10">
        <v>0.37614125753660638</v>
      </c>
      <c r="P386" s="10">
        <v>0.59379844961240313</v>
      </c>
      <c r="Q386" s="10">
        <v>-4.1671426358861003E-3</v>
      </c>
      <c r="R386" s="10">
        <v>-7.1047630663407399E-2</v>
      </c>
      <c r="S386" s="10">
        <v>6.2174617685052801E-2</v>
      </c>
      <c r="T386" s="10">
        <v>0.19702710871404999</v>
      </c>
      <c r="U386" s="10">
        <v>1.9230769230769201E-2</v>
      </c>
      <c r="V386" s="10">
        <v>0.27013869431213222</v>
      </c>
      <c r="W386" s="10">
        <v>5.0858431967528102E-2</v>
      </c>
      <c r="X386" s="10">
        <v>5.3191489361701996E-3</v>
      </c>
      <c r="Y386" s="10">
        <v>6.8925339366515806E-2</v>
      </c>
      <c r="Z386" s="10">
        <v>0.71111111111111103</v>
      </c>
      <c r="AA386" s="10">
        <v>5.5555555555555497E-2</v>
      </c>
      <c r="AB386" s="10">
        <v>1</v>
      </c>
      <c r="AC386" s="10">
        <v>4.6501660395931503E-2</v>
      </c>
      <c r="AD386">
        <v>1.51532488970927E-2</v>
      </c>
      <c r="AE386">
        <v>9.9344490346560496E-2</v>
      </c>
    </row>
    <row r="387" spans="1:31" hidden="1">
      <c r="A387" t="s">
        <v>88</v>
      </c>
      <c r="B387" t="s">
        <v>65</v>
      </c>
      <c r="C387" t="s">
        <v>84</v>
      </c>
      <c r="D387" t="s">
        <v>67</v>
      </c>
      <c r="E387">
        <v>4</v>
      </c>
      <c r="F387">
        <v>2.8985507246376802E-2</v>
      </c>
      <c r="G387">
        <v>5</v>
      </c>
      <c r="H387" s="10">
        <v>0.12146046354186769</v>
      </c>
      <c r="I387" s="10">
        <v>5.2025868267904E-2</v>
      </c>
      <c r="J387" s="10">
        <v>0.2264981913874474</v>
      </c>
      <c r="K387" s="10">
        <v>4.1903859921944377</v>
      </c>
      <c r="L387" s="10">
        <v>1.794892455242689</v>
      </c>
      <c r="M387" s="10">
        <v>7.8141876028669346</v>
      </c>
      <c r="N387" s="10">
        <v>0.79533582089552224</v>
      </c>
      <c r="O387" s="10">
        <v>0.64393656716417913</v>
      </c>
      <c r="P387" s="10">
        <v>0.88917910447761184</v>
      </c>
      <c r="Q387" s="10">
        <v>0.15110531633939761</v>
      </c>
      <c r="R387" s="10">
        <v>5.3187137480086903E-2</v>
      </c>
      <c r="S387" s="10">
        <v>0.2222904667179029</v>
      </c>
      <c r="T387" s="10">
        <v>0.23521480476804829</v>
      </c>
      <c r="U387" s="10">
        <v>0.13925438596491219</v>
      </c>
      <c r="V387" s="10">
        <v>0.32702702702702702</v>
      </c>
      <c r="W387" s="10">
        <v>7.8138528138528104E-2</v>
      </c>
      <c r="X387" s="10">
        <v>4.5909090909090899E-2</v>
      </c>
      <c r="Y387" s="10">
        <v>0.13809523809523799</v>
      </c>
      <c r="Z387" s="10">
        <v>0.65</v>
      </c>
      <c r="AA387" s="10">
        <v>0.27500000000000002</v>
      </c>
      <c r="AB387" s="10">
        <v>1</v>
      </c>
      <c r="AC387" s="10">
        <v>1.37367606355233E-2</v>
      </c>
      <c r="AD387">
        <v>6.9745871141838004E-3</v>
      </c>
      <c r="AE387">
        <v>1.9711438992093398E-2</v>
      </c>
    </row>
    <row r="388" spans="1:31" hidden="1">
      <c r="A388" t="s">
        <v>88</v>
      </c>
      <c r="B388" t="s">
        <v>65</v>
      </c>
      <c r="C388" t="s">
        <v>84</v>
      </c>
      <c r="D388" t="s">
        <v>68</v>
      </c>
      <c r="E388">
        <v>20</v>
      </c>
      <c r="F388">
        <v>0.14492753623188401</v>
      </c>
      <c r="G388">
        <v>5</v>
      </c>
      <c r="H388" s="10">
        <v>0.27531159895460811</v>
      </c>
      <c r="I388" s="10">
        <v>0.26618393269789181</v>
      </c>
      <c r="J388" s="10">
        <v>0.28539337168406298</v>
      </c>
      <c r="K388" s="10">
        <v>1.899650032786796</v>
      </c>
      <c r="L388" s="10">
        <v>1.836669135615453</v>
      </c>
      <c r="M388" s="10">
        <v>1.969214264620035</v>
      </c>
      <c r="N388" s="10">
        <v>0.6457627118644067</v>
      </c>
      <c r="O388" s="10">
        <v>0.58622881355932199</v>
      </c>
      <c r="P388" s="10">
        <v>0.70703389830508467</v>
      </c>
      <c r="Q388" s="10">
        <v>0.11842649963244629</v>
      </c>
      <c r="R388" s="10">
        <v>-1.0713252258431999E-2</v>
      </c>
      <c r="S388" s="10">
        <v>0.2727508188097586</v>
      </c>
      <c r="T388" s="10">
        <v>0.37723278120566922</v>
      </c>
      <c r="U388" s="10">
        <v>0.1583406884377758</v>
      </c>
      <c r="V388" s="10">
        <v>0.56089820359281439</v>
      </c>
      <c r="W388" s="10">
        <v>0.1866155571920497</v>
      </c>
      <c r="X388" s="10">
        <v>0.1338296605122096</v>
      </c>
      <c r="Y388" s="10">
        <v>0.23857142857142849</v>
      </c>
      <c r="Z388" s="10">
        <v>0.55000000000000004</v>
      </c>
      <c r="AA388" s="10">
        <v>0.1649999999999999</v>
      </c>
      <c r="AB388" s="10">
        <v>0.85</v>
      </c>
      <c r="AC388" s="10">
        <v>0.1943848051158665</v>
      </c>
      <c r="AD388">
        <v>1.18294189519637E-2</v>
      </c>
      <c r="AE388">
        <v>0.46963005157945747</v>
      </c>
    </row>
    <row r="389" spans="1:31" hidden="1">
      <c r="A389" t="s">
        <v>88</v>
      </c>
      <c r="B389" t="s">
        <v>65</v>
      </c>
      <c r="C389" t="s">
        <v>84</v>
      </c>
      <c r="D389" t="s">
        <v>69</v>
      </c>
      <c r="E389">
        <v>26</v>
      </c>
      <c r="F389">
        <v>0.1884057971014492</v>
      </c>
      <c r="G389">
        <v>5</v>
      </c>
      <c r="H389" s="10">
        <v>0.59006765605614675</v>
      </c>
      <c r="I389" s="10">
        <v>0.49857109030394259</v>
      </c>
      <c r="J389" s="10">
        <v>0.68212148472817269</v>
      </c>
      <c r="K389" s="10">
        <v>3.1318975590672409</v>
      </c>
      <c r="L389" s="10">
        <v>2.6462619408440031</v>
      </c>
      <c r="M389" s="10">
        <v>3.6204909574033781</v>
      </c>
      <c r="N389" s="10">
        <v>0.85831043956043962</v>
      </c>
      <c r="O389" s="10">
        <v>0.82204670329670326</v>
      </c>
      <c r="P389" s="10">
        <v>0.88406593406593403</v>
      </c>
      <c r="Q389" s="10">
        <v>0.47334207973959852</v>
      </c>
      <c r="R389" s="10">
        <v>0.4156665907553212</v>
      </c>
      <c r="S389" s="10">
        <v>0.53440940855788521</v>
      </c>
      <c r="T389" s="10">
        <v>0.68006909052999176</v>
      </c>
      <c r="U389" s="10">
        <v>0.58289020957147331</v>
      </c>
      <c r="V389" s="10">
        <v>0.74477195045756917</v>
      </c>
      <c r="W389" s="10">
        <v>0.45483313183079099</v>
      </c>
      <c r="X389" s="10">
        <v>0.3882591093117409</v>
      </c>
      <c r="Y389" s="10">
        <v>0.50954703832752613</v>
      </c>
      <c r="Z389" s="10">
        <v>0.79230769230769238</v>
      </c>
      <c r="AA389" s="10">
        <v>0.61923076923076925</v>
      </c>
      <c r="AB389" s="10">
        <v>0.95769230769230762</v>
      </c>
      <c r="AC389" s="10">
        <v>0.1683955481485207</v>
      </c>
      <c r="AD389">
        <v>2.2216220951484601E-2</v>
      </c>
      <c r="AE389">
        <v>0.29535630949133629</v>
      </c>
    </row>
    <row r="390" spans="1:31" hidden="1">
      <c r="A390" t="s">
        <v>88</v>
      </c>
      <c r="B390" t="s">
        <v>65</v>
      </c>
      <c r="C390" t="s">
        <v>84</v>
      </c>
      <c r="D390" t="s">
        <v>70</v>
      </c>
      <c r="E390">
        <v>7</v>
      </c>
      <c r="F390">
        <v>5.0724637681159403E-2</v>
      </c>
      <c r="G390">
        <v>5</v>
      </c>
      <c r="H390" s="10">
        <v>0.11805456635718239</v>
      </c>
      <c r="I390" s="10">
        <v>7.8746472856148095E-2</v>
      </c>
      <c r="J390" s="10">
        <v>0.225806077943321</v>
      </c>
      <c r="K390" s="10">
        <v>2.3273614510415959</v>
      </c>
      <c r="L390" s="10">
        <v>1.5524304648783489</v>
      </c>
      <c r="M390" s="10">
        <v>4.4516055365968992</v>
      </c>
      <c r="N390" s="10">
        <v>0.63446019629225736</v>
      </c>
      <c r="O390" s="10">
        <v>0.56815703380588878</v>
      </c>
      <c r="P390" s="10">
        <v>0.73675027262813519</v>
      </c>
      <c r="Q390" s="10">
        <v>0.1226249870245965</v>
      </c>
      <c r="R390" s="10">
        <v>5.7198755651346599E-2</v>
      </c>
      <c r="S390" s="10">
        <v>0.17694870427833459</v>
      </c>
      <c r="T390" s="10">
        <v>0.27793144336080261</v>
      </c>
      <c r="U390" s="10">
        <v>0.2290491854636591</v>
      </c>
      <c r="V390" s="10">
        <v>0.32449373191899711</v>
      </c>
      <c r="W390" s="10">
        <v>8.5197745402943698E-2</v>
      </c>
      <c r="X390" s="10">
        <v>5.8781512605041997E-2</v>
      </c>
      <c r="Y390" s="10">
        <v>0.11839323467230441</v>
      </c>
      <c r="Z390" s="10">
        <v>0.71428571428571419</v>
      </c>
      <c r="AA390" s="10">
        <v>0.5714285714285714</v>
      </c>
      <c r="AB390" s="10">
        <v>0.8571428571428571</v>
      </c>
      <c r="AC390" s="10">
        <v>1.4852353211882999E-2</v>
      </c>
      <c r="AD390">
        <v>3.3030800146961001E-3</v>
      </c>
      <c r="AE390">
        <v>3.8715046148279197E-2</v>
      </c>
    </row>
    <row r="391" spans="1:31" hidden="1">
      <c r="A391" t="s">
        <v>88</v>
      </c>
      <c r="B391" t="s">
        <v>65</v>
      </c>
      <c r="C391" t="s">
        <v>84</v>
      </c>
      <c r="D391" t="s">
        <v>71</v>
      </c>
      <c r="E391">
        <v>9</v>
      </c>
      <c r="F391">
        <v>6.5217391304347797E-2</v>
      </c>
      <c r="G391">
        <v>5</v>
      </c>
      <c r="H391" s="10">
        <v>0.11746651848616051</v>
      </c>
      <c r="I391" s="10">
        <v>8.3119312734453901E-2</v>
      </c>
      <c r="J391" s="10">
        <v>0.1759212070771555</v>
      </c>
      <c r="K391" s="10">
        <v>1.8011532834544619</v>
      </c>
      <c r="L391" s="10">
        <v>1.2744961285949601</v>
      </c>
      <c r="M391" s="10">
        <v>2.6974585085163851</v>
      </c>
      <c r="N391" s="10">
        <v>0.58975021533161054</v>
      </c>
      <c r="O391" s="10">
        <v>0.54526270456503012</v>
      </c>
      <c r="P391" s="10">
        <v>0.62670111972437548</v>
      </c>
      <c r="Q391" s="10">
        <v>0.1092327908116477</v>
      </c>
      <c r="R391" s="10">
        <v>5.5583966085151697E-2</v>
      </c>
      <c r="S391" s="10">
        <v>0.1492488919290271</v>
      </c>
      <c r="T391" s="10">
        <v>0.27722369179192641</v>
      </c>
      <c r="U391" s="10">
        <v>0.186196623634558</v>
      </c>
      <c r="V391" s="10">
        <v>0.3201076320939335</v>
      </c>
      <c r="W391" s="10">
        <v>8.3005267973454602E-2</v>
      </c>
      <c r="X391" s="10">
        <v>7.3679745493107102E-2</v>
      </c>
      <c r="Y391" s="10">
        <v>9.4368131868131797E-2</v>
      </c>
      <c r="Z391" s="10">
        <v>0.84444444444444444</v>
      </c>
      <c r="AA391" s="10">
        <v>0.3</v>
      </c>
      <c r="AB391" s="10">
        <v>1</v>
      </c>
      <c r="AC391" s="10">
        <v>2.24675462518341E-2</v>
      </c>
      <c r="AD391">
        <v>2.1857260185441001E-3</v>
      </c>
      <c r="AE391">
        <v>9.2624655313195595E-2</v>
      </c>
    </row>
    <row r="392" spans="1:31">
      <c r="A392" t="s">
        <v>87</v>
      </c>
      <c r="B392" t="s">
        <v>78</v>
      </c>
      <c r="C392" t="s">
        <v>80</v>
      </c>
      <c r="D392" t="s">
        <v>67</v>
      </c>
      <c r="E392">
        <v>4</v>
      </c>
      <c r="F392">
        <v>2.8985507246376802E-2</v>
      </c>
      <c r="G392">
        <v>5</v>
      </c>
      <c r="H392" s="10">
        <v>0.32220542968429322</v>
      </c>
      <c r="I392" s="10">
        <v>0.28434214795337931</v>
      </c>
      <c r="J392" s="10">
        <v>0.36998778739817978</v>
      </c>
      <c r="K392" s="10">
        <v>11.11608732410812</v>
      </c>
      <c r="L392" s="10">
        <v>9.8098041043915885</v>
      </c>
      <c r="M392" s="10">
        <v>12.764578665237201</v>
      </c>
      <c r="N392" s="10">
        <v>0.72313432835820879</v>
      </c>
      <c r="O392" s="10">
        <v>0.62462686567164183</v>
      </c>
      <c r="P392" s="10">
        <v>0.7856343283582089</v>
      </c>
      <c r="Q392" s="10">
        <v>0.23352612172222539</v>
      </c>
      <c r="R392" s="10">
        <v>9.3353324380589894E-2</v>
      </c>
      <c r="S392" s="10">
        <v>0.47208907993207849</v>
      </c>
      <c r="T392" s="10">
        <v>0.23388541198367141</v>
      </c>
      <c r="U392" s="10">
        <v>0.1664378860672614</v>
      </c>
      <c r="V392" s="10">
        <v>0.29102167182662542</v>
      </c>
      <c r="W392" s="10">
        <v>0.3269772998805256</v>
      </c>
      <c r="X392" s="10">
        <v>3.97849462365591E-2</v>
      </c>
      <c r="Y392" s="10">
        <v>0.93333333333333324</v>
      </c>
      <c r="Z392" s="10">
        <v>0.45</v>
      </c>
      <c r="AA392" s="10">
        <v>0.25</v>
      </c>
      <c r="AB392" s="10">
        <v>0.95</v>
      </c>
      <c r="AC392" s="10">
        <v>0.5996774640361251</v>
      </c>
      <c r="AD392">
        <v>7.2537318124413002E-3</v>
      </c>
      <c r="AE392">
        <v>0.99986969815503957</v>
      </c>
    </row>
    <row r="393" spans="1:31">
      <c r="A393" t="s">
        <v>88</v>
      </c>
      <c r="B393" t="s">
        <v>77</v>
      </c>
      <c r="C393" t="s">
        <v>80</v>
      </c>
      <c r="D393" t="s">
        <v>68</v>
      </c>
      <c r="E393">
        <v>21</v>
      </c>
      <c r="F393">
        <v>0.15</v>
      </c>
      <c r="G393">
        <v>5</v>
      </c>
      <c r="H393" s="10">
        <v>0.27518424895021698</v>
      </c>
      <c r="I393" s="10">
        <v>0.22148237598615961</v>
      </c>
      <c r="J393" s="10">
        <v>0.35933970951494898</v>
      </c>
      <c r="K393" s="10">
        <v>1.834561659668114</v>
      </c>
      <c r="L393" s="10">
        <v>1.4765491732410641</v>
      </c>
      <c r="M393" s="10">
        <v>2.3955980634329941</v>
      </c>
      <c r="N393" s="10">
        <v>0.59675870348139248</v>
      </c>
      <c r="O393" s="10">
        <v>0.55444177671068418</v>
      </c>
      <c r="P393" s="10">
        <v>0.67595038015206077</v>
      </c>
      <c r="Q393" s="10">
        <v>0.15053237095177721</v>
      </c>
      <c r="R393" s="10">
        <v>8.2924700628225004E-3</v>
      </c>
      <c r="S393" s="10">
        <v>0.27294776957560768</v>
      </c>
      <c r="T393" s="10">
        <v>0.30433811408382672</v>
      </c>
      <c r="U393" s="10">
        <v>6.0686504506729202E-2</v>
      </c>
      <c r="V393" s="10">
        <v>0.51701754385964904</v>
      </c>
      <c r="W393" s="10">
        <v>0.26510822510822502</v>
      </c>
      <c r="X393" s="10">
        <v>0.14826839826839819</v>
      </c>
      <c r="Y393" s="10">
        <v>0.39</v>
      </c>
      <c r="Z393" s="10">
        <v>0.37142857142857139</v>
      </c>
      <c r="AA393" s="10">
        <v>5.2380952380952299E-2</v>
      </c>
      <c r="AB393" s="10">
        <v>0.66190476190476188</v>
      </c>
      <c r="AC393" s="10">
        <v>0.43000877250276359</v>
      </c>
      <c r="AD393">
        <v>2.9334845986720301E-2</v>
      </c>
      <c r="AE393">
        <v>0.99989025439013557</v>
      </c>
    </row>
    <row r="394" spans="1:31">
      <c r="A394" t="s">
        <v>88</v>
      </c>
      <c r="B394" t="s">
        <v>77</v>
      </c>
      <c r="C394" t="s">
        <v>80</v>
      </c>
      <c r="D394" t="s">
        <v>69</v>
      </c>
      <c r="E394">
        <v>26</v>
      </c>
      <c r="F394">
        <v>0.18571428571428569</v>
      </c>
      <c r="G394">
        <v>5</v>
      </c>
      <c r="H394" s="10">
        <v>0.45518907042742179</v>
      </c>
      <c r="I394" s="10">
        <v>0.3867797982508443</v>
      </c>
      <c r="J394" s="10">
        <v>0.5078358969989254</v>
      </c>
      <c r="K394" s="10">
        <v>2.4510180715322711</v>
      </c>
      <c r="L394" s="10">
        <v>2.082660452119931</v>
      </c>
      <c r="M394" s="10">
        <v>2.734500983840368</v>
      </c>
      <c r="N394" s="10">
        <v>0.77068151147098507</v>
      </c>
      <c r="O394" s="10">
        <v>0.68859649122807021</v>
      </c>
      <c r="P394" s="10">
        <v>0.85845141700404859</v>
      </c>
      <c r="Q394" s="10">
        <v>0.46969522981046091</v>
      </c>
      <c r="R394" s="10">
        <v>0.41130145629823511</v>
      </c>
      <c r="S394" s="10">
        <v>0.52722229593841519</v>
      </c>
      <c r="T394" s="10">
        <v>0.67603124939991288</v>
      </c>
      <c r="U394" s="10">
        <v>0.60807240704500976</v>
      </c>
      <c r="V394" s="10">
        <v>0.76491424310216249</v>
      </c>
      <c r="W394" s="10">
        <v>0.45272221585774108</v>
      </c>
      <c r="X394" s="10">
        <v>0.42881773399014778</v>
      </c>
      <c r="Y394" s="10">
        <v>0.47166666666666668</v>
      </c>
      <c r="Z394" s="10">
        <v>0.77692307692307694</v>
      </c>
      <c r="AA394" s="10">
        <v>0.65769230769230769</v>
      </c>
      <c r="AB394" s="10">
        <v>0.94615384615384601</v>
      </c>
      <c r="AC394" s="10">
        <v>0.16871182870530649</v>
      </c>
      <c r="AD394">
        <v>5.0061593777421198E-2</v>
      </c>
      <c r="AE394">
        <v>0.26563356483372591</v>
      </c>
    </row>
    <row r="395" spans="1:31">
      <c r="A395" t="s">
        <v>88</v>
      </c>
      <c r="B395" t="s">
        <v>77</v>
      </c>
      <c r="C395" t="s">
        <v>80</v>
      </c>
      <c r="D395" t="s">
        <v>70</v>
      </c>
      <c r="E395">
        <v>7</v>
      </c>
      <c r="F395">
        <v>0.05</v>
      </c>
      <c r="G395">
        <v>5</v>
      </c>
      <c r="H395" s="10">
        <v>0.3548295623780035</v>
      </c>
      <c r="I395" s="10">
        <v>0.28245101642724729</v>
      </c>
      <c r="J395" s="10">
        <v>0.442587454597547</v>
      </c>
      <c r="K395" s="10">
        <v>7.0965912475600694</v>
      </c>
      <c r="L395" s="10">
        <v>5.6490203285449452</v>
      </c>
      <c r="M395" s="10">
        <v>8.8517490919509392</v>
      </c>
      <c r="N395" s="10">
        <v>0.78775510204081634</v>
      </c>
      <c r="O395" s="10">
        <v>0.73888292158968849</v>
      </c>
      <c r="P395" s="10">
        <v>0.83501611170784107</v>
      </c>
      <c r="Q395" s="10">
        <v>0.25697954752914831</v>
      </c>
      <c r="R395" s="10">
        <v>0.1971343285114576</v>
      </c>
      <c r="S395" s="10">
        <v>0.34931596299548362</v>
      </c>
      <c r="T395" s="10">
        <v>0.31587757001063449</v>
      </c>
      <c r="U395" s="10">
        <v>0.16182795698924729</v>
      </c>
      <c r="V395" s="10">
        <v>0.46763392857142849</v>
      </c>
      <c r="W395" s="10">
        <v>0.28492063492063491</v>
      </c>
      <c r="X395" s="10">
        <v>0.14166666666666661</v>
      </c>
      <c r="Y395" s="10">
        <v>0.48333333333333328</v>
      </c>
      <c r="Z395" s="10">
        <v>0.42857142857142849</v>
      </c>
      <c r="AA395" s="10">
        <v>0.14285714285714279</v>
      </c>
      <c r="AB395" s="10">
        <v>0.7</v>
      </c>
      <c r="AC395" s="10">
        <v>0.35966187102945929</v>
      </c>
      <c r="AD395">
        <v>1.7666323039059802E-2</v>
      </c>
      <c r="AE395">
        <v>0.85320573236941377</v>
      </c>
    </row>
    <row r="396" spans="1:31">
      <c r="A396" t="s">
        <v>88</v>
      </c>
      <c r="B396" t="s">
        <v>77</v>
      </c>
      <c r="C396" t="s">
        <v>80</v>
      </c>
      <c r="D396" t="s">
        <v>71</v>
      </c>
      <c r="E396">
        <v>9</v>
      </c>
      <c r="F396">
        <v>6.4285714285714196E-2</v>
      </c>
      <c r="G396">
        <v>5</v>
      </c>
      <c r="H396" s="10">
        <v>0.1393031648597492</v>
      </c>
      <c r="I396" s="10">
        <v>8.9360653843885599E-2</v>
      </c>
      <c r="J396" s="10">
        <v>0.20508593383536941</v>
      </c>
      <c r="K396" s="10">
        <v>2.1669381200405442</v>
      </c>
      <c r="L396" s="10">
        <v>1.3900546153493329</v>
      </c>
      <c r="M396" s="10">
        <v>3.1902256374390809</v>
      </c>
      <c r="N396" s="10">
        <v>0.52926208651399498</v>
      </c>
      <c r="O396" s="10">
        <v>0.44614079728583539</v>
      </c>
      <c r="P396" s="10">
        <v>0.58948261238337574</v>
      </c>
      <c r="Q396" s="10">
        <v>0.1109327761023733</v>
      </c>
      <c r="R396" s="10">
        <v>4.7968222737072002E-3</v>
      </c>
      <c r="S396" s="10">
        <v>0.28253133257973218</v>
      </c>
      <c r="T396" s="10">
        <v>0.20878281548720021</v>
      </c>
      <c r="U396" s="10">
        <v>1.9230769230769201E-2</v>
      </c>
      <c r="V396" s="10">
        <v>0.38475247524752471</v>
      </c>
      <c r="W396" s="10">
        <v>0.1282967032967032</v>
      </c>
      <c r="X396" s="10">
        <v>7.6923076923075999E-3</v>
      </c>
      <c r="Y396" s="10">
        <v>0.2725274725274725</v>
      </c>
      <c r="Z396" s="10">
        <v>0.28888888888888892</v>
      </c>
      <c r="AA396" s="10">
        <v>2.2222222222222199E-2</v>
      </c>
      <c r="AB396" s="10">
        <v>0.54444444444444451</v>
      </c>
      <c r="AC396" s="10">
        <v>0.57187921026447097</v>
      </c>
      <c r="AD396">
        <v>2.5667464346529702E-2</v>
      </c>
      <c r="AE396">
        <v>0.99541411605379115</v>
      </c>
    </row>
    <row r="397" spans="1:31" hidden="1">
      <c r="A397" t="s">
        <v>88</v>
      </c>
      <c r="B397" t="s">
        <v>77</v>
      </c>
      <c r="C397" t="s">
        <v>81</v>
      </c>
      <c r="D397" t="s">
        <v>67</v>
      </c>
      <c r="E397">
        <v>4</v>
      </c>
      <c r="F397">
        <v>2.8571428571428501E-2</v>
      </c>
      <c r="G397">
        <v>5</v>
      </c>
      <c r="H397" s="10">
        <v>4.3809523809523798E-2</v>
      </c>
      <c r="I397" s="10">
        <v>2.8571428571428501E-2</v>
      </c>
      <c r="J397" s="10">
        <v>9.71428571428571E-2</v>
      </c>
      <c r="K397" s="10">
        <v>1.533333333333333</v>
      </c>
      <c r="L397" s="10">
        <v>1</v>
      </c>
      <c r="M397" s="10">
        <v>3.399999999999999</v>
      </c>
      <c r="N397" s="10">
        <v>0.51378676470588236</v>
      </c>
      <c r="O397" s="10">
        <v>0.48566176470588229</v>
      </c>
      <c r="P397" s="10">
        <v>0.60101102941176465</v>
      </c>
      <c r="Q397" s="10">
        <v>0</v>
      </c>
      <c r="R397" s="10">
        <v>0</v>
      </c>
      <c r="S397" s="10">
        <v>0</v>
      </c>
      <c r="T397" s="10">
        <v>0.12820512820512819</v>
      </c>
      <c r="U397" s="10">
        <v>0.12820512820512819</v>
      </c>
      <c r="V397" s="10">
        <v>0.12820512820512819</v>
      </c>
      <c r="W397" s="10">
        <v>2.8571428571428501E-2</v>
      </c>
      <c r="X397" s="10">
        <v>2.8571428571428501E-2</v>
      </c>
      <c r="Y397" s="10">
        <v>2.8571428571428501E-2</v>
      </c>
      <c r="Z397" s="10">
        <v>1</v>
      </c>
      <c r="AA397" s="10">
        <v>1</v>
      </c>
      <c r="AB397" s="10">
        <v>1</v>
      </c>
      <c r="AC397" s="10">
        <v>0</v>
      </c>
      <c r="AD397">
        <v>0</v>
      </c>
      <c r="AE397">
        <v>0</v>
      </c>
    </row>
    <row r="398" spans="1:31" hidden="1">
      <c r="A398" t="s">
        <v>88</v>
      </c>
      <c r="B398" t="s">
        <v>77</v>
      </c>
      <c r="C398" t="s">
        <v>81</v>
      </c>
      <c r="D398" t="s">
        <v>68</v>
      </c>
      <c r="E398">
        <v>21</v>
      </c>
      <c r="F398">
        <v>0.15</v>
      </c>
      <c r="G398">
        <v>5</v>
      </c>
      <c r="H398" s="10">
        <v>0.21023957381295999</v>
      </c>
      <c r="I398" s="10">
        <v>0.16887639991256789</v>
      </c>
      <c r="J398" s="10">
        <v>0.2287104556591581</v>
      </c>
      <c r="K398" s="10">
        <v>1.4015971587530669</v>
      </c>
      <c r="L398" s="10">
        <v>1.1258426660837859</v>
      </c>
      <c r="M398" s="10">
        <v>1.524736371061054</v>
      </c>
      <c r="N398" s="10">
        <v>0.54889955982392957</v>
      </c>
      <c r="O398" s="10">
        <v>0.49833933573429368</v>
      </c>
      <c r="P398" s="10">
        <v>0.59791916766706676</v>
      </c>
      <c r="Q398" s="10">
        <v>7.2737195654074799E-2</v>
      </c>
      <c r="R398" s="10">
        <v>1.31866677292336E-2</v>
      </c>
      <c r="S398" s="10">
        <v>0.1278073571592305</v>
      </c>
      <c r="T398" s="10">
        <v>0.20949291484011229</v>
      </c>
      <c r="U398" s="10">
        <v>0.11133730034450361</v>
      </c>
      <c r="V398" s="10">
        <v>0.38733507421660252</v>
      </c>
      <c r="W398" s="10">
        <v>0.21180934499012299</v>
      </c>
      <c r="X398" s="10">
        <v>0.16325910931174081</v>
      </c>
      <c r="Y398" s="10">
        <v>0.2472222222222222</v>
      </c>
      <c r="Z398" s="10">
        <v>0.22857142857142851</v>
      </c>
      <c r="AA398" s="10">
        <v>9.9999999999999895E-2</v>
      </c>
      <c r="AB398" s="10">
        <v>0.4952380952380952</v>
      </c>
      <c r="AC398" s="10">
        <v>0.36671235143539932</v>
      </c>
      <c r="AD398">
        <v>0.21875575076048009</v>
      </c>
      <c r="AE398">
        <v>0.4159201265185688</v>
      </c>
    </row>
    <row r="399" spans="1:31" hidden="1">
      <c r="A399" t="s">
        <v>88</v>
      </c>
      <c r="B399" t="s">
        <v>77</v>
      </c>
      <c r="C399" t="s">
        <v>81</v>
      </c>
      <c r="D399" t="s">
        <v>69</v>
      </c>
      <c r="E399">
        <v>26</v>
      </c>
      <c r="F399">
        <v>0.18571428571428569</v>
      </c>
      <c r="G399">
        <v>5</v>
      </c>
      <c r="H399" s="10">
        <v>0.44078324454045059</v>
      </c>
      <c r="I399" s="10">
        <v>0.33931292564670151</v>
      </c>
      <c r="J399" s="10">
        <v>0.57343893605196661</v>
      </c>
      <c r="K399" s="10">
        <v>2.3734482398331962</v>
      </c>
      <c r="L399" s="10">
        <v>1.8270695996360851</v>
      </c>
      <c r="M399" s="10">
        <v>3.0877481172028971</v>
      </c>
      <c r="N399" s="10">
        <v>0.75134952766531726</v>
      </c>
      <c r="O399" s="10">
        <v>0.66084682860998656</v>
      </c>
      <c r="P399" s="10">
        <v>0.84129554655870453</v>
      </c>
      <c r="Q399" s="10">
        <v>0.32689009877774261</v>
      </c>
      <c r="R399" s="10">
        <v>0.1606784642552313</v>
      </c>
      <c r="S399" s="10">
        <v>0.42836877607540552</v>
      </c>
      <c r="T399" s="10">
        <v>0.4892733930671887</v>
      </c>
      <c r="U399" s="10">
        <v>0.228493092152115</v>
      </c>
      <c r="V399" s="10">
        <v>0.66654271143221422</v>
      </c>
      <c r="W399" s="10">
        <v>0.42076923076923067</v>
      </c>
      <c r="X399" s="10">
        <v>0.29285714285714282</v>
      </c>
      <c r="Y399" s="10">
        <v>0.58571428571428563</v>
      </c>
      <c r="Z399" s="10">
        <v>0.56153846153846154</v>
      </c>
      <c r="AA399" s="10">
        <v>0.2076923076923077</v>
      </c>
      <c r="AB399" s="10">
        <v>0.84230769230769231</v>
      </c>
      <c r="AC399" s="10">
        <v>0.44600469866269848</v>
      </c>
      <c r="AD399">
        <v>0.22187095054967459</v>
      </c>
      <c r="AE399">
        <v>0.61012452682275153</v>
      </c>
    </row>
    <row r="400" spans="1:31" hidden="1">
      <c r="A400" t="s">
        <v>88</v>
      </c>
      <c r="B400" t="s">
        <v>77</v>
      </c>
      <c r="C400" t="s">
        <v>81</v>
      </c>
      <c r="D400" t="s">
        <v>70</v>
      </c>
      <c r="E400">
        <v>7</v>
      </c>
      <c r="F400">
        <v>0.05</v>
      </c>
      <c r="G400">
        <v>5</v>
      </c>
      <c r="H400" s="10">
        <v>0.34194392908678611</v>
      </c>
      <c r="I400" s="10">
        <v>0.22497990105132959</v>
      </c>
      <c r="J400" s="10">
        <v>0.51023809523809516</v>
      </c>
      <c r="K400" s="10">
        <v>6.8388785817357247</v>
      </c>
      <c r="L400" s="10">
        <v>4.4995980210265918</v>
      </c>
      <c r="M400" s="10">
        <v>10.2047619047619</v>
      </c>
      <c r="N400" s="10">
        <v>0.76197636949516645</v>
      </c>
      <c r="O400" s="10">
        <v>0.69441460794844256</v>
      </c>
      <c r="P400" s="10">
        <v>0.81804511278195502</v>
      </c>
      <c r="Q400" s="10">
        <v>0.39139016330857429</v>
      </c>
      <c r="R400" s="10">
        <v>3.1814238148788802E-2</v>
      </c>
      <c r="S400" s="10">
        <v>0.59373910042007627</v>
      </c>
      <c r="T400" s="10">
        <v>0.47449802770915811</v>
      </c>
      <c r="U400" s="10">
        <v>0.2269736842105263</v>
      </c>
      <c r="V400" s="10">
        <v>0.6076040172166427</v>
      </c>
      <c r="W400" s="10">
        <v>0.39454212454212451</v>
      </c>
      <c r="X400" s="10">
        <v>7.4999999999999997E-2</v>
      </c>
      <c r="Y400" s="10">
        <v>0.65714285714285714</v>
      </c>
      <c r="Z400" s="10">
        <v>0.65714285714285714</v>
      </c>
      <c r="AA400" s="10">
        <v>0.44285714285714278</v>
      </c>
      <c r="AB400" s="10">
        <v>0.97142857142857142</v>
      </c>
      <c r="AC400" s="10">
        <v>0.15845883125213989</v>
      </c>
      <c r="AD400">
        <v>1.95241932688002E-2</v>
      </c>
      <c r="AE400">
        <v>0.19958866709623141</v>
      </c>
    </row>
    <row r="401" spans="1:31" hidden="1">
      <c r="A401" t="s">
        <v>88</v>
      </c>
      <c r="B401" t="s">
        <v>77</v>
      </c>
      <c r="C401" t="s">
        <v>81</v>
      </c>
      <c r="D401" t="s">
        <v>71</v>
      </c>
      <c r="E401">
        <v>9</v>
      </c>
      <c r="F401">
        <v>6.4285714285714196E-2</v>
      </c>
      <c r="G401">
        <v>5</v>
      </c>
      <c r="H401" s="10">
        <v>0.14883597883597879</v>
      </c>
      <c r="I401" s="10">
        <v>0.1094708994708994</v>
      </c>
      <c r="J401" s="10">
        <v>0.1993915343915344</v>
      </c>
      <c r="K401" s="10">
        <v>2.3152263374485602</v>
      </c>
      <c r="L401" s="10">
        <v>1.7028806584362139</v>
      </c>
      <c r="M401" s="10">
        <v>3.1016460905349801</v>
      </c>
      <c r="N401" s="10">
        <v>0.6198473282442748</v>
      </c>
      <c r="O401" s="10">
        <v>0.58023748939779474</v>
      </c>
      <c r="P401" s="10">
        <v>0.66649703138252758</v>
      </c>
      <c r="Q401" s="10">
        <v>0.13429997631940849</v>
      </c>
      <c r="R401" s="10">
        <v>8.8331076715734997E-3</v>
      </c>
      <c r="S401" s="10">
        <v>0.2540059778550301</v>
      </c>
      <c r="T401" s="10">
        <v>0.18660917636032029</v>
      </c>
      <c r="U401" s="10">
        <v>1.1904761904761901E-2</v>
      </c>
      <c r="V401" s="10">
        <v>0.3628784554629223</v>
      </c>
      <c r="W401" s="10">
        <v>0.168304244774833</v>
      </c>
      <c r="X401" s="10">
        <v>1.53846153846153E-2</v>
      </c>
      <c r="Y401" s="10">
        <v>0.28067226890756303</v>
      </c>
      <c r="Z401" s="10">
        <v>0.2</v>
      </c>
      <c r="AA401" s="10">
        <v>1.1111111111111099E-2</v>
      </c>
      <c r="AB401" s="10">
        <v>0.42222222222222211</v>
      </c>
      <c r="AC401" s="10">
        <v>0.21180550298325651</v>
      </c>
      <c r="AD401">
        <v>0.19877960875996259</v>
      </c>
      <c r="AE401">
        <v>0.25424034288213831</v>
      </c>
    </row>
    <row r="402" spans="1:31" hidden="1">
      <c r="A402" t="s">
        <v>88</v>
      </c>
      <c r="B402" t="s">
        <v>77</v>
      </c>
      <c r="C402" t="s">
        <v>82</v>
      </c>
      <c r="D402" t="s">
        <v>67</v>
      </c>
      <c r="E402">
        <v>4</v>
      </c>
      <c r="F402">
        <v>2.8571428571428501E-2</v>
      </c>
      <c r="G402">
        <v>5</v>
      </c>
      <c r="H402" s="10">
        <v>2.3966000570279599E-2</v>
      </c>
      <c r="I402" s="10">
        <v>2.1220806113365E-2</v>
      </c>
      <c r="J402" s="10">
        <v>2.74658657126912E-2</v>
      </c>
      <c r="K402" s="10">
        <v>0.83881001995978632</v>
      </c>
      <c r="L402" s="10">
        <v>0.74272821396777611</v>
      </c>
      <c r="M402" s="10">
        <v>0.961305299944192</v>
      </c>
      <c r="N402" s="10">
        <v>0.26874999999999988</v>
      </c>
      <c r="O402" s="10">
        <v>0.18382352941176469</v>
      </c>
      <c r="P402" s="10">
        <v>0.36930147058823531</v>
      </c>
      <c r="Q402" s="10">
        <v>-0.1377985905047768</v>
      </c>
      <c r="R402" s="10">
        <v>-0.22268709622118141</v>
      </c>
      <c r="S402" s="10">
        <v>-5.8185940643287803E-2</v>
      </c>
      <c r="T402" s="10">
        <v>8.2485320807088702E-2</v>
      </c>
      <c r="U402" s="10">
        <v>9.8684210526315003E-3</v>
      </c>
      <c r="V402" s="10">
        <v>0.1096095334685598</v>
      </c>
      <c r="W402" s="10">
        <v>1.85405394368785E-2</v>
      </c>
      <c r="X402" s="10">
        <v>2.2058823529411001E-3</v>
      </c>
      <c r="Y402" s="10">
        <v>2.4825581395348802E-2</v>
      </c>
      <c r="Z402" s="10">
        <v>0.6</v>
      </c>
      <c r="AA402" s="10">
        <v>7.4999999999999997E-2</v>
      </c>
      <c r="AB402" s="10">
        <v>0.75</v>
      </c>
      <c r="AC402" s="10">
        <v>3.8473317978685598E-2</v>
      </c>
      <c r="AD402">
        <v>2.7147387905090808E-16</v>
      </c>
      <c r="AE402">
        <v>0.17286805123695559</v>
      </c>
    </row>
    <row r="403" spans="1:31" hidden="1">
      <c r="A403" t="s">
        <v>88</v>
      </c>
      <c r="B403" t="s">
        <v>77</v>
      </c>
      <c r="C403" t="s">
        <v>82</v>
      </c>
      <c r="D403" t="s">
        <v>68</v>
      </c>
      <c r="E403">
        <v>21</v>
      </c>
      <c r="F403">
        <v>0.15</v>
      </c>
      <c r="G403">
        <v>5</v>
      </c>
      <c r="H403" s="10">
        <v>0.13040611867733179</v>
      </c>
      <c r="I403" s="10">
        <v>0.1101659908552334</v>
      </c>
      <c r="J403" s="10">
        <v>0.1678356223295373</v>
      </c>
      <c r="K403" s="10">
        <v>0.8693741245155453</v>
      </c>
      <c r="L403" s="10">
        <v>0.73443993903488958</v>
      </c>
      <c r="M403" s="10">
        <v>1.118904148863582</v>
      </c>
      <c r="N403" s="10">
        <v>0.3404561824729892</v>
      </c>
      <c r="O403" s="10">
        <v>0.2792717086834734</v>
      </c>
      <c r="P403" s="10">
        <v>0.38699479791916758</v>
      </c>
      <c r="Q403" s="10">
        <v>-7.2673633474736099E-2</v>
      </c>
      <c r="R403" s="10">
        <v>-0.1152010648462837</v>
      </c>
      <c r="S403" s="10">
        <v>2.4465557333770002E-3</v>
      </c>
      <c r="T403" s="10">
        <v>3.01587301587301E-2</v>
      </c>
      <c r="U403" s="10">
        <v>0</v>
      </c>
      <c r="V403" s="10">
        <v>9.1269841269841195E-2</v>
      </c>
      <c r="W403" s="10">
        <v>5.2380952380952299E-2</v>
      </c>
      <c r="X403" s="10">
        <v>0</v>
      </c>
      <c r="Y403" s="10">
        <v>0.15952380952380951</v>
      </c>
      <c r="Z403" s="10">
        <v>2.8571428571428501E-2</v>
      </c>
      <c r="AA403" s="10">
        <v>0</v>
      </c>
      <c r="AB403" s="10">
        <v>9.0476190476190405E-2</v>
      </c>
      <c r="AC403" s="10">
        <v>0.42297285255515521</v>
      </c>
      <c r="AD403">
        <v>0.33046573216277669</v>
      </c>
      <c r="AE403">
        <v>0.52159837821721089</v>
      </c>
    </row>
    <row r="404" spans="1:31" hidden="1">
      <c r="A404" t="s">
        <v>88</v>
      </c>
      <c r="B404" t="s">
        <v>77</v>
      </c>
      <c r="C404" t="s">
        <v>82</v>
      </c>
      <c r="D404" t="s">
        <v>69</v>
      </c>
      <c r="E404">
        <v>26</v>
      </c>
      <c r="F404">
        <v>0.18571428571428569</v>
      </c>
      <c r="G404">
        <v>5</v>
      </c>
      <c r="H404" s="10">
        <v>0.31190740113091892</v>
      </c>
      <c r="I404" s="10">
        <v>0.25618264047268141</v>
      </c>
      <c r="J404" s="10">
        <v>0.35481351048649917</v>
      </c>
      <c r="K404" s="10">
        <v>1.6795013907049481</v>
      </c>
      <c r="L404" s="10">
        <v>1.3794449871605921</v>
      </c>
      <c r="M404" s="10">
        <v>1.910534287234996</v>
      </c>
      <c r="N404" s="10">
        <v>0.70944669365722002</v>
      </c>
      <c r="O404" s="10">
        <v>0.65624156545209178</v>
      </c>
      <c r="P404" s="10">
        <v>0.75479082321187574</v>
      </c>
      <c r="Q404" s="10">
        <v>0.261071798582445</v>
      </c>
      <c r="R404" s="10">
        <v>5.8371440436500499E-2</v>
      </c>
      <c r="S404" s="10">
        <v>0.37895285522156402</v>
      </c>
      <c r="T404" s="10">
        <v>0.49685093657375051</v>
      </c>
      <c r="U404" s="10">
        <v>0.268113997423787</v>
      </c>
      <c r="V404" s="10">
        <v>0.632120253164557</v>
      </c>
      <c r="W404" s="10">
        <v>0.32405513468013469</v>
      </c>
      <c r="X404" s="10">
        <v>0.2271780303030303</v>
      </c>
      <c r="Y404" s="10">
        <v>0.39703703703703708</v>
      </c>
      <c r="Z404" s="10">
        <v>0.58461538461538454</v>
      </c>
      <c r="AA404" s="10">
        <v>0.28076923076923072</v>
      </c>
      <c r="AB404" s="10">
        <v>0.80384615384615388</v>
      </c>
      <c r="AC404" s="10">
        <v>0.51176854273388717</v>
      </c>
      <c r="AD404">
        <v>0.398724343362232</v>
      </c>
      <c r="AE404">
        <v>0.73495497812086386</v>
      </c>
    </row>
    <row r="405" spans="1:31" hidden="1">
      <c r="A405" t="s">
        <v>88</v>
      </c>
      <c r="B405" t="s">
        <v>77</v>
      </c>
      <c r="C405" t="s">
        <v>82</v>
      </c>
      <c r="D405" t="s">
        <v>70</v>
      </c>
      <c r="E405">
        <v>7</v>
      </c>
      <c r="F405">
        <v>0.05</v>
      </c>
      <c r="G405">
        <v>5</v>
      </c>
      <c r="H405" s="10">
        <v>0.2779366315570207</v>
      </c>
      <c r="I405" s="10">
        <v>0.20678853127534139</v>
      </c>
      <c r="J405" s="10">
        <v>0.32307315327222669</v>
      </c>
      <c r="K405" s="10">
        <v>5.5587326311404146</v>
      </c>
      <c r="L405" s="10">
        <v>4.1357706255068294</v>
      </c>
      <c r="M405" s="10">
        <v>6.4614630654445344</v>
      </c>
      <c r="N405" s="10">
        <v>0.46573576799140709</v>
      </c>
      <c r="O405" s="10">
        <v>0.42610096670247039</v>
      </c>
      <c r="P405" s="10">
        <v>0.4996777658431793</v>
      </c>
      <c r="Q405" s="10">
        <v>0.22359003051158821</v>
      </c>
      <c r="R405" s="10">
        <v>-3.6763730410405301E-2</v>
      </c>
      <c r="S405" s="10">
        <v>0.34959599252086099</v>
      </c>
      <c r="T405" s="10">
        <v>0.27056851015280847</v>
      </c>
      <c r="U405" s="10">
        <v>0.17030371203599551</v>
      </c>
      <c r="V405" s="10">
        <v>0.31155303030303028</v>
      </c>
      <c r="W405" s="10">
        <v>0.31189033189033177</v>
      </c>
      <c r="X405" s="10">
        <v>6.4935064935064901E-2</v>
      </c>
      <c r="Y405" s="10">
        <v>0.49</v>
      </c>
      <c r="Z405" s="10">
        <v>0.3428571428571428</v>
      </c>
      <c r="AA405" s="10">
        <v>0.2857142857142857</v>
      </c>
      <c r="AB405" s="10">
        <v>0.54285714285714282</v>
      </c>
      <c r="AC405" s="10">
        <v>0.79689100890956865</v>
      </c>
      <c r="AD405">
        <v>0.1255683280930753</v>
      </c>
      <c r="AE405">
        <v>0.9999810157226704</v>
      </c>
    </row>
    <row r="406" spans="1:31" hidden="1">
      <c r="A406" t="s">
        <v>88</v>
      </c>
      <c r="B406" t="s">
        <v>77</v>
      </c>
      <c r="C406" t="s">
        <v>82</v>
      </c>
      <c r="D406" t="s">
        <v>71</v>
      </c>
      <c r="E406">
        <v>9</v>
      </c>
      <c r="F406">
        <v>6.4285714285714196E-2</v>
      </c>
      <c r="G406">
        <v>5</v>
      </c>
      <c r="H406" s="10">
        <v>4.7410298564648803E-2</v>
      </c>
      <c r="I406" s="10">
        <v>4.1094238342033698E-2</v>
      </c>
      <c r="J406" s="10">
        <v>5.9688423571103398E-2</v>
      </c>
      <c r="K406" s="10">
        <v>0.73749353322787081</v>
      </c>
      <c r="L406" s="10">
        <v>0.63924370754274695</v>
      </c>
      <c r="M406" s="10">
        <v>0.92848658888383162</v>
      </c>
      <c r="N406" s="10">
        <v>0.25377438507209499</v>
      </c>
      <c r="O406" s="10">
        <v>0.1608142493638676</v>
      </c>
      <c r="P406" s="10">
        <v>0.34978795589482609</v>
      </c>
      <c r="Q406" s="10">
        <v>-0.15827504596017289</v>
      </c>
      <c r="R406" s="10">
        <v>-0.2200109762228562</v>
      </c>
      <c r="S406" s="10">
        <v>-6.3198992384531999E-2</v>
      </c>
      <c r="T406" s="10">
        <v>6.9295101553165997E-2</v>
      </c>
      <c r="U406" s="10">
        <v>0</v>
      </c>
      <c r="V406" s="10">
        <v>0.1827956989247311</v>
      </c>
      <c r="W406" s="10">
        <v>1.79271708683473E-2</v>
      </c>
      <c r="X406" s="10">
        <v>0</v>
      </c>
      <c r="Y406" s="10">
        <v>4.7058823529411702E-2</v>
      </c>
      <c r="Z406" s="10">
        <v>0.24444444444444441</v>
      </c>
      <c r="AA406" s="10">
        <v>0</v>
      </c>
      <c r="AB406" s="10">
        <v>0.65555555555555556</v>
      </c>
      <c r="AC406" s="10">
        <v>0.147749982559958</v>
      </c>
      <c r="AD406">
        <v>6.9008497113299744E-5</v>
      </c>
      <c r="AE406">
        <v>0.41748325360245669</v>
      </c>
    </row>
    <row r="407" spans="1:31" hidden="1">
      <c r="A407" t="s">
        <v>88</v>
      </c>
      <c r="B407" t="s">
        <v>77</v>
      </c>
      <c r="C407" t="s">
        <v>76</v>
      </c>
      <c r="D407" t="s">
        <v>67</v>
      </c>
      <c r="E407">
        <v>4</v>
      </c>
      <c r="F407">
        <v>2.8571428571428501E-2</v>
      </c>
      <c r="G407">
        <v>5</v>
      </c>
      <c r="H407" s="10">
        <v>4.6112433457109601E-2</v>
      </c>
      <c r="I407" s="10">
        <v>3.4990156562909297E-2</v>
      </c>
      <c r="J407" s="10">
        <v>6.97132612404327E-2</v>
      </c>
      <c r="K407" s="10">
        <v>1.613935170998837</v>
      </c>
      <c r="L407" s="10">
        <v>1.2246554797018261</v>
      </c>
      <c r="M407" s="10">
        <v>2.4399641434151471</v>
      </c>
      <c r="N407" s="10">
        <v>0.53897058823529409</v>
      </c>
      <c r="O407" s="10">
        <v>0.4641544117647059</v>
      </c>
      <c r="P407" s="10">
        <v>0.62408088235294112</v>
      </c>
      <c r="Q407" s="10">
        <v>-2.7967208115724899E-2</v>
      </c>
      <c r="R407" s="10">
        <v>-0.10633455302867249</v>
      </c>
      <c r="S407" s="10">
        <v>7.0304483441449003E-2</v>
      </c>
      <c r="T407" s="10">
        <v>8.1488203266787601E-2</v>
      </c>
      <c r="U407" s="10">
        <v>0</v>
      </c>
      <c r="V407" s="10">
        <v>0.16833030852994549</v>
      </c>
      <c r="W407" s="10">
        <v>2.00573252556836E-2</v>
      </c>
      <c r="X407" s="10">
        <v>0</v>
      </c>
      <c r="Y407" s="10">
        <v>4.5798319327730999E-2</v>
      </c>
      <c r="Z407" s="10">
        <v>0.45</v>
      </c>
      <c r="AA407" s="10">
        <v>0</v>
      </c>
      <c r="AB407" s="10">
        <v>0.97499999999999998</v>
      </c>
      <c r="AC407" s="10">
        <v>6.3370455970108194E-2</v>
      </c>
      <c r="AD407">
        <v>2.0739129444951E-3</v>
      </c>
      <c r="AE407">
        <v>0.13413913094258939</v>
      </c>
    </row>
    <row r="408" spans="1:31" hidden="1">
      <c r="A408" t="s">
        <v>88</v>
      </c>
      <c r="B408" t="s">
        <v>77</v>
      </c>
      <c r="C408" t="s">
        <v>76</v>
      </c>
      <c r="D408" t="s">
        <v>68</v>
      </c>
      <c r="E408">
        <v>21</v>
      </c>
      <c r="F408">
        <v>0.15</v>
      </c>
      <c r="G408">
        <v>5</v>
      </c>
      <c r="H408" s="10">
        <v>0.35625692072961668</v>
      </c>
      <c r="I408" s="10">
        <v>0.29998053010544018</v>
      </c>
      <c r="J408" s="10">
        <v>0.40272834207055619</v>
      </c>
      <c r="K408" s="10">
        <v>2.3750461381974448</v>
      </c>
      <c r="L408" s="10">
        <v>1.999870200702935</v>
      </c>
      <c r="M408" s="10">
        <v>2.6848556138037081</v>
      </c>
      <c r="N408" s="10">
        <v>0.77503001200480193</v>
      </c>
      <c r="O408" s="10">
        <v>0.72292917166866744</v>
      </c>
      <c r="P408" s="10">
        <v>0.81100440176070421</v>
      </c>
      <c r="Q408" s="10">
        <v>0.29764347694117049</v>
      </c>
      <c r="R408" s="10">
        <v>0.2478789109852704</v>
      </c>
      <c r="S408" s="10">
        <v>0.35037090944732951</v>
      </c>
      <c r="T408" s="10">
        <v>0.54487281801474841</v>
      </c>
      <c r="U408" s="10">
        <v>0.49560117302052781</v>
      </c>
      <c r="V408" s="10">
        <v>0.5957549912773793</v>
      </c>
      <c r="W408" s="10">
        <v>0.29173809523809519</v>
      </c>
      <c r="X408" s="10">
        <v>0.25851190476190472</v>
      </c>
      <c r="Y408" s="10">
        <v>0.32450000000000001</v>
      </c>
      <c r="Z408" s="10">
        <v>0.7047619047619047</v>
      </c>
      <c r="AA408" s="10">
        <v>0.61904761904761907</v>
      </c>
      <c r="AB408" s="10">
        <v>0.84761904761904761</v>
      </c>
      <c r="AC408" s="10">
        <v>0.32101059992563019</v>
      </c>
      <c r="AD408">
        <v>0.23994223981669999</v>
      </c>
      <c r="AE408">
        <v>0.39952144901243319</v>
      </c>
    </row>
    <row r="409" spans="1:31" hidden="1">
      <c r="A409" t="s">
        <v>88</v>
      </c>
      <c r="B409" t="s">
        <v>77</v>
      </c>
      <c r="C409" t="s">
        <v>76</v>
      </c>
      <c r="D409" t="s">
        <v>69</v>
      </c>
      <c r="E409">
        <v>26</v>
      </c>
      <c r="F409">
        <v>0.18571428571428569</v>
      </c>
      <c r="G409">
        <v>5</v>
      </c>
      <c r="H409" s="10">
        <v>0.60239951820242155</v>
      </c>
      <c r="I409" s="10">
        <v>0.55825654831714611</v>
      </c>
      <c r="J409" s="10">
        <v>0.66660748528914882</v>
      </c>
      <c r="K409" s="10">
        <v>3.243689713397655</v>
      </c>
      <c r="L409" s="10">
        <v>3.0059967986307869</v>
      </c>
      <c r="M409" s="10">
        <v>3.589424920787724</v>
      </c>
      <c r="N409" s="10">
        <v>0.92314439946018878</v>
      </c>
      <c r="O409" s="10">
        <v>0.91089743589743599</v>
      </c>
      <c r="P409" s="10">
        <v>0.93387314439946001</v>
      </c>
      <c r="Q409" s="10">
        <v>0.63886487561579985</v>
      </c>
      <c r="R409" s="10">
        <v>0.58848341292018169</v>
      </c>
      <c r="S409" s="10">
        <v>0.72146476020985728</v>
      </c>
      <c r="T409" s="10">
        <v>0.79363918658341381</v>
      </c>
      <c r="U409" s="10">
        <v>0.71190476190476193</v>
      </c>
      <c r="V409" s="10">
        <v>0.8377112946600076</v>
      </c>
      <c r="W409" s="10">
        <v>0.59040428977064929</v>
      </c>
      <c r="X409" s="10">
        <v>0.51126700680272108</v>
      </c>
      <c r="Y409" s="10">
        <v>0.68856304985337247</v>
      </c>
      <c r="Z409" s="10">
        <v>0.87692307692307703</v>
      </c>
      <c r="AA409" s="10">
        <v>0.74230769230769222</v>
      </c>
      <c r="AB409" s="10">
        <v>0.96153846153846156</v>
      </c>
      <c r="AC409" s="10">
        <v>0.47345458463078649</v>
      </c>
      <c r="AD409">
        <v>0.3666699393575063</v>
      </c>
      <c r="AE409">
        <v>0.55420025314798793</v>
      </c>
    </row>
    <row r="410" spans="1:31" hidden="1">
      <c r="A410" t="s">
        <v>88</v>
      </c>
      <c r="B410" t="s">
        <v>77</v>
      </c>
      <c r="C410" t="s">
        <v>76</v>
      </c>
      <c r="D410" t="s">
        <v>70</v>
      </c>
      <c r="E410">
        <v>7</v>
      </c>
      <c r="F410">
        <v>0.05</v>
      </c>
      <c r="G410">
        <v>5</v>
      </c>
      <c r="H410" s="10">
        <v>0.17794033883920329</v>
      </c>
      <c r="I410" s="10">
        <v>7.2697206091482697E-2</v>
      </c>
      <c r="J410" s="10">
        <v>0.29951552260929609</v>
      </c>
      <c r="K410" s="10">
        <v>3.558806776784067</v>
      </c>
      <c r="L410" s="10">
        <v>1.453944121829654</v>
      </c>
      <c r="M410" s="10">
        <v>5.9903104521859234</v>
      </c>
      <c r="N410" s="10">
        <v>0.62921589688506974</v>
      </c>
      <c r="O410" s="10">
        <v>0.55016111707841031</v>
      </c>
      <c r="P410" s="10">
        <v>0.73233082706766917</v>
      </c>
      <c r="Q410" s="10">
        <v>7.6335507903090905E-2</v>
      </c>
      <c r="R410" s="10">
        <v>4.4151078568833999E-3</v>
      </c>
      <c r="S410" s="10">
        <v>0.18297063028944599</v>
      </c>
      <c r="T410" s="10">
        <v>0.19288992462213461</v>
      </c>
      <c r="U410" s="10">
        <v>0.12862903225806449</v>
      </c>
      <c r="V410" s="10">
        <v>0.25106422937273071</v>
      </c>
      <c r="W410" s="10">
        <v>0.11798941798941789</v>
      </c>
      <c r="X410" s="10">
        <v>5.0185185185185097E-2</v>
      </c>
      <c r="Y410" s="10">
        <v>0.30833333333333329</v>
      </c>
      <c r="Z410" s="10">
        <v>0.6</v>
      </c>
      <c r="AA410" s="10">
        <v>0.14285714285714279</v>
      </c>
      <c r="AB410" s="10">
        <v>1</v>
      </c>
      <c r="AC410" s="10">
        <v>8.2906351910918996E-2</v>
      </c>
      <c r="AD410">
        <v>1.0459304533702E-2</v>
      </c>
      <c r="AE410">
        <v>0.15020374436300141</v>
      </c>
    </row>
    <row r="411" spans="1:31" hidden="1">
      <c r="A411" t="s">
        <v>88</v>
      </c>
      <c r="B411" t="s">
        <v>77</v>
      </c>
      <c r="C411" t="s">
        <v>76</v>
      </c>
      <c r="D411" t="s">
        <v>71</v>
      </c>
      <c r="E411">
        <v>9</v>
      </c>
      <c r="F411">
        <v>6.4285714285714196E-2</v>
      </c>
      <c r="G411">
        <v>5</v>
      </c>
      <c r="H411" s="10">
        <v>0.14445663017672489</v>
      </c>
      <c r="I411" s="10">
        <v>8.8021704778726895E-2</v>
      </c>
      <c r="J411" s="10">
        <v>0.21480446057497601</v>
      </c>
      <c r="K411" s="10">
        <v>2.247103136082389</v>
      </c>
      <c r="L411" s="10">
        <v>1.3692265187801971</v>
      </c>
      <c r="M411" s="10">
        <v>3.3414027200551839</v>
      </c>
      <c r="N411" s="10">
        <v>0.5977947413061917</v>
      </c>
      <c r="O411" s="10">
        <v>0.53935538592027132</v>
      </c>
      <c r="P411" s="10">
        <v>0.6412213740458016</v>
      </c>
      <c r="Q411" s="10">
        <v>0.13959211618048811</v>
      </c>
      <c r="R411" s="10">
        <v>1.3061743514615899E-2</v>
      </c>
      <c r="S411" s="10">
        <v>0.25379767100469852</v>
      </c>
      <c r="T411" s="10">
        <v>0.2643247901029116</v>
      </c>
      <c r="U411" s="10">
        <v>0.15871860211139421</v>
      </c>
      <c r="V411" s="10">
        <v>0.3169642857142857</v>
      </c>
      <c r="W411" s="10">
        <v>0.16833930704898439</v>
      </c>
      <c r="X411" s="10">
        <v>6.8064516129032193E-2</v>
      </c>
      <c r="Y411" s="10">
        <v>0.37481481481481482</v>
      </c>
      <c r="Z411" s="10">
        <v>0.4</v>
      </c>
      <c r="AA411" s="10">
        <v>0.22222222222222221</v>
      </c>
      <c r="AB411" s="10">
        <v>0.64444444444444438</v>
      </c>
      <c r="AC411" s="10">
        <v>0.187259910544264</v>
      </c>
      <c r="AD411">
        <v>0.16100413565567659</v>
      </c>
      <c r="AE411">
        <v>0.21932593693329969</v>
      </c>
    </row>
    <row r="412" spans="1:31" hidden="1">
      <c r="A412" t="s">
        <v>88</v>
      </c>
      <c r="B412" t="s">
        <v>77</v>
      </c>
      <c r="C412" t="s">
        <v>83</v>
      </c>
      <c r="D412" t="s">
        <v>67</v>
      </c>
      <c r="E412">
        <v>4</v>
      </c>
      <c r="F412">
        <v>2.8571428571428501E-2</v>
      </c>
      <c r="G412">
        <v>5</v>
      </c>
      <c r="H412" s="10">
        <v>2.8772040541872199E-2</v>
      </c>
      <c r="I412" s="10">
        <v>2.26267519984811E-2</v>
      </c>
      <c r="J412" s="10">
        <v>3.72678085464044E-2</v>
      </c>
      <c r="K412" s="10">
        <v>1.007021418965528</v>
      </c>
      <c r="L412" s="10">
        <v>0.79193631994683922</v>
      </c>
      <c r="M412" s="10">
        <v>1.304373299124157</v>
      </c>
      <c r="N412" s="10">
        <v>0.3770220588235294</v>
      </c>
      <c r="O412" s="10">
        <v>0.25193014705882349</v>
      </c>
      <c r="P412" s="10">
        <v>0.50624999999999998</v>
      </c>
      <c r="Q412" s="10">
        <v>-2.1586563930088001E-3</v>
      </c>
      <c r="R412" s="10">
        <v>-7.5992582752094806E-2</v>
      </c>
      <c r="S412" s="10">
        <v>5.2997396613770703E-2</v>
      </c>
      <c r="T412" s="10">
        <v>0.11741624787426309</v>
      </c>
      <c r="U412" s="10">
        <v>6.5021810250817796E-2</v>
      </c>
      <c r="V412" s="10">
        <v>0.14969696969696969</v>
      </c>
      <c r="W412" s="10">
        <v>2.7298226750723902E-2</v>
      </c>
      <c r="X412" s="10">
        <v>1.5843989769820901E-2</v>
      </c>
      <c r="Y412" s="10">
        <v>3.55151951087933E-2</v>
      </c>
      <c r="Z412" s="10">
        <v>0.7</v>
      </c>
      <c r="AA412" s="10">
        <v>0.3</v>
      </c>
      <c r="AB412" s="10">
        <v>0.97499999999999998</v>
      </c>
      <c r="AC412" s="10">
        <v>2.28588514471573E-2</v>
      </c>
      <c r="AD412">
        <v>1.35049266860708E-2</v>
      </c>
      <c r="AE412">
        <v>3.5635742596002502E-2</v>
      </c>
    </row>
    <row r="413" spans="1:31" hidden="1">
      <c r="A413" t="s">
        <v>88</v>
      </c>
      <c r="B413" t="s">
        <v>77</v>
      </c>
      <c r="C413" t="s">
        <v>83</v>
      </c>
      <c r="D413" t="s">
        <v>68</v>
      </c>
      <c r="E413">
        <v>21</v>
      </c>
      <c r="F413">
        <v>0.15</v>
      </c>
      <c r="G413">
        <v>5</v>
      </c>
      <c r="H413" s="10">
        <v>0.2373915939293372</v>
      </c>
      <c r="I413" s="10">
        <v>0.1806993184010024</v>
      </c>
      <c r="J413" s="10">
        <v>0.29313302328668689</v>
      </c>
      <c r="K413" s="10">
        <v>1.5826106261955819</v>
      </c>
      <c r="L413" s="10">
        <v>1.2046621226733489</v>
      </c>
      <c r="M413" s="10">
        <v>1.9542201552445799</v>
      </c>
      <c r="N413" s="10">
        <v>0.58507402961184474</v>
      </c>
      <c r="O413" s="10">
        <v>0.54309723889555817</v>
      </c>
      <c r="P413" s="10">
        <v>0.61944777911164461</v>
      </c>
      <c r="Q413" s="10">
        <v>5.4130419505831098E-2</v>
      </c>
      <c r="R413" s="10">
        <v>-3.5037233006815799E-2</v>
      </c>
      <c r="S413" s="10">
        <v>0.1999443516738024</v>
      </c>
      <c r="T413" s="10">
        <v>0.1897755065085848</v>
      </c>
      <c r="U413" s="10">
        <v>1.1494252873563199E-2</v>
      </c>
      <c r="V413" s="10">
        <v>0.40623804056639878</v>
      </c>
      <c r="W413" s="10">
        <v>0.2449106449106449</v>
      </c>
      <c r="X413" s="10">
        <v>1.4529914529914501E-2</v>
      </c>
      <c r="Y413" s="10">
        <v>0.62307692307692297</v>
      </c>
      <c r="Z413" s="10">
        <v>0.26666666666666661</v>
      </c>
      <c r="AA413" s="10">
        <v>9.5238095238095004E-3</v>
      </c>
      <c r="AB413" s="10">
        <v>0.75714285714285712</v>
      </c>
      <c r="AC413" s="10">
        <v>0.27657658329596008</v>
      </c>
      <c r="AD413">
        <v>8.91490117863767E-2</v>
      </c>
      <c r="AE413">
        <v>0.4322805163984641</v>
      </c>
    </row>
    <row r="414" spans="1:31" hidden="1">
      <c r="A414" t="s">
        <v>88</v>
      </c>
      <c r="B414" t="s">
        <v>77</v>
      </c>
      <c r="C414" t="s">
        <v>83</v>
      </c>
      <c r="D414" t="s">
        <v>69</v>
      </c>
      <c r="E414">
        <v>26</v>
      </c>
      <c r="F414">
        <v>0.18571428571428569</v>
      </c>
      <c r="G414">
        <v>5</v>
      </c>
      <c r="H414" s="10">
        <v>0.48929105851798099</v>
      </c>
      <c r="I414" s="10">
        <v>0.41502734128704399</v>
      </c>
      <c r="J414" s="10">
        <v>0.58270511483538712</v>
      </c>
      <c r="K414" s="10">
        <v>2.6346441612506668</v>
      </c>
      <c r="L414" s="10">
        <v>2.2347626069302371</v>
      </c>
      <c r="M414" s="10">
        <v>3.1376429260366998</v>
      </c>
      <c r="N414" s="10">
        <v>0.70698380566801622</v>
      </c>
      <c r="O414" s="10">
        <v>0.65610661268556014</v>
      </c>
      <c r="P414" s="10">
        <v>0.77213225371120109</v>
      </c>
      <c r="Q414" s="10">
        <v>0.4332550709775741</v>
      </c>
      <c r="R414" s="10">
        <v>0.34999966273025418</v>
      </c>
      <c r="S414" s="10">
        <v>0.54621093701831636</v>
      </c>
      <c r="T414" s="10">
        <v>0.487572631913541</v>
      </c>
      <c r="U414" s="10">
        <v>0.38437500000000002</v>
      </c>
      <c r="V414" s="10">
        <v>0.57294977749523202</v>
      </c>
      <c r="W414" s="10">
        <v>0.5951115061409179</v>
      </c>
      <c r="X414" s="10">
        <v>0.50624999999999998</v>
      </c>
      <c r="Y414" s="10">
        <v>0.74592760180995465</v>
      </c>
      <c r="Z414" s="10">
        <v>0.46923076923076917</v>
      </c>
      <c r="AA414" s="10">
        <v>0.3576923076923077</v>
      </c>
      <c r="AB414" s="10">
        <v>0.56923076923076921</v>
      </c>
      <c r="AC414" s="10">
        <v>0.1215668748503913</v>
      </c>
      <c r="AD414">
        <v>6.3829733309321193E-2</v>
      </c>
      <c r="AE414">
        <v>0.22395758468992269</v>
      </c>
    </row>
    <row r="415" spans="1:31" hidden="1">
      <c r="A415" t="s">
        <v>88</v>
      </c>
      <c r="B415" t="s">
        <v>77</v>
      </c>
      <c r="C415" t="s">
        <v>83</v>
      </c>
      <c r="D415" t="s">
        <v>70</v>
      </c>
      <c r="E415">
        <v>7</v>
      </c>
      <c r="F415">
        <v>0.05</v>
      </c>
      <c r="G415">
        <v>5</v>
      </c>
      <c r="H415" s="10">
        <v>7.3133071727801702E-2</v>
      </c>
      <c r="I415" s="10">
        <v>5.1528094471358102E-2</v>
      </c>
      <c r="J415" s="10">
        <v>0.12867936127251511</v>
      </c>
      <c r="K415" s="10">
        <v>1.462661434556036</v>
      </c>
      <c r="L415" s="10">
        <v>1.030561889427162</v>
      </c>
      <c r="M415" s="10">
        <v>2.5735872254503032</v>
      </c>
      <c r="N415" s="10">
        <v>0.4809881847475832</v>
      </c>
      <c r="O415" s="10">
        <v>0.40628356605800209</v>
      </c>
      <c r="P415" s="10">
        <v>0.59779806659505907</v>
      </c>
      <c r="Q415" s="10">
        <v>-2.4932173651087E-3</v>
      </c>
      <c r="R415" s="10">
        <v>-6.5966803697684706E-2</v>
      </c>
      <c r="S415" s="10">
        <v>4.7625140542360701E-2</v>
      </c>
      <c r="T415" s="10">
        <v>0.1920493050986001</v>
      </c>
      <c r="U415" s="10">
        <v>0.14398734177215189</v>
      </c>
      <c r="V415" s="10">
        <v>0.2157859078590785</v>
      </c>
      <c r="W415" s="10">
        <v>4.8740253705660701E-2</v>
      </c>
      <c r="X415" s="10">
        <v>3.83653846153846E-2</v>
      </c>
      <c r="Y415" s="10">
        <v>5.5928105949127602E-2</v>
      </c>
      <c r="Z415" s="10">
        <v>0.77142857142857135</v>
      </c>
      <c r="AA415" s="10">
        <v>0.44285714285714278</v>
      </c>
      <c r="AB415" s="10">
        <v>1</v>
      </c>
      <c r="AC415" s="10">
        <v>3.9369045911727803E-2</v>
      </c>
      <c r="AD415">
        <v>1.20004616129361E-2</v>
      </c>
      <c r="AE415">
        <v>7.0036330720146797E-2</v>
      </c>
    </row>
    <row r="416" spans="1:31" hidden="1">
      <c r="A416" t="s">
        <v>88</v>
      </c>
      <c r="B416" t="s">
        <v>77</v>
      </c>
      <c r="C416" t="s">
        <v>83</v>
      </c>
      <c r="D416" t="s">
        <v>71</v>
      </c>
      <c r="E416">
        <v>9</v>
      </c>
      <c r="F416">
        <v>6.4285714285714196E-2</v>
      </c>
      <c r="G416">
        <v>5</v>
      </c>
      <c r="H416" s="10">
        <v>6.9212570414556099E-2</v>
      </c>
      <c r="I416" s="10">
        <v>5.9479788635273201E-2</v>
      </c>
      <c r="J416" s="10">
        <v>8.1171564929101103E-2</v>
      </c>
      <c r="K416" s="10">
        <v>1.0766399842264289</v>
      </c>
      <c r="L416" s="10">
        <v>0.92524115654869521</v>
      </c>
      <c r="M416" s="10">
        <v>1.2626687877860181</v>
      </c>
      <c r="N416" s="10">
        <v>0.40687022900763359</v>
      </c>
      <c r="O416" s="10">
        <v>0.31446140797285838</v>
      </c>
      <c r="P416" s="10">
        <v>0.48108566581849022</v>
      </c>
      <c r="Q416" s="10">
        <v>-8.4315549163817005E-3</v>
      </c>
      <c r="R416" s="10">
        <v>-5.43660127049772E-2</v>
      </c>
      <c r="S416" s="10">
        <v>3.0047566272826301E-2</v>
      </c>
      <c r="T416" s="10">
        <v>0.128542557606597</v>
      </c>
      <c r="U416" s="10">
        <v>1.0204081632653E-2</v>
      </c>
      <c r="V416" s="10">
        <v>0.2481432360742705</v>
      </c>
      <c r="W416" s="10">
        <v>5.1745006617570297E-2</v>
      </c>
      <c r="X416" s="10">
        <v>4.7619047619046999E-3</v>
      </c>
      <c r="Y416" s="10">
        <v>7.6127320954907096E-2</v>
      </c>
      <c r="Z416" s="10">
        <v>0.31111111111111112</v>
      </c>
      <c r="AA416" s="10">
        <v>1.1111111111111099E-2</v>
      </c>
      <c r="AB416" s="10">
        <v>0.92222222222222217</v>
      </c>
      <c r="AC416" s="10">
        <v>8.2685521929811295E-2</v>
      </c>
      <c r="AD416">
        <v>3.1789552676229599E-2</v>
      </c>
      <c r="AE416">
        <v>0.14036557762617449</v>
      </c>
    </row>
    <row r="417" spans="1:31" hidden="1">
      <c r="A417" t="s">
        <v>88</v>
      </c>
      <c r="B417" t="s">
        <v>77</v>
      </c>
      <c r="C417" t="s">
        <v>84</v>
      </c>
      <c r="D417" t="s">
        <v>67</v>
      </c>
      <c r="E417">
        <v>4</v>
      </c>
      <c r="F417">
        <v>2.8571428571428501E-2</v>
      </c>
      <c r="G417">
        <v>5</v>
      </c>
      <c r="H417" s="10">
        <v>0.1076579410108523</v>
      </c>
      <c r="I417" s="10">
        <v>3.0688636490335E-2</v>
      </c>
      <c r="J417" s="10">
        <v>0.2853795114990767</v>
      </c>
      <c r="K417" s="10">
        <v>3.7680279353798332</v>
      </c>
      <c r="L417" s="10">
        <v>1.0741022771617259</v>
      </c>
      <c r="M417" s="10">
        <v>9.9882829024676862</v>
      </c>
      <c r="N417" s="10">
        <v>0.63069852941176463</v>
      </c>
      <c r="O417" s="10">
        <v>0.44889705882352943</v>
      </c>
      <c r="P417" s="10">
        <v>0.78584558823529405</v>
      </c>
      <c r="Q417" s="10">
        <v>9.5352691321822905E-2</v>
      </c>
      <c r="R417" s="10">
        <v>7.3723950513149603E-2</v>
      </c>
      <c r="S417" s="10">
        <v>0.1484286015841299</v>
      </c>
      <c r="T417" s="10">
        <v>0.17774928989113131</v>
      </c>
      <c r="U417" s="10">
        <v>0.1508118746924717</v>
      </c>
      <c r="V417" s="10">
        <v>0.21206690561529271</v>
      </c>
      <c r="W417" s="10">
        <v>4.4267015767461698E-2</v>
      </c>
      <c r="X417" s="10">
        <v>3.4508474576271098E-2</v>
      </c>
      <c r="Y417" s="10">
        <v>5.2563226247436701E-2</v>
      </c>
      <c r="Z417" s="10">
        <v>0.8</v>
      </c>
      <c r="AA417" s="10">
        <v>0.52500000000000002</v>
      </c>
      <c r="AB417" s="10">
        <v>1</v>
      </c>
      <c r="AC417" s="10">
        <v>1.0135606021587499E-2</v>
      </c>
      <c r="AD417">
        <v>5.4925332791663003E-3</v>
      </c>
      <c r="AE417">
        <v>1.31343021128541E-2</v>
      </c>
    </row>
    <row r="418" spans="1:31" hidden="1">
      <c r="A418" t="s">
        <v>88</v>
      </c>
      <c r="B418" t="s">
        <v>77</v>
      </c>
      <c r="C418" t="s">
        <v>84</v>
      </c>
      <c r="D418" t="s">
        <v>68</v>
      </c>
      <c r="E418">
        <v>21</v>
      </c>
      <c r="F418">
        <v>0.15</v>
      </c>
      <c r="G418">
        <v>5</v>
      </c>
      <c r="H418" s="10">
        <v>0.33458035158842941</v>
      </c>
      <c r="I418" s="10">
        <v>0.27547947766136549</v>
      </c>
      <c r="J418" s="10">
        <v>0.40622290141792022</v>
      </c>
      <c r="K418" s="10">
        <v>2.2305356772561962</v>
      </c>
      <c r="L418" s="10">
        <v>1.8365298510757699</v>
      </c>
      <c r="M418" s="10">
        <v>2.708152676119469</v>
      </c>
      <c r="N418" s="10">
        <v>0.73653461384553809</v>
      </c>
      <c r="O418" s="10">
        <v>0.67971188475390154</v>
      </c>
      <c r="P418" s="10">
        <v>0.76154461784713878</v>
      </c>
      <c r="Q418" s="10">
        <v>0.22924259179228151</v>
      </c>
      <c r="R418" s="10">
        <v>1.6891554075553799E-2</v>
      </c>
      <c r="S418" s="10">
        <v>0.35078290370154258</v>
      </c>
      <c r="T418" s="10">
        <v>0.37210215850567879</v>
      </c>
      <c r="U418" s="10">
        <v>7.5223745326838107E-2</v>
      </c>
      <c r="V418" s="10">
        <v>0.55969271003595944</v>
      </c>
      <c r="W418" s="10">
        <v>0.30699549298627637</v>
      </c>
      <c r="X418" s="10">
        <v>0.15918367346938769</v>
      </c>
      <c r="Y418" s="10">
        <v>0.38684863523573199</v>
      </c>
      <c r="Z418" s="10">
        <v>0.419047619047619</v>
      </c>
      <c r="AA418" s="10">
        <v>6.6666666666666596E-2</v>
      </c>
      <c r="AB418" s="10">
        <v>0.7</v>
      </c>
      <c r="AC418" s="10">
        <v>0.45955024279391948</v>
      </c>
      <c r="AD418">
        <v>9.79593710610316E-2</v>
      </c>
      <c r="AE418">
        <v>0.83439078381552767</v>
      </c>
    </row>
    <row r="419" spans="1:31" hidden="1">
      <c r="A419" t="s">
        <v>88</v>
      </c>
      <c r="B419" t="s">
        <v>77</v>
      </c>
      <c r="C419" t="s">
        <v>84</v>
      </c>
      <c r="D419" t="s">
        <v>69</v>
      </c>
      <c r="E419">
        <v>26</v>
      </c>
      <c r="F419">
        <v>0.18571428571428569</v>
      </c>
      <c r="G419">
        <v>5</v>
      </c>
      <c r="H419" s="10">
        <v>0.57203214780602862</v>
      </c>
      <c r="I419" s="10">
        <v>0.4994406247806143</v>
      </c>
      <c r="J419" s="10">
        <v>0.63880240405110955</v>
      </c>
      <c r="K419" s="10">
        <v>3.0801731035709232</v>
      </c>
      <c r="L419" s="10">
        <v>2.689295671895616</v>
      </c>
      <c r="M419" s="10">
        <v>3.4397052525828968</v>
      </c>
      <c r="N419" s="10">
        <v>0.90101214574898802</v>
      </c>
      <c r="O419" s="10">
        <v>0.87607962213225377</v>
      </c>
      <c r="P419" s="10">
        <v>0.934919028340081</v>
      </c>
      <c r="Q419" s="10">
        <v>0.59582098937195693</v>
      </c>
      <c r="R419" s="10">
        <v>0.50162091651964436</v>
      </c>
      <c r="S419" s="10">
        <v>0.68681548933899861</v>
      </c>
      <c r="T419" s="10">
        <v>0.77290625981051053</v>
      </c>
      <c r="U419" s="10">
        <v>0.72048539695598524</v>
      </c>
      <c r="V419" s="10">
        <v>0.83553672604767493</v>
      </c>
      <c r="W419" s="10">
        <v>0.54620617477760336</v>
      </c>
      <c r="X419" s="10">
        <v>0.4502354788069074</v>
      </c>
      <c r="Y419" s="10">
        <v>0.66153846153846152</v>
      </c>
      <c r="Z419" s="10">
        <v>0.86923076923076936</v>
      </c>
      <c r="AA419" s="10">
        <v>0.81153846153846154</v>
      </c>
      <c r="AB419" s="10">
        <v>0.92307692307692324</v>
      </c>
      <c r="AC419" s="10">
        <v>0.10499213016553589</v>
      </c>
      <c r="AD419">
        <v>4.2147158942461398E-2</v>
      </c>
      <c r="AE419">
        <v>0.20064924809276771</v>
      </c>
    </row>
    <row r="420" spans="1:31" hidden="1">
      <c r="A420" t="s">
        <v>88</v>
      </c>
      <c r="B420" t="s">
        <v>77</v>
      </c>
      <c r="C420" t="s">
        <v>84</v>
      </c>
      <c r="D420" t="s">
        <v>70</v>
      </c>
      <c r="E420">
        <v>7</v>
      </c>
      <c r="F420">
        <v>0.05</v>
      </c>
      <c r="G420">
        <v>5</v>
      </c>
      <c r="H420" s="10">
        <v>0.11772906406771851</v>
      </c>
      <c r="I420" s="10">
        <v>7.2568057975519198E-2</v>
      </c>
      <c r="J420" s="10">
        <v>0.22098814965486979</v>
      </c>
      <c r="K420" s="10">
        <v>2.3545812813543709</v>
      </c>
      <c r="L420" s="10">
        <v>1.451361159510385</v>
      </c>
      <c r="M420" s="10">
        <v>4.4197629930973958</v>
      </c>
      <c r="N420" s="10">
        <v>0.62620837808807739</v>
      </c>
      <c r="O420" s="10">
        <v>0.55671321160042975</v>
      </c>
      <c r="P420" s="10">
        <v>0.71245972073039743</v>
      </c>
      <c r="Q420" s="10">
        <v>7.53735187606933E-2</v>
      </c>
      <c r="R420" s="10">
        <v>2.3812973329536701E-2</v>
      </c>
      <c r="S420" s="10">
        <v>0.11886821786883869</v>
      </c>
      <c r="T420" s="10">
        <v>0.23579277769567811</v>
      </c>
      <c r="U420" s="10">
        <v>0.18779342723004691</v>
      </c>
      <c r="V420" s="10">
        <v>0.26711309523809518</v>
      </c>
      <c r="W420" s="10">
        <v>6.4172000478443597E-2</v>
      </c>
      <c r="X420" s="10">
        <v>5.3028798411122097E-2</v>
      </c>
      <c r="Y420" s="10">
        <v>7.3319327731092399E-2</v>
      </c>
      <c r="Z420" s="10">
        <v>0.74285714285714277</v>
      </c>
      <c r="AA420" s="10">
        <v>0.45714285714285707</v>
      </c>
      <c r="AB420" s="10">
        <v>0.8571428571428571</v>
      </c>
      <c r="AC420" s="10">
        <v>8.4063653117044997E-3</v>
      </c>
      <c r="AD420">
        <v>5.6432505037620996E-3</v>
      </c>
      <c r="AE420">
        <v>1.4215068149132299E-2</v>
      </c>
    </row>
    <row r="421" spans="1:31" hidden="1">
      <c r="A421" t="s">
        <v>88</v>
      </c>
      <c r="B421" t="s">
        <v>77</v>
      </c>
      <c r="C421" t="s">
        <v>84</v>
      </c>
      <c r="D421" t="s">
        <v>71</v>
      </c>
      <c r="E421">
        <v>9</v>
      </c>
      <c r="F421">
        <v>6.4285714285714196E-2</v>
      </c>
      <c r="G421">
        <v>5</v>
      </c>
      <c r="H421" s="10">
        <v>0.1319620810275389</v>
      </c>
      <c r="I421" s="10">
        <v>9.0579560403486595E-2</v>
      </c>
      <c r="J421" s="10">
        <v>0.2055937047693244</v>
      </c>
      <c r="K421" s="10">
        <v>2.0527434826506061</v>
      </c>
      <c r="L421" s="10">
        <v>1.409015384054237</v>
      </c>
      <c r="M421" s="10">
        <v>3.1981242964117138</v>
      </c>
      <c r="N421" s="10">
        <v>0.5245122985581</v>
      </c>
      <c r="O421" s="10">
        <v>0.47625106022052582</v>
      </c>
      <c r="P421" s="10">
        <v>0.56072943172179801</v>
      </c>
      <c r="Q421" s="10">
        <v>9.2762126736818398E-2</v>
      </c>
      <c r="R421" s="10">
        <v>2.7278442109351899E-2</v>
      </c>
      <c r="S421" s="10">
        <v>0.13390093531668121</v>
      </c>
      <c r="T421" s="10">
        <v>0.224333928414925</v>
      </c>
      <c r="U421" s="10">
        <v>0.13058943089430891</v>
      </c>
      <c r="V421" s="10">
        <v>0.27029169308814199</v>
      </c>
      <c r="W421" s="10">
        <v>0.12870055603868549</v>
      </c>
      <c r="X421" s="10">
        <v>6.5196458218040904E-2</v>
      </c>
      <c r="Y421" s="10">
        <v>0.1966666666666666</v>
      </c>
      <c r="Z421" s="10">
        <v>0.53333333333333344</v>
      </c>
      <c r="AA421" s="10">
        <v>0.1222222222222222</v>
      </c>
      <c r="AB421" s="10">
        <v>1</v>
      </c>
      <c r="AC421" s="10">
        <v>8.67886943022846E-2</v>
      </c>
      <c r="AD421">
        <v>2.6639985262354999E-3</v>
      </c>
      <c r="AE421">
        <v>0.22171444037721361</v>
      </c>
    </row>
    <row r="422" spans="1:31">
      <c r="A422" t="s">
        <v>88</v>
      </c>
      <c r="B422" t="s">
        <v>78</v>
      </c>
      <c r="C422" t="s">
        <v>80</v>
      </c>
      <c r="D422" t="s">
        <v>67</v>
      </c>
      <c r="E422">
        <v>4</v>
      </c>
      <c r="F422">
        <v>2.8985507246376802E-2</v>
      </c>
      <c r="G422">
        <v>5</v>
      </c>
      <c r="H422" s="10">
        <v>0.25000162650352181</v>
      </c>
      <c r="I422" s="10">
        <v>0.1277911893071467</v>
      </c>
      <c r="J422" s="10">
        <v>0.35195246953807091</v>
      </c>
      <c r="K422" s="10">
        <v>8.6250561143715014</v>
      </c>
      <c r="L422" s="10">
        <v>4.4087960310965624</v>
      </c>
      <c r="M422" s="10">
        <v>12.14236019906345</v>
      </c>
      <c r="N422" s="10">
        <v>0.77985074626865669</v>
      </c>
      <c r="O422" s="10">
        <v>0.61044776119402988</v>
      </c>
      <c r="P422" s="10">
        <v>0.90438432835820881</v>
      </c>
      <c r="Q422" s="10">
        <v>0.15956732284347261</v>
      </c>
      <c r="R422" s="10">
        <v>2.8786891962919201E-2</v>
      </c>
      <c r="S422" s="10">
        <v>0.22741661901531249</v>
      </c>
      <c r="T422" s="10">
        <v>0.2229615657973866</v>
      </c>
      <c r="U422" s="10">
        <v>0.1353846153846153</v>
      </c>
      <c r="V422" s="10">
        <v>0.29365671641791041</v>
      </c>
      <c r="W422" s="10">
        <v>0.13436010963525191</v>
      </c>
      <c r="X422" s="10">
        <v>3.6875395319417997E-2</v>
      </c>
      <c r="Y422" s="10">
        <v>0.245</v>
      </c>
      <c r="Z422" s="10">
        <v>0.45</v>
      </c>
      <c r="AA422" s="10">
        <v>0.25</v>
      </c>
      <c r="AB422" s="10">
        <v>0.95</v>
      </c>
      <c r="AC422" s="10">
        <v>0.3798511074501339</v>
      </c>
      <c r="AD422">
        <v>1.13594653239303E-2</v>
      </c>
      <c r="AE422">
        <v>0.94572779353690839</v>
      </c>
    </row>
    <row r="423" spans="1:31">
      <c r="A423" t="s">
        <v>88</v>
      </c>
      <c r="B423" t="s">
        <v>78</v>
      </c>
      <c r="C423" t="s">
        <v>80</v>
      </c>
      <c r="D423" t="s">
        <v>68</v>
      </c>
      <c r="E423">
        <v>20</v>
      </c>
      <c r="F423">
        <v>0.14492753623188401</v>
      </c>
      <c r="G423">
        <v>5</v>
      </c>
      <c r="H423" s="10">
        <v>0.24454188308182781</v>
      </c>
      <c r="I423" s="10">
        <v>0.18572897096581409</v>
      </c>
      <c r="J423" s="10">
        <v>0.28355244602698781</v>
      </c>
      <c r="K423" s="10">
        <v>1.6873389932646119</v>
      </c>
      <c r="L423" s="10">
        <v>1.2815298996641169</v>
      </c>
      <c r="M423" s="10">
        <v>1.956511877586216</v>
      </c>
      <c r="N423" s="10">
        <v>0.57796610169491525</v>
      </c>
      <c r="O423" s="10">
        <v>0.51402542372881366</v>
      </c>
      <c r="P423" s="10">
        <v>0.63114406779661014</v>
      </c>
      <c r="Q423" s="10">
        <v>0.114596640197212</v>
      </c>
      <c r="R423" s="10">
        <v>3.6239145058086998E-3</v>
      </c>
      <c r="S423" s="10">
        <v>0.2530903555435618</v>
      </c>
      <c r="T423" s="10">
        <v>0.25246203532908379</v>
      </c>
      <c r="U423" s="10">
        <v>6.5867059769498706E-2</v>
      </c>
      <c r="V423" s="10">
        <v>0.41390290298569182</v>
      </c>
      <c r="W423" s="10">
        <v>0.28054740957966767</v>
      </c>
      <c r="X423" s="10">
        <v>0.14882697947214071</v>
      </c>
      <c r="Y423" s="10">
        <v>0.48333333333333328</v>
      </c>
      <c r="Z423" s="10">
        <v>0.28999999999999998</v>
      </c>
      <c r="AA423" s="10">
        <v>5.5E-2</v>
      </c>
      <c r="AB423" s="10">
        <v>0.45</v>
      </c>
      <c r="AC423" s="10">
        <v>0.49938091905999588</v>
      </c>
      <c r="AD423">
        <v>4.2160752814990397E-2</v>
      </c>
      <c r="AE423">
        <v>0.99919100591508325</v>
      </c>
    </row>
    <row r="424" spans="1:31">
      <c r="A424" t="s">
        <v>88</v>
      </c>
      <c r="B424" t="s">
        <v>78</v>
      </c>
      <c r="C424" t="s">
        <v>80</v>
      </c>
      <c r="D424" t="s">
        <v>69</v>
      </c>
      <c r="E424">
        <v>26</v>
      </c>
      <c r="F424">
        <v>0.1884057971014492</v>
      </c>
      <c r="G424">
        <v>5</v>
      </c>
      <c r="H424" s="10">
        <v>0.47247469691121918</v>
      </c>
      <c r="I424" s="10">
        <v>0.4306875252254968</v>
      </c>
      <c r="J424" s="10">
        <v>0.51810136483165448</v>
      </c>
      <c r="K424" s="10">
        <v>2.507750314374932</v>
      </c>
      <c r="L424" s="10">
        <v>2.2859568646584059</v>
      </c>
      <c r="M424" s="10">
        <v>2.7499226287218579</v>
      </c>
      <c r="N424" s="10">
        <v>0.80154532967032976</v>
      </c>
      <c r="O424" s="10">
        <v>0.73756868131868136</v>
      </c>
      <c r="P424" s="10">
        <v>0.86543612637362644</v>
      </c>
      <c r="Q424" s="10">
        <v>0.47163897670942651</v>
      </c>
      <c r="R424" s="10">
        <v>0.3776517365774566</v>
      </c>
      <c r="S424" s="10">
        <v>0.54840759375736081</v>
      </c>
      <c r="T424" s="10">
        <v>0.66673056374009465</v>
      </c>
      <c r="U424" s="10">
        <v>0.5099451671863241</v>
      </c>
      <c r="V424" s="10">
        <v>0.78033197993790304</v>
      </c>
      <c r="W424" s="10">
        <v>0.4646883901055916</v>
      </c>
      <c r="X424" s="10">
        <v>0.42878787878787877</v>
      </c>
      <c r="Y424" s="10">
        <v>0.48717253839205049</v>
      </c>
      <c r="Z424" s="10">
        <v>0.7615384615384615</v>
      </c>
      <c r="AA424" s="10">
        <v>0.51923076923076927</v>
      </c>
      <c r="AB424" s="10">
        <v>0.95384615384615401</v>
      </c>
      <c r="AC424" s="10">
        <v>0.1688299533255963</v>
      </c>
      <c r="AD424">
        <v>4.3907006010865099E-2</v>
      </c>
      <c r="AE424">
        <v>0.33157639067120642</v>
      </c>
    </row>
    <row r="425" spans="1:31">
      <c r="A425" t="s">
        <v>88</v>
      </c>
      <c r="B425" t="s">
        <v>78</v>
      </c>
      <c r="C425" t="s">
        <v>80</v>
      </c>
      <c r="D425" t="s">
        <v>70</v>
      </c>
      <c r="E425">
        <v>7</v>
      </c>
      <c r="F425">
        <v>5.0724637681159403E-2</v>
      </c>
      <c r="G425">
        <v>5</v>
      </c>
      <c r="H425" s="10">
        <v>0.41246008383159438</v>
      </c>
      <c r="I425" s="10">
        <v>0.28662198750368229</v>
      </c>
      <c r="J425" s="10">
        <v>0.62314279287963492</v>
      </c>
      <c r="K425" s="10">
        <v>8.1313559383942895</v>
      </c>
      <c r="L425" s="10">
        <v>5.6505477536440223</v>
      </c>
      <c r="M425" s="10">
        <v>12.284815059627091</v>
      </c>
      <c r="N425" s="10">
        <v>0.80087241003271536</v>
      </c>
      <c r="O425" s="10">
        <v>0.72649945474372957</v>
      </c>
      <c r="P425" s="10">
        <v>0.86314067611777523</v>
      </c>
      <c r="Q425" s="10">
        <v>0.32018091023970308</v>
      </c>
      <c r="R425" s="10">
        <v>0.2056723532304798</v>
      </c>
      <c r="S425" s="10">
        <v>0.43736489340705859</v>
      </c>
      <c r="T425" s="10">
        <v>0.31583268516117879</v>
      </c>
      <c r="U425" s="10">
        <v>0.17241379310344829</v>
      </c>
      <c r="V425" s="10">
        <v>0.50939849624060152</v>
      </c>
      <c r="W425" s="10">
        <v>0.53615763546798034</v>
      </c>
      <c r="X425" s="10">
        <v>0.13842364532019699</v>
      </c>
      <c r="Y425" s="10">
        <v>1</v>
      </c>
      <c r="Z425" s="10">
        <v>0.39999999999999991</v>
      </c>
      <c r="AA425" s="10">
        <v>0.14285714285714279</v>
      </c>
      <c r="AB425" s="10">
        <v>0.5714285714285714</v>
      </c>
      <c r="AC425" s="10">
        <v>0.44168547498680472</v>
      </c>
      <c r="AD425">
        <v>2.6746662999039699E-2</v>
      </c>
      <c r="AE425">
        <v>0.99245676709014841</v>
      </c>
    </row>
    <row r="426" spans="1:31">
      <c r="A426" t="s">
        <v>88</v>
      </c>
      <c r="B426" t="s">
        <v>78</v>
      </c>
      <c r="C426" t="s">
        <v>80</v>
      </c>
      <c r="D426" t="s">
        <v>71</v>
      </c>
      <c r="E426">
        <v>9</v>
      </c>
      <c r="F426">
        <v>6.5217391304347797E-2</v>
      </c>
      <c r="G426">
        <v>5</v>
      </c>
      <c r="H426" s="10">
        <v>0.1349380025519544</v>
      </c>
      <c r="I426" s="10">
        <v>9.9133200470908803E-2</v>
      </c>
      <c r="J426" s="10">
        <v>0.16596177429469611</v>
      </c>
      <c r="K426" s="10">
        <v>2.0690493724633021</v>
      </c>
      <c r="L426" s="10">
        <v>1.520042407220602</v>
      </c>
      <c r="M426" s="10">
        <v>2.544747205852008</v>
      </c>
      <c r="N426" s="10">
        <v>0.55676141257536604</v>
      </c>
      <c r="O426" s="10">
        <v>0.46072351421188629</v>
      </c>
      <c r="P426" s="10">
        <v>0.61576227390180871</v>
      </c>
      <c r="Q426" s="10">
        <v>0.1081797667134011</v>
      </c>
      <c r="R426" s="10">
        <v>-4.0783140661578003E-2</v>
      </c>
      <c r="S426" s="10">
        <v>0.24926024797206039</v>
      </c>
      <c r="T426" s="10">
        <v>0.2336836588326161</v>
      </c>
      <c r="U426" s="10">
        <v>2.30263157894736E-2</v>
      </c>
      <c r="V426" s="10">
        <v>0.36792452830188682</v>
      </c>
      <c r="W426" s="10">
        <v>0.1277552400270453</v>
      </c>
      <c r="X426" s="10">
        <v>6.0344827586206002E-3</v>
      </c>
      <c r="Y426" s="10">
        <v>0.22941176470588229</v>
      </c>
      <c r="Z426" s="10">
        <v>0.37777777777777771</v>
      </c>
      <c r="AA426" s="10">
        <v>3.3333333333333298E-2</v>
      </c>
      <c r="AB426" s="10">
        <v>0.74444444444444446</v>
      </c>
      <c r="AC426" s="10">
        <v>0.50963769881523979</v>
      </c>
      <c r="AD426">
        <v>2.4092980149554001E-2</v>
      </c>
      <c r="AE426">
        <v>0.97344892420235096</v>
      </c>
    </row>
    <row r="427" spans="1:31" hidden="1">
      <c r="A427" t="s">
        <v>88</v>
      </c>
      <c r="B427" t="s">
        <v>78</v>
      </c>
      <c r="C427" t="s">
        <v>81</v>
      </c>
      <c r="D427" t="s">
        <v>67</v>
      </c>
      <c r="E427">
        <v>4</v>
      </c>
      <c r="F427">
        <v>2.8985507246376802E-2</v>
      </c>
      <c r="G427">
        <v>5</v>
      </c>
      <c r="H427" s="10">
        <v>2.8985507246376802E-2</v>
      </c>
      <c r="I427" s="10">
        <v>2.8985507246376802E-2</v>
      </c>
      <c r="J427" s="10">
        <v>2.8985507246376802E-2</v>
      </c>
      <c r="K427" s="10">
        <v>1</v>
      </c>
      <c r="L427" s="10">
        <v>1</v>
      </c>
      <c r="M427" s="10">
        <v>1</v>
      </c>
      <c r="N427" s="10">
        <v>0.48507462686567149</v>
      </c>
      <c r="O427" s="10">
        <v>0.47425373134328358</v>
      </c>
      <c r="P427" s="10">
        <v>0.4925373134328358</v>
      </c>
      <c r="Q427" s="10">
        <v>0</v>
      </c>
      <c r="R427" s="10">
        <v>0</v>
      </c>
      <c r="S427" s="10">
        <v>0</v>
      </c>
      <c r="T427" s="10">
        <v>0.1298701298701298</v>
      </c>
      <c r="U427" s="10">
        <v>0.1298701298701298</v>
      </c>
      <c r="V427" s="10">
        <v>0.1298701298701298</v>
      </c>
      <c r="W427" s="10">
        <v>2.8985507246376802E-2</v>
      </c>
      <c r="X427" s="10">
        <v>2.8985507246376802E-2</v>
      </c>
      <c r="Y427" s="10">
        <v>2.8985507246376802E-2</v>
      </c>
      <c r="Z427" s="10">
        <v>1</v>
      </c>
      <c r="AA427" s="10">
        <v>1</v>
      </c>
      <c r="AB427" s="10">
        <v>1</v>
      </c>
      <c r="AC427" s="10">
        <v>0</v>
      </c>
      <c r="AD427">
        <v>0</v>
      </c>
      <c r="AE427">
        <v>0</v>
      </c>
    </row>
    <row r="428" spans="1:31" hidden="1">
      <c r="A428" t="s">
        <v>88</v>
      </c>
      <c r="B428" t="s">
        <v>78</v>
      </c>
      <c r="C428" t="s">
        <v>81</v>
      </c>
      <c r="D428" t="s">
        <v>68</v>
      </c>
      <c r="E428">
        <v>20</v>
      </c>
      <c r="F428">
        <v>0.14492753623188401</v>
      </c>
      <c r="G428">
        <v>5</v>
      </c>
      <c r="H428" s="10">
        <v>0.20926249976221489</v>
      </c>
      <c r="I428" s="10">
        <v>0.14241465531545591</v>
      </c>
      <c r="J428" s="10">
        <v>0.27433334098600892</v>
      </c>
      <c r="K428" s="10">
        <v>1.4439112483592831</v>
      </c>
      <c r="L428" s="10">
        <v>0.98266112167664599</v>
      </c>
      <c r="M428" s="10">
        <v>1.8929000528034621</v>
      </c>
      <c r="N428" s="10">
        <v>0.54563559322033905</v>
      </c>
      <c r="O428" s="10">
        <v>0.46385593220338978</v>
      </c>
      <c r="P428" s="10">
        <v>0.58747881355932197</v>
      </c>
      <c r="Q428" s="10">
        <v>4.2685777205022299E-2</v>
      </c>
      <c r="R428" s="10">
        <v>-0.1059097074719033</v>
      </c>
      <c r="S428" s="10">
        <v>0.20084417834732479</v>
      </c>
      <c r="T428" s="10">
        <v>0.23992015558810501</v>
      </c>
      <c r="U428" s="10">
        <v>1.2820512820512799E-2</v>
      </c>
      <c r="V428" s="10">
        <v>0.41973611874656402</v>
      </c>
      <c r="W428" s="10">
        <v>0.15109191383163981</v>
      </c>
      <c r="X428" s="10">
        <v>8.1081081081080999E-3</v>
      </c>
      <c r="Y428" s="10">
        <v>0.28666666666666663</v>
      </c>
      <c r="Z428" s="10">
        <v>0.3</v>
      </c>
      <c r="AA428" s="10">
        <v>1.4999999999999999E-2</v>
      </c>
      <c r="AB428" s="10">
        <v>0.625</v>
      </c>
      <c r="AC428" s="10">
        <v>0.28959370449370891</v>
      </c>
      <c r="AD428">
        <v>7.0279755071106398E-2</v>
      </c>
      <c r="AE428">
        <v>0.57850478465536548</v>
      </c>
    </row>
    <row r="429" spans="1:31" hidden="1">
      <c r="A429" t="s">
        <v>88</v>
      </c>
      <c r="B429" t="s">
        <v>78</v>
      </c>
      <c r="C429" t="s">
        <v>81</v>
      </c>
      <c r="D429" t="s">
        <v>69</v>
      </c>
      <c r="E429">
        <v>26</v>
      </c>
      <c r="F429">
        <v>0.1884057971014492</v>
      </c>
      <c r="G429">
        <v>5</v>
      </c>
      <c r="H429" s="10">
        <v>0.45427589288712839</v>
      </c>
      <c r="I429" s="10">
        <v>0.36858061413933929</v>
      </c>
      <c r="J429" s="10">
        <v>0.53903903724750613</v>
      </c>
      <c r="K429" s="10">
        <v>2.4111566622470662</v>
      </c>
      <c r="L429" s="10">
        <v>1.956312490431878</v>
      </c>
      <c r="M429" s="10">
        <v>2.8610533515444558</v>
      </c>
      <c r="N429" s="10">
        <v>0.76404532967032979</v>
      </c>
      <c r="O429" s="10">
        <v>0.68787774725274731</v>
      </c>
      <c r="P429" s="10">
        <v>0.83185096153846161</v>
      </c>
      <c r="Q429" s="10">
        <v>0.29164238382179342</v>
      </c>
      <c r="R429" s="10">
        <v>0.163671979111433</v>
      </c>
      <c r="S429" s="10">
        <v>0.42527220794729059</v>
      </c>
      <c r="T429" s="10">
        <v>0.53385391347868782</v>
      </c>
      <c r="U429" s="10">
        <v>0.36905570652173908</v>
      </c>
      <c r="V429" s="10">
        <v>0.67251894940948342</v>
      </c>
      <c r="W429" s="10">
        <v>0.34740901352518178</v>
      </c>
      <c r="X429" s="10">
        <v>0.28263505081119628</v>
      </c>
      <c r="Y429" s="10">
        <v>0.45367647058823529</v>
      </c>
      <c r="Z429" s="10">
        <v>0.65384615384615385</v>
      </c>
      <c r="AA429" s="10">
        <v>0.38846153846153841</v>
      </c>
      <c r="AB429" s="10">
        <v>0.87692307692307692</v>
      </c>
      <c r="AC429" s="10">
        <v>0.39964023928284609</v>
      </c>
      <c r="AD429">
        <v>0.22066469120110621</v>
      </c>
      <c r="AE429">
        <v>0.57868953852429594</v>
      </c>
    </row>
    <row r="430" spans="1:31" hidden="1">
      <c r="A430" t="s">
        <v>88</v>
      </c>
      <c r="B430" t="s">
        <v>78</v>
      </c>
      <c r="C430" t="s">
        <v>81</v>
      </c>
      <c r="D430" t="s">
        <v>70</v>
      </c>
      <c r="E430">
        <v>7</v>
      </c>
      <c r="F430">
        <v>5.0724637681159403E-2</v>
      </c>
      <c r="G430">
        <v>5</v>
      </c>
      <c r="H430" s="10">
        <v>0.36288622695454992</v>
      </c>
      <c r="I430" s="10">
        <v>0.21068002563344171</v>
      </c>
      <c r="J430" s="10">
        <v>0.4812629399585921</v>
      </c>
      <c r="K430" s="10">
        <v>7.1540427599611274</v>
      </c>
      <c r="L430" s="10">
        <v>4.1534062196307087</v>
      </c>
      <c r="M430" s="10">
        <v>9.4877551020408166</v>
      </c>
      <c r="N430" s="10">
        <v>0.77797164667393681</v>
      </c>
      <c r="O430" s="10">
        <v>0.75267175572519096</v>
      </c>
      <c r="P430" s="10">
        <v>0.8164667393675028</v>
      </c>
      <c r="Q430" s="10">
        <v>0.431706481248748</v>
      </c>
      <c r="R430" s="10">
        <v>4.7392332238060102E-2</v>
      </c>
      <c r="S430" s="10">
        <v>0.64731585830670568</v>
      </c>
      <c r="T430" s="10">
        <v>0.50760001513013564</v>
      </c>
      <c r="U430" s="10">
        <v>0.2438130901986324</v>
      </c>
      <c r="V430" s="10">
        <v>0.62310606060606055</v>
      </c>
      <c r="W430" s="10">
        <v>0.44236714975845409</v>
      </c>
      <c r="X430" s="10">
        <v>8.7318840579710094E-2</v>
      </c>
      <c r="Y430" s="10">
        <v>0.77</v>
      </c>
      <c r="Z430" s="10">
        <v>0.68571428571428561</v>
      </c>
      <c r="AA430" s="10">
        <v>0.5714285714285714</v>
      </c>
      <c r="AB430" s="10">
        <v>0.97142857142857142</v>
      </c>
      <c r="AC430" s="10">
        <v>0.15862762127824409</v>
      </c>
      <c r="AD430">
        <v>1.9663777488162299E-2</v>
      </c>
      <c r="AE430">
        <v>0.1994700558124905</v>
      </c>
    </row>
    <row r="431" spans="1:31" hidden="1">
      <c r="A431" t="s">
        <v>88</v>
      </c>
      <c r="B431" t="s">
        <v>78</v>
      </c>
      <c r="C431" t="s">
        <v>81</v>
      </c>
      <c r="D431" t="s">
        <v>71</v>
      </c>
      <c r="E431">
        <v>9</v>
      </c>
      <c r="F431">
        <v>6.5217391304347797E-2</v>
      </c>
      <c r="G431">
        <v>5</v>
      </c>
      <c r="H431" s="10">
        <v>0.138694649419287</v>
      </c>
      <c r="I431" s="10">
        <v>9.6402116402116406E-2</v>
      </c>
      <c r="J431" s="10">
        <v>0.18083591395185589</v>
      </c>
      <c r="K431" s="10">
        <v>2.1266512910957358</v>
      </c>
      <c r="L431" s="10">
        <v>1.4781657848324521</v>
      </c>
      <c r="M431" s="10">
        <v>2.7728173472617912</v>
      </c>
      <c r="N431" s="10">
        <v>0.60938845822566756</v>
      </c>
      <c r="O431" s="10">
        <v>0.56959517657192071</v>
      </c>
      <c r="P431" s="10">
        <v>0.65396210163652024</v>
      </c>
      <c r="Q431" s="10">
        <v>0.1164521462436344</v>
      </c>
      <c r="R431" s="10">
        <v>-1.43035821030289E-2</v>
      </c>
      <c r="S431" s="10">
        <v>0.2450804718058579</v>
      </c>
      <c r="T431" s="10">
        <v>0.181241445343375</v>
      </c>
      <c r="U431" s="10">
        <v>1.13636363636363E-2</v>
      </c>
      <c r="V431" s="10">
        <v>0.35334346504559272</v>
      </c>
      <c r="W431" s="10">
        <v>0.14811688311688309</v>
      </c>
      <c r="X431" s="10">
        <v>1.2500000000000001E-2</v>
      </c>
      <c r="Y431" s="10">
        <v>0.26545454545454539</v>
      </c>
      <c r="Z431" s="10">
        <v>0.2</v>
      </c>
      <c r="AA431" s="10">
        <v>1.1111111111111099E-2</v>
      </c>
      <c r="AB431" s="10">
        <v>0.43333333333333329</v>
      </c>
      <c r="AC431" s="10">
        <v>0.21260821590253329</v>
      </c>
      <c r="AD431">
        <v>0.1986724826351513</v>
      </c>
      <c r="AE431">
        <v>0.25728603142588119</v>
      </c>
    </row>
    <row r="432" spans="1:31" hidden="1">
      <c r="A432" t="s">
        <v>88</v>
      </c>
      <c r="B432" t="s">
        <v>78</v>
      </c>
      <c r="C432" t="s">
        <v>82</v>
      </c>
      <c r="D432" t="s">
        <v>67</v>
      </c>
      <c r="E432">
        <v>4</v>
      </c>
      <c r="F432">
        <v>2.8985507246376802E-2</v>
      </c>
      <c r="G432">
        <v>5</v>
      </c>
      <c r="H432" s="10">
        <v>4.2219680251035702E-2</v>
      </c>
      <c r="I432" s="10">
        <v>2.9773456769441101E-2</v>
      </c>
      <c r="J432" s="10">
        <v>4.9741723627572398E-2</v>
      </c>
      <c r="K432" s="10">
        <v>1.456578968660734</v>
      </c>
      <c r="L432" s="10">
        <v>1.027184258545718</v>
      </c>
      <c r="M432" s="10">
        <v>1.7160894651512499</v>
      </c>
      <c r="N432" s="10">
        <v>0.46902985074626857</v>
      </c>
      <c r="O432" s="10">
        <v>0.33078358208955227</v>
      </c>
      <c r="P432" s="10">
        <v>0.55559701492537317</v>
      </c>
      <c r="Q432" s="10">
        <v>-3.4764099099355003E-2</v>
      </c>
      <c r="R432" s="10">
        <v>-0.11512191159807569</v>
      </c>
      <c r="S432" s="10">
        <v>3.0368497728440899E-2</v>
      </c>
      <c r="T432" s="10">
        <v>8.3478349343290806E-2</v>
      </c>
      <c r="U432" s="10">
        <v>5.8823529411764003E-3</v>
      </c>
      <c r="V432" s="10">
        <v>0.1314004199644645</v>
      </c>
      <c r="W432" s="10">
        <v>2.1511976650563602E-2</v>
      </c>
      <c r="X432" s="10">
        <v>1.4492753623188E-3</v>
      </c>
      <c r="Y432" s="10">
        <v>3.8962962962962901E-2</v>
      </c>
      <c r="Z432" s="10">
        <v>0.45</v>
      </c>
      <c r="AA432" s="10">
        <v>2.5000000000000001E-2</v>
      </c>
      <c r="AB432" s="10">
        <v>0.97499999999999998</v>
      </c>
      <c r="AC432" s="10">
        <v>0.35096542573566808</v>
      </c>
      <c r="AD432">
        <v>1.012636965693512E-5</v>
      </c>
      <c r="AE432">
        <v>0.95519162223107623</v>
      </c>
    </row>
    <row r="433" spans="1:31" hidden="1">
      <c r="A433" t="s">
        <v>88</v>
      </c>
      <c r="B433" t="s">
        <v>78</v>
      </c>
      <c r="C433" t="s">
        <v>82</v>
      </c>
      <c r="D433" t="s">
        <v>68</v>
      </c>
      <c r="E433">
        <v>20</v>
      </c>
      <c r="F433">
        <v>0.14492753623188401</v>
      </c>
      <c r="G433">
        <v>5</v>
      </c>
      <c r="H433" s="10">
        <v>0.122196966514377</v>
      </c>
      <c r="I433" s="10">
        <v>9.96283431805529E-2</v>
      </c>
      <c r="J433" s="10">
        <v>0.15238665681554239</v>
      </c>
      <c r="K433" s="10">
        <v>0.84315906894920167</v>
      </c>
      <c r="L433" s="10">
        <v>0.68743556794581528</v>
      </c>
      <c r="M433" s="10">
        <v>1.051467932027242</v>
      </c>
      <c r="N433" s="10">
        <v>0.34025423728813559</v>
      </c>
      <c r="O433" s="10">
        <v>0.2719491525423729</v>
      </c>
      <c r="P433" s="10">
        <v>0.41008474576271181</v>
      </c>
      <c r="Q433" s="10">
        <v>-0.1232886797364848</v>
      </c>
      <c r="R433" s="10">
        <v>-0.34525664475506018</v>
      </c>
      <c r="S433" s="10">
        <v>4.8512295932910399E-2</v>
      </c>
      <c r="T433" s="10">
        <v>0.1635812485386953</v>
      </c>
      <c r="U433" s="10">
        <v>5.9523809523809E-3</v>
      </c>
      <c r="V433" s="10">
        <v>0.33088461538461539</v>
      </c>
      <c r="W433" s="10">
        <v>0.1161008652094717</v>
      </c>
      <c r="X433" s="10">
        <v>6.5573770491803001E-3</v>
      </c>
      <c r="Y433" s="10">
        <v>0.24055555555555549</v>
      </c>
      <c r="Z433" s="10">
        <v>0.2599999999999999</v>
      </c>
      <c r="AA433" s="10">
        <v>5.0000000000000001E-3</v>
      </c>
      <c r="AB433" s="10">
        <v>0.66499999999999992</v>
      </c>
      <c r="AC433" s="10">
        <v>0.26931300027410021</v>
      </c>
      <c r="AD433">
        <v>9.6986546724222994E-3</v>
      </c>
      <c r="AE433">
        <v>0.55573233419811685</v>
      </c>
    </row>
    <row r="434" spans="1:31" hidden="1">
      <c r="A434" t="s">
        <v>88</v>
      </c>
      <c r="B434" t="s">
        <v>78</v>
      </c>
      <c r="C434" t="s">
        <v>82</v>
      </c>
      <c r="D434" t="s">
        <v>69</v>
      </c>
      <c r="E434">
        <v>26</v>
      </c>
      <c r="F434">
        <v>0.1884057971014492</v>
      </c>
      <c r="G434">
        <v>5</v>
      </c>
      <c r="H434" s="10">
        <v>0.31045431793239159</v>
      </c>
      <c r="I434" s="10">
        <v>0.27629003042537459</v>
      </c>
      <c r="J434" s="10">
        <v>0.34809051315745898</v>
      </c>
      <c r="K434" s="10">
        <v>1.6477959951796171</v>
      </c>
      <c r="L434" s="10">
        <v>1.4664624691808339</v>
      </c>
      <c r="M434" s="10">
        <v>1.847557339066513</v>
      </c>
      <c r="N434" s="10">
        <v>0.67252747252747258</v>
      </c>
      <c r="O434" s="10">
        <v>0.60729739010989015</v>
      </c>
      <c r="P434" s="10">
        <v>0.73188530219780223</v>
      </c>
      <c r="Q434" s="10">
        <v>0.1965993131005741</v>
      </c>
      <c r="R434" s="10">
        <v>0.11193037107527649</v>
      </c>
      <c r="S434" s="10">
        <v>0.26647679022159598</v>
      </c>
      <c r="T434" s="10">
        <v>0.52078363822965079</v>
      </c>
      <c r="U434" s="10">
        <v>0.47514500231292028</v>
      </c>
      <c r="V434" s="10">
        <v>0.57437134126136746</v>
      </c>
      <c r="W434" s="10">
        <v>0.2716781124262666</v>
      </c>
      <c r="X434" s="10">
        <v>0.2278095238095238</v>
      </c>
      <c r="Y434" s="10">
        <v>0.31766475252939569</v>
      </c>
      <c r="Z434" s="10">
        <v>0.68461538461538463</v>
      </c>
      <c r="AA434" s="10">
        <v>0.58461538461538454</v>
      </c>
      <c r="AB434" s="10">
        <v>0.76923076923076927</v>
      </c>
      <c r="AC434" s="10">
        <v>0.49080770320789552</v>
      </c>
      <c r="AD434">
        <v>0.21589387977081309</v>
      </c>
      <c r="AE434">
        <v>0.60262585596560758</v>
      </c>
    </row>
    <row r="435" spans="1:31" hidden="1">
      <c r="A435" t="s">
        <v>88</v>
      </c>
      <c r="B435" t="s">
        <v>78</v>
      </c>
      <c r="C435" t="s">
        <v>82</v>
      </c>
      <c r="D435" t="s">
        <v>70</v>
      </c>
      <c r="E435">
        <v>7</v>
      </c>
      <c r="F435">
        <v>5.0724637681159403E-2</v>
      </c>
      <c r="G435">
        <v>5</v>
      </c>
      <c r="H435" s="10">
        <v>0.1030818784919261</v>
      </c>
      <c r="I435" s="10">
        <v>4.2399112571521999E-2</v>
      </c>
      <c r="J435" s="10">
        <v>0.20990733664277719</v>
      </c>
      <c r="K435" s="10">
        <v>2.032185604555115</v>
      </c>
      <c r="L435" s="10">
        <v>0.83586821926714883</v>
      </c>
      <c r="M435" s="10">
        <v>4.138173208100465</v>
      </c>
      <c r="N435" s="10">
        <v>0.39563794983642309</v>
      </c>
      <c r="O435" s="10">
        <v>0.33740458015267177</v>
      </c>
      <c r="P435" s="10">
        <v>0.45234460196292259</v>
      </c>
      <c r="Q435" s="10">
        <v>4.2869788085215403E-2</v>
      </c>
      <c r="R435" s="10">
        <v>-4.7158431119594703E-2</v>
      </c>
      <c r="S435" s="10">
        <v>0.18405385268330349</v>
      </c>
      <c r="T435" s="10">
        <v>9.4636862189044296E-2</v>
      </c>
      <c r="U435" s="10">
        <v>0</v>
      </c>
      <c r="V435" s="10">
        <v>0.1644806806097128</v>
      </c>
      <c r="W435" s="10">
        <v>0.1095238095238095</v>
      </c>
      <c r="X435" s="10">
        <v>0</v>
      </c>
      <c r="Y435" s="10">
        <v>0.3166666666666666</v>
      </c>
      <c r="Z435" s="10">
        <v>0.14285714285714279</v>
      </c>
      <c r="AA435" s="10">
        <v>0</v>
      </c>
      <c r="AB435" s="10">
        <v>0.39999999999999991</v>
      </c>
      <c r="AC435" s="10">
        <v>0.3274922093309397</v>
      </c>
      <c r="AD435">
        <v>9.9006261811005497E-2</v>
      </c>
      <c r="AE435">
        <v>0.42563374676623672</v>
      </c>
    </row>
    <row r="436" spans="1:31" hidden="1">
      <c r="A436" t="s">
        <v>88</v>
      </c>
      <c r="B436" t="s">
        <v>78</v>
      </c>
      <c r="C436" t="s">
        <v>82</v>
      </c>
      <c r="D436" t="s">
        <v>71</v>
      </c>
      <c r="E436">
        <v>9</v>
      </c>
      <c r="F436">
        <v>6.5217391304347797E-2</v>
      </c>
      <c r="G436">
        <v>5</v>
      </c>
      <c r="H436" s="10">
        <v>4.9503787299920998E-2</v>
      </c>
      <c r="I436" s="10">
        <v>4.7920238726122201E-2</v>
      </c>
      <c r="J436" s="10">
        <v>5.1174441396802398E-2</v>
      </c>
      <c r="K436" s="10">
        <v>0.75905807193212294</v>
      </c>
      <c r="L436" s="10">
        <v>0.73477699380054173</v>
      </c>
      <c r="M436" s="10">
        <v>0.78467476808430336</v>
      </c>
      <c r="N436" s="10">
        <v>0.2983634797588286</v>
      </c>
      <c r="O436" s="10">
        <v>0.26356589147286819</v>
      </c>
      <c r="P436" s="10">
        <v>0.32807924203273042</v>
      </c>
      <c r="Q436" s="10">
        <v>-0.12577054967128651</v>
      </c>
      <c r="R436" s="10">
        <v>-0.29660268139341928</v>
      </c>
      <c r="S436" s="10">
        <v>2.2566599221888702E-2</v>
      </c>
      <c r="T436" s="10">
        <v>0.18621617110262709</v>
      </c>
      <c r="U436" s="10">
        <v>8.0960606229453294E-2</v>
      </c>
      <c r="V436" s="10">
        <v>0.26011560693641611</v>
      </c>
      <c r="W436" s="10">
        <v>4.81826304577661E-2</v>
      </c>
      <c r="X436" s="10">
        <v>2.20323084940072E-2</v>
      </c>
      <c r="Y436" s="10">
        <v>6.5693430656934296E-2</v>
      </c>
      <c r="Z436" s="10">
        <v>0.66666666666666663</v>
      </c>
      <c r="AA436" s="10">
        <v>0.24444444444444441</v>
      </c>
      <c r="AB436" s="10">
        <v>1</v>
      </c>
      <c r="AC436" s="10">
        <v>2.2038527613751899E-2</v>
      </c>
      <c r="AD436">
        <v>1.4141266039678221E-24</v>
      </c>
      <c r="AE436">
        <v>7.2216437189241103E-2</v>
      </c>
    </row>
    <row r="437" spans="1:31" hidden="1">
      <c r="A437" t="s">
        <v>88</v>
      </c>
      <c r="B437" t="s">
        <v>78</v>
      </c>
      <c r="C437" t="s">
        <v>76</v>
      </c>
      <c r="D437" t="s">
        <v>67</v>
      </c>
      <c r="E437">
        <v>4</v>
      </c>
      <c r="F437">
        <v>2.8985507246376802E-2</v>
      </c>
      <c r="G437">
        <v>5</v>
      </c>
      <c r="H437" s="10">
        <v>4.6979174569203502E-2</v>
      </c>
      <c r="I437" s="10">
        <v>3.5239536265198997E-2</v>
      </c>
      <c r="J437" s="10">
        <v>6.1894214524988597E-2</v>
      </c>
      <c r="K437" s="10">
        <v>1.6207815226375231</v>
      </c>
      <c r="L437" s="10">
        <v>1.215764001149366</v>
      </c>
      <c r="M437" s="10">
        <v>2.1353504011121078</v>
      </c>
      <c r="N437" s="10">
        <v>0.56455223880597016</v>
      </c>
      <c r="O437" s="10">
        <v>0.45615671641791039</v>
      </c>
      <c r="P437" s="10">
        <v>0.64738805970149249</v>
      </c>
      <c r="Q437" s="10">
        <v>4.9626423093232098E-2</v>
      </c>
      <c r="R437" s="10">
        <v>2.504229458833E-4</v>
      </c>
      <c r="S437" s="10">
        <v>0.1101382970308655</v>
      </c>
      <c r="T437" s="10">
        <v>0.1503148892026217</v>
      </c>
      <c r="U437" s="10">
        <v>0.1201298701298701</v>
      </c>
      <c r="V437" s="10">
        <v>0.18751043579896479</v>
      </c>
      <c r="W437" s="10">
        <v>3.6891534035521097E-2</v>
      </c>
      <c r="X437" s="10">
        <v>2.9028132992327298E-2</v>
      </c>
      <c r="Y437" s="10">
        <v>5.2772359988854801E-2</v>
      </c>
      <c r="Z437" s="10">
        <v>0.8</v>
      </c>
      <c r="AA437" s="10">
        <v>0.5</v>
      </c>
      <c r="AB437" s="10">
        <v>1</v>
      </c>
      <c r="AC437" s="10">
        <v>2.7284347606374999E-2</v>
      </c>
      <c r="AD437">
        <v>3.9998288387690001E-4</v>
      </c>
      <c r="AE437">
        <v>7.1023398055559198E-2</v>
      </c>
    </row>
    <row r="438" spans="1:31" hidden="1">
      <c r="A438" t="s">
        <v>88</v>
      </c>
      <c r="B438" t="s">
        <v>78</v>
      </c>
      <c r="C438" t="s">
        <v>76</v>
      </c>
      <c r="D438" t="s">
        <v>68</v>
      </c>
      <c r="E438">
        <v>20</v>
      </c>
      <c r="F438">
        <v>0.14492753623188401</v>
      </c>
      <c r="G438">
        <v>5</v>
      </c>
      <c r="H438" s="10">
        <v>0.34209611358665298</v>
      </c>
      <c r="I438" s="10">
        <v>0.29889513752833191</v>
      </c>
      <c r="J438" s="10">
        <v>0.4019781027931289</v>
      </c>
      <c r="K438" s="10">
        <v>2.3604631837479051</v>
      </c>
      <c r="L438" s="10">
        <v>2.062376448945491</v>
      </c>
      <c r="M438" s="10">
        <v>2.7736489092725898</v>
      </c>
      <c r="N438" s="10">
        <v>0.77271186440677964</v>
      </c>
      <c r="O438" s="10">
        <v>0.72474576271186442</v>
      </c>
      <c r="P438" s="10">
        <v>0.80758474576271189</v>
      </c>
      <c r="Q438" s="10">
        <v>0.28609019234953281</v>
      </c>
      <c r="R438" s="10">
        <v>0.22649882771470481</v>
      </c>
      <c r="S438" s="10">
        <v>0.35706253124135717</v>
      </c>
      <c r="T438" s="10">
        <v>0.49112345987345979</v>
      </c>
      <c r="U438" s="10">
        <v>0.34253663003662999</v>
      </c>
      <c r="V438" s="10">
        <v>0.5985795454545455</v>
      </c>
      <c r="W438" s="10">
        <v>0.32197552447552441</v>
      </c>
      <c r="X438" s="10">
        <v>0.21817307692307689</v>
      </c>
      <c r="Y438" s="10">
        <v>0.52167832167832162</v>
      </c>
      <c r="Z438" s="10">
        <v>0.64</v>
      </c>
      <c r="AA438" s="10">
        <v>0.32500000000000001</v>
      </c>
      <c r="AB438" s="10">
        <v>0.84499999999999997</v>
      </c>
      <c r="AC438" s="10">
        <v>0.32666212806885758</v>
      </c>
      <c r="AD438">
        <v>0.19010871317393691</v>
      </c>
      <c r="AE438">
        <v>0.48595044934741199</v>
      </c>
    </row>
    <row r="439" spans="1:31" hidden="1">
      <c r="A439" t="s">
        <v>88</v>
      </c>
      <c r="B439" t="s">
        <v>78</v>
      </c>
      <c r="C439" t="s">
        <v>76</v>
      </c>
      <c r="D439" t="s">
        <v>69</v>
      </c>
      <c r="E439">
        <v>26</v>
      </c>
      <c r="F439">
        <v>0.1884057971014492</v>
      </c>
      <c r="G439">
        <v>5</v>
      </c>
      <c r="H439" s="10">
        <v>0.56769889487601455</v>
      </c>
      <c r="I439" s="10">
        <v>0.51997089681681352</v>
      </c>
      <c r="J439" s="10">
        <v>0.62289682863071583</v>
      </c>
      <c r="K439" s="10">
        <v>3.0131710574188459</v>
      </c>
      <c r="L439" s="10">
        <v>2.759845529258472</v>
      </c>
      <c r="M439" s="10">
        <v>3.3061447058091842</v>
      </c>
      <c r="N439" s="10">
        <v>0.91655219780219777</v>
      </c>
      <c r="O439" s="10">
        <v>0.89526098901098905</v>
      </c>
      <c r="P439" s="10">
        <v>0.93073489010988997</v>
      </c>
      <c r="Q439" s="10">
        <v>0.66108280338418524</v>
      </c>
      <c r="R439" s="10">
        <v>0.62800419641761052</v>
      </c>
      <c r="S439" s="10">
        <v>0.71221830482829929</v>
      </c>
      <c r="T439" s="10">
        <v>0.81853762775156391</v>
      </c>
      <c r="U439" s="10">
        <v>0.76626409017713371</v>
      </c>
      <c r="V439" s="10">
        <v>0.84459459459459463</v>
      </c>
      <c r="W439" s="10">
        <v>0.59912060163180514</v>
      </c>
      <c r="X439" s="10">
        <v>0.535541586073501</v>
      </c>
      <c r="Y439" s="10">
        <v>0.70047438330170786</v>
      </c>
      <c r="Z439" s="10">
        <v>0.90769230769230758</v>
      </c>
      <c r="AA439" s="10">
        <v>0.81153846153846154</v>
      </c>
      <c r="AB439" s="10">
        <v>0.96153846153846156</v>
      </c>
      <c r="AC439" s="10">
        <v>0.4605960386305501</v>
      </c>
      <c r="AD439">
        <v>0.3868866471386741</v>
      </c>
      <c r="AE439">
        <v>0.5324792301171215</v>
      </c>
    </row>
    <row r="440" spans="1:31" hidden="1">
      <c r="A440" t="s">
        <v>88</v>
      </c>
      <c r="B440" t="s">
        <v>78</v>
      </c>
      <c r="C440" t="s">
        <v>76</v>
      </c>
      <c r="D440" t="s">
        <v>70</v>
      </c>
      <c r="E440">
        <v>7</v>
      </c>
      <c r="F440">
        <v>5.0724637681159403E-2</v>
      </c>
      <c r="G440">
        <v>5</v>
      </c>
      <c r="H440" s="10">
        <v>0.2068571680078688</v>
      </c>
      <c r="I440" s="10">
        <v>0.1445674222316827</v>
      </c>
      <c r="J440" s="10">
        <v>0.25430081887723571</v>
      </c>
      <c r="K440" s="10">
        <v>4.0780413121551282</v>
      </c>
      <c r="L440" s="10">
        <v>2.8500434668531729</v>
      </c>
      <c r="M440" s="10">
        <v>5.0133590007226463</v>
      </c>
      <c r="N440" s="10">
        <v>0.66717557251908399</v>
      </c>
      <c r="O440" s="10">
        <v>0.58146128680479825</v>
      </c>
      <c r="P440" s="10">
        <v>0.78200654307524542</v>
      </c>
      <c r="Q440" s="10">
        <v>7.0973159722231796E-2</v>
      </c>
      <c r="R440" s="10">
        <v>-0.1681150095253032</v>
      </c>
      <c r="S440" s="10">
        <v>0.2019677111548521</v>
      </c>
      <c r="T440" s="10">
        <v>0.22663917771454239</v>
      </c>
      <c r="U440" s="10">
        <v>0.1547685443390964</v>
      </c>
      <c r="V440" s="10">
        <v>0.30253723110865971</v>
      </c>
      <c r="W440" s="10">
        <v>0.1222408963585434</v>
      </c>
      <c r="X440" s="10">
        <v>4.5882352941176402E-2</v>
      </c>
      <c r="Y440" s="10">
        <v>0.22</v>
      </c>
      <c r="Z440" s="10">
        <v>0.5714285714285714</v>
      </c>
      <c r="AA440" s="10">
        <v>0.15714285714285711</v>
      </c>
      <c r="AB440" s="10">
        <v>0.8571428571428571</v>
      </c>
      <c r="AC440" s="10">
        <v>9.6275313043497707E-2</v>
      </c>
      <c r="AD440">
        <v>2.2864480610765101E-2</v>
      </c>
      <c r="AE440">
        <v>0.1539323285303357</v>
      </c>
    </row>
    <row r="441" spans="1:31" hidden="1">
      <c r="A441" t="s">
        <v>88</v>
      </c>
      <c r="B441" t="s">
        <v>78</v>
      </c>
      <c r="C441" t="s">
        <v>76</v>
      </c>
      <c r="D441" t="s">
        <v>71</v>
      </c>
      <c r="E441">
        <v>9</v>
      </c>
      <c r="F441">
        <v>6.5217391304347797E-2</v>
      </c>
      <c r="G441">
        <v>5</v>
      </c>
      <c r="H441" s="10">
        <v>0.1354477913479748</v>
      </c>
      <c r="I441" s="10">
        <v>9.0115342988799599E-2</v>
      </c>
      <c r="J441" s="10">
        <v>0.19049627583119069</v>
      </c>
      <c r="K441" s="10">
        <v>2.0768661340022812</v>
      </c>
      <c r="L441" s="10">
        <v>1.3817685924949279</v>
      </c>
      <c r="M441" s="10">
        <v>2.920942896078258</v>
      </c>
      <c r="N441" s="10">
        <v>0.59879414298018951</v>
      </c>
      <c r="O441" s="10">
        <v>0.57441860465116279</v>
      </c>
      <c r="P441" s="10">
        <v>0.6484065460809646</v>
      </c>
      <c r="Q441" s="10">
        <v>0.16055595410595641</v>
      </c>
      <c r="R441" s="10">
        <v>4.1469484872200202E-2</v>
      </c>
      <c r="S441" s="10">
        <v>0.27737098490500689</v>
      </c>
      <c r="T441" s="10">
        <v>0.29618275808936728</v>
      </c>
      <c r="U441" s="10">
        <v>0.2046546546546546</v>
      </c>
      <c r="V441" s="10">
        <v>0.39025460930640909</v>
      </c>
      <c r="W441" s="10">
        <v>0.16582531597811731</v>
      </c>
      <c r="X441" s="10">
        <v>8.1052631578947307E-2</v>
      </c>
      <c r="Y441" s="10">
        <v>0.26222222222222219</v>
      </c>
      <c r="Z441" s="10">
        <v>0.42222222222222222</v>
      </c>
      <c r="AA441" s="10">
        <v>0.23333333333333331</v>
      </c>
      <c r="AB441" s="10">
        <v>0.55555555555555558</v>
      </c>
      <c r="AC441" s="10">
        <v>0.17543966022600879</v>
      </c>
      <c r="AD441">
        <v>0.1360777256384573</v>
      </c>
      <c r="AE441">
        <v>0.23087523342488089</v>
      </c>
    </row>
    <row r="442" spans="1:31" hidden="1">
      <c r="A442" t="s">
        <v>88</v>
      </c>
      <c r="B442" t="s">
        <v>78</v>
      </c>
      <c r="C442" t="s">
        <v>83</v>
      </c>
      <c r="D442" t="s">
        <v>67</v>
      </c>
      <c r="E442">
        <v>4</v>
      </c>
      <c r="F442">
        <v>2.8985507246376802E-2</v>
      </c>
      <c r="G442">
        <v>5</v>
      </c>
      <c r="H442" s="10">
        <v>3.2287409178485799E-2</v>
      </c>
      <c r="I442" s="10">
        <v>2.39695183732688E-2</v>
      </c>
      <c r="J442" s="10">
        <v>4.8343907340451298E-2</v>
      </c>
      <c r="K442" s="10">
        <v>1.113915616657762</v>
      </c>
      <c r="L442" s="10">
        <v>0.82694838387777436</v>
      </c>
      <c r="M442" s="10">
        <v>1.6678648032455701</v>
      </c>
      <c r="N442" s="10">
        <v>0.37332089552238801</v>
      </c>
      <c r="O442" s="10">
        <v>0.25932835820895522</v>
      </c>
      <c r="P442" s="10">
        <v>0.53917910447761197</v>
      </c>
      <c r="Q442" s="10">
        <v>-6.2880979152979105E-2</v>
      </c>
      <c r="R442" s="10">
        <v>-0.1262090072267692</v>
      </c>
      <c r="S442" s="10">
        <v>-1.5761300860324599E-2</v>
      </c>
      <c r="T442" s="10">
        <v>9.8055900444965496E-2</v>
      </c>
      <c r="U442" s="10">
        <v>5.4358377014172003E-2</v>
      </c>
      <c r="V442" s="10">
        <v>0.120409429280397</v>
      </c>
      <c r="W442" s="10">
        <v>2.2622817417460601E-2</v>
      </c>
      <c r="X442" s="10">
        <v>1.29138166894664E-2</v>
      </c>
      <c r="Y442" s="10">
        <v>2.7631578947368399E-2</v>
      </c>
      <c r="Z442" s="10">
        <v>0.6</v>
      </c>
      <c r="AA442" s="10">
        <v>0.27500000000000002</v>
      </c>
      <c r="AB442" s="10">
        <v>0.75</v>
      </c>
      <c r="AC442" s="10">
        <v>1.88176670673161E-2</v>
      </c>
      <c r="AD442">
        <v>1.3516806842374E-2</v>
      </c>
      <c r="AE442">
        <v>2.80705191256614E-2</v>
      </c>
    </row>
    <row r="443" spans="1:31" hidden="1">
      <c r="A443" t="s">
        <v>88</v>
      </c>
      <c r="B443" t="s">
        <v>78</v>
      </c>
      <c r="C443" t="s">
        <v>83</v>
      </c>
      <c r="D443" t="s">
        <v>68</v>
      </c>
      <c r="E443">
        <v>20</v>
      </c>
      <c r="F443">
        <v>0.14492753623188401</v>
      </c>
      <c r="G443">
        <v>5</v>
      </c>
      <c r="H443" s="10">
        <v>0.21131908185784409</v>
      </c>
      <c r="I443" s="10">
        <v>0.18672006079124659</v>
      </c>
      <c r="J443" s="10">
        <v>0.21992705933909221</v>
      </c>
      <c r="K443" s="10">
        <v>1.458101664819125</v>
      </c>
      <c r="L443" s="10">
        <v>1.2883684194596019</v>
      </c>
      <c r="M443" s="10">
        <v>1.517496709439736</v>
      </c>
      <c r="N443" s="10">
        <v>0.57525423728813563</v>
      </c>
      <c r="O443" s="10">
        <v>0.53794491525423727</v>
      </c>
      <c r="P443" s="10">
        <v>0.60913135593220336</v>
      </c>
      <c r="Q443" s="10">
        <v>7.6797792378300006E-2</v>
      </c>
      <c r="R443" s="10">
        <v>5.0830685894247302E-2</v>
      </c>
      <c r="S443" s="10">
        <v>9.2069093805350694E-2</v>
      </c>
      <c r="T443" s="10">
        <v>0.32108246829990439</v>
      </c>
      <c r="U443" s="10">
        <v>0.16988727858293071</v>
      </c>
      <c r="V443" s="10">
        <v>0.4721711638850084</v>
      </c>
      <c r="W443" s="10">
        <v>0.18672323075441591</v>
      </c>
      <c r="X443" s="10">
        <v>0.1547268695827454</v>
      </c>
      <c r="Y443" s="10">
        <v>0.24435483870967739</v>
      </c>
      <c r="Z443" s="10">
        <v>0.51999999999999991</v>
      </c>
      <c r="AA443" s="10">
        <v>0.16</v>
      </c>
      <c r="AB443" s="10">
        <v>0.95</v>
      </c>
      <c r="AC443" s="10">
        <v>0.13587913279416769</v>
      </c>
      <c r="AD443">
        <v>8.6577600542401503E-2</v>
      </c>
      <c r="AE443">
        <v>0.2111076417775116</v>
      </c>
    </row>
    <row r="444" spans="1:31" hidden="1">
      <c r="A444" t="s">
        <v>88</v>
      </c>
      <c r="B444" t="s">
        <v>78</v>
      </c>
      <c r="C444" t="s">
        <v>83</v>
      </c>
      <c r="D444" t="s">
        <v>69</v>
      </c>
      <c r="E444">
        <v>26</v>
      </c>
      <c r="F444">
        <v>0.1884057971014492</v>
      </c>
      <c r="G444">
        <v>5</v>
      </c>
      <c r="H444" s="10">
        <v>0.46070408265039842</v>
      </c>
      <c r="I444" s="10">
        <v>0.3918406252852859</v>
      </c>
      <c r="J444" s="10">
        <v>0.52923400265494358</v>
      </c>
      <c r="K444" s="10">
        <v>2.4452755156059611</v>
      </c>
      <c r="L444" s="10">
        <v>2.079769472668056</v>
      </c>
      <c r="M444" s="10">
        <v>2.8090112448608542</v>
      </c>
      <c r="N444" s="10">
        <v>0.68677884615384621</v>
      </c>
      <c r="O444" s="10">
        <v>0.64520947802197792</v>
      </c>
      <c r="P444" s="10">
        <v>0.73713942307692315</v>
      </c>
      <c r="Q444" s="10">
        <v>0.38148822793028841</v>
      </c>
      <c r="R444" s="10">
        <v>0.28246439857895039</v>
      </c>
      <c r="S444" s="10">
        <v>0.51931802482356482</v>
      </c>
      <c r="T444" s="10">
        <v>0.45575671730937478</v>
      </c>
      <c r="U444" s="10">
        <v>0.30860084797092668</v>
      </c>
      <c r="V444" s="10">
        <v>0.57734375000000004</v>
      </c>
      <c r="W444" s="10">
        <v>0.54742660720921588</v>
      </c>
      <c r="X444" s="10">
        <v>0.39347826086956522</v>
      </c>
      <c r="Y444" s="10">
        <v>0.73750000000000004</v>
      </c>
      <c r="Z444" s="10">
        <v>0.44615384615384601</v>
      </c>
      <c r="AA444" s="10">
        <v>0.28076923076923072</v>
      </c>
      <c r="AB444" s="10">
        <v>0.57307692307692304</v>
      </c>
      <c r="AC444" s="10">
        <v>0.1161084521804407</v>
      </c>
      <c r="AD444">
        <v>4.4635724761795899E-2</v>
      </c>
      <c r="AE444">
        <v>0.21869623342034719</v>
      </c>
    </row>
    <row r="445" spans="1:31" hidden="1">
      <c r="A445" t="s">
        <v>88</v>
      </c>
      <c r="B445" t="s">
        <v>78</v>
      </c>
      <c r="C445" t="s">
        <v>83</v>
      </c>
      <c r="D445" t="s">
        <v>70</v>
      </c>
      <c r="E445">
        <v>7</v>
      </c>
      <c r="F445">
        <v>5.0724637681159403E-2</v>
      </c>
      <c r="G445">
        <v>5</v>
      </c>
      <c r="H445" s="10">
        <v>6.0954824243259403E-2</v>
      </c>
      <c r="I445" s="10">
        <v>4.6699582823603397E-2</v>
      </c>
      <c r="J445" s="10">
        <v>9.5505444903222395E-2</v>
      </c>
      <c r="K445" s="10">
        <v>1.2016808207956859</v>
      </c>
      <c r="L445" s="10">
        <v>0.920648918522468</v>
      </c>
      <c r="M445" s="10">
        <v>1.8828216280920991</v>
      </c>
      <c r="N445" s="10">
        <v>0.4420937840785169</v>
      </c>
      <c r="O445" s="10">
        <v>0.3623773173391493</v>
      </c>
      <c r="P445" s="10">
        <v>0.57377317339149403</v>
      </c>
      <c r="Q445" s="10">
        <v>-8.1508536105531996E-3</v>
      </c>
      <c r="R445" s="10">
        <v>-8.5536803819371898E-2</v>
      </c>
      <c r="S445" s="10">
        <v>4.8349042752284702E-2</v>
      </c>
      <c r="T445" s="10">
        <v>0.19105317798524701</v>
      </c>
      <c r="U445" s="10">
        <v>0.13882386525835</v>
      </c>
      <c r="V445" s="10">
        <v>0.21847993827160489</v>
      </c>
      <c r="W445" s="10">
        <v>4.8228130893806599E-2</v>
      </c>
      <c r="X445" s="10">
        <v>3.6489115331171801E-2</v>
      </c>
      <c r="Y445" s="10">
        <v>5.3303030303030297E-2</v>
      </c>
      <c r="Z445" s="10">
        <v>0.77142857142857135</v>
      </c>
      <c r="AA445" s="10">
        <v>0.44285714285714278</v>
      </c>
      <c r="AB445" s="10">
        <v>1</v>
      </c>
      <c r="AC445" s="10">
        <v>4.3399393686245201E-2</v>
      </c>
      <c r="AD445">
        <v>1.85897495104889E-2</v>
      </c>
      <c r="AE445">
        <v>7.4071613544926904E-2</v>
      </c>
    </row>
    <row r="446" spans="1:31" hidden="1">
      <c r="A446" t="s">
        <v>88</v>
      </c>
      <c r="B446" t="s">
        <v>78</v>
      </c>
      <c r="C446" t="s">
        <v>83</v>
      </c>
      <c r="D446" t="s">
        <v>71</v>
      </c>
      <c r="E446">
        <v>9</v>
      </c>
      <c r="F446">
        <v>6.5217391304347797E-2</v>
      </c>
      <c r="G446">
        <v>5</v>
      </c>
      <c r="H446" s="10">
        <v>6.9636994784420106E-2</v>
      </c>
      <c r="I446" s="10">
        <v>5.9684679881135801E-2</v>
      </c>
      <c r="J446" s="10">
        <v>8.39021523258109E-2</v>
      </c>
      <c r="K446" s="10">
        <v>1.0677672533611089</v>
      </c>
      <c r="L446" s="10">
        <v>0.91516509151074921</v>
      </c>
      <c r="M446" s="10">
        <v>1.286499668995768</v>
      </c>
      <c r="N446" s="10">
        <v>0.3785529715762273</v>
      </c>
      <c r="O446" s="10">
        <v>0.33785529715762269</v>
      </c>
      <c r="P446" s="10">
        <v>0.43118001722652882</v>
      </c>
      <c r="Q446" s="10">
        <v>-6.0125738868981003E-2</v>
      </c>
      <c r="R446" s="10">
        <v>-0.1116438593027525</v>
      </c>
      <c r="S446" s="10">
        <v>2.1862266315158599E-2</v>
      </c>
      <c r="T446" s="10">
        <v>0.13563573999116121</v>
      </c>
      <c r="U446" s="10">
        <v>1.1764705882352899E-2</v>
      </c>
      <c r="V446" s="10">
        <v>0.25345072778986111</v>
      </c>
      <c r="W446" s="10">
        <v>3.94406306211805E-2</v>
      </c>
      <c r="X446" s="10">
        <v>4.0816326530611997E-3</v>
      </c>
      <c r="Y446" s="10">
        <v>6.4413192461450594E-2</v>
      </c>
      <c r="Z446" s="10">
        <v>0.4</v>
      </c>
      <c r="AA446" s="10">
        <v>2.2222222222222199E-2</v>
      </c>
      <c r="AB446" s="10">
        <v>0.9555555555555556</v>
      </c>
      <c r="AC446" s="10">
        <v>7.0464064364661502E-2</v>
      </c>
      <c r="AD446">
        <v>5.0362564690524303E-2</v>
      </c>
      <c r="AE446">
        <v>8.86679716931493E-2</v>
      </c>
    </row>
    <row r="447" spans="1:31" hidden="1">
      <c r="A447" t="s">
        <v>88</v>
      </c>
      <c r="B447" t="s">
        <v>78</v>
      </c>
      <c r="C447" t="s">
        <v>84</v>
      </c>
      <c r="D447" t="s">
        <v>67</v>
      </c>
      <c r="E447">
        <v>4</v>
      </c>
      <c r="F447">
        <v>2.8985507246376802E-2</v>
      </c>
      <c r="G447">
        <v>5</v>
      </c>
      <c r="H447" s="10">
        <v>7.0030085871454401E-2</v>
      </c>
      <c r="I447" s="10">
        <v>3.6575643039708498E-2</v>
      </c>
      <c r="J447" s="10">
        <v>0.15298491631297709</v>
      </c>
      <c r="K447" s="10">
        <v>2.416037962565178</v>
      </c>
      <c r="L447" s="10">
        <v>1.2618596848699459</v>
      </c>
      <c r="M447" s="10">
        <v>5.2779796127977123</v>
      </c>
      <c r="N447" s="10">
        <v>0.59832089552238799</v>
      </c>
      <c r="O447" s="10">
        <v>0.50307835820895519</v>
      </c>
      <c r="P447" s="10">
        <v>0.69832089552238807</v>
      </c>
      <c r="Q447" s="10">
        <v>5.0840325131448802E-2</v>
      </c>
      <c r="R447" s="10">
        <v>-5.3249420492554697E-2</v>
      </c>
      <c r="S447" s="10">
        <v>0.12584844299670381</v>
      </c>
      <c r="T447" s="10">
        <v>0.14769505004799119</v>
      </c>
      <c r="U447" s="10">
        <v>7.3636363636363597E-2</v>
      </c>
      <c r="V447" s="10">
        <v>0.1907239819004525</v>
      </c>
      <c r="W447" s="10">
        <v>3.5667478604808997E-2</v>
      </c>
      <c r="X447" s="10">
        <v>1.84457266498377E-2</v>
      </c>
      <c r="Y447" s="10">
        <v>4.5256916996047399E-2</v>
      </c>
      <c r="Z447" s="10">
        <v>0.7</v>
      </c>
      <c r="AA447" s="10">
        <v>0.3</v>
      </c>
      <c r="AB447" s="10">
        <v>0.97499999999999998</v>
      </c>
      <c r="AC447" s="10">
        <v>1.0853571067522E-2</v>
      </c>
      <c r="AD447">
        <v>1.03526489832555E-2</v>
      </c>
      <c r="AE447">
        <v>1.1459974081269499E-2</v>
      </c>
    </row>
    <row r="448" spans="1:31" hidden="1">
      <c r="A448" t="s">
        <v>88</v>
      </c>
      <c r="B448" t="s">
        <v>78</v>
      </c>
      <c r="C448" t="s">
        <v>84</v>
      </c>
      <c r="D448" t="s">
        <v>68</v>
      </c>
      <c r="E448">
        <v>20</v>
      </c>
      <c r="F448">
        <v>0.14492753623188401</v>
      </c>
      <c r="G448">
        <v>5</v>
      </c>
      <c r="H448" s="10">
        <v>0.30044199548394618</v>
      </c>
      <c r="I448" s="10">
        <v>0.27379561324796331</v>
      </c>
      <c r="J448" s="10">
        <v>0.32179372073558449</v>
      </c>
      <c r="K448" s="10">
        <v>2.0730497688392289</v>
      </c>
      <c r="L448" s="10">
        <v>1.8891897314109469</v>
      </c>
      <c r="M448" s="10">
        <v>2.220376673075533</v>
      </c>
      <c r="N448" s="10">
        <v>0.70372881355932204</v>
      </c>
      <c r="O448" s="10">
        <v>0.66749999999999998</v>
      </c>
      <c r="P448" s="10">
        <v>0.72817796610169483</v>
      </c>
      <c r="Q448" s="10">
        <v>0.21673426233548529</v>
      </c>
      <c r="R448" s="10">
        <v>7.42223532742467E-2</v>
      </c>
      <c r="S448" s="10">
        <v>0.28248705322595069</v>
      </c>
      <c r="T448" s="10">
        <v>0.35644173566634352</v>
      </c>
      <c r="U448" s="10">
        <v>0.1368378812199037</v>
      </c>
      <c r="V448" s="10">
        <v>0.49166666666666659</v>
      </c>
      <c r="W448" s="10">
        <v>0.30936507936507929</v>
      </c>
      <c r="X448" s="10">
        <v>0.2233333333333333</v>
      </c>
      <c r="Y448" s="10">
        <v>0.3880952380952381</v>
      </c>
      <c r="Z448" s="10">
        <v>0.4</v>
      </c>
      <c r="AA448" s="10">
        <v>0.125</v>
      </c>
      <c r="AB448" s="10">
        <v>0.67499999999999993</v>
      </c>
      <c r="AC448" s="10">
        <v>0.46748013932347748</v>
      </c>
      <c r="AD448">
        <v>6.7175242103505201E-2</v>
      </c>
      <c r="AE448">
        <v>0.74586617208485639</v>
      </c>
    </row>
    <row r="449" spans="1:31" hidden="1">
      <c r="A449" t="s">
        <v>88</v>
      </c>
      <c r="B449" t="s">
        <v>78</v>
      </c>
      <c r="C449" t="s">
        <v>84</v>
      </c>
      <c r="D449" t="s">
        <v>69</v>
      </c>
      <c r="E449">
        <v>26</v>
      </c>
      <c r="F449">
        <v>0.1884057971014492</v>
      </c>
      <c r="G449">
        <v>5</v>
      </c>
      <c r="H449" s="10">
        <v>0.58220398756772984</v>
      </c>
      <c r="I449" s="10">
        <v>0.51798130416737076</v>
      </c>
      <c r="J449" s="10">
        <v>0.65349961438843562</v>
      </c>
      <c r="K449" s="10">
        <v>3.0901596263210278</v>
      </c>
      <c r="L449" s="10">
        <v>2.749285383657583</v>
      </c>
      <c r="M449" s="10">
        <v>3.4685748763693889</v>
      </c>
      <c r="N449" s="10">
        <v>0.89759615384615388</v>
      </c>
      <c r="O449" s="10">
        <v>0.86734203296703294</v>
      </c>
      <c r="P449" s="10">
        <v>0.93279532967032963</v>
      </c>
      <c r="Q449" s="10">
        <v>0.56608632570380246</v>
      </c>
      <c r="R449" s="10">
        <v>0.47208718945345951</v>
      </c>
      <c r="S449" s="10">
        <v>0.68699648207228969</v>
      </c>
      <c r="T449" s="10">
        <v>0.76360642674884527</v>
      </c>
      <c r="U449" s="10">
        <v>0.63211210930189032</v>
      </c>
      <c r="V449" s="10">
        <v>0.86686755239008351</v>
      </c>
      <c r="W449" s="10">
        <v>0.5048822005758653</v>
      </c>
      <c r="X449" s="10">
        <v>0.4321618037135278</v>
      </c>
      <c r="Y449" s="10">
        <v>0.57581395348837205</v>
      </c>
      <c r="Z449" s="10">
        <v>0.88461538461538469</v>
      </c>
      <c r="AA449" s="10">
        <v>0.67692307692307696</v>
      </c>
      <c r="AB449" s="10">
        <v>0.99615384615384617</v>
      </c>
      <c r="AC449" s="10">
        <v>8.5038016940930397E-2</v>
      </c>
      <c r="AD449">
        <v>2.3795177646318201E-2</v>
      </c>
      <c r="AE449">
        <v>0.16824769948003579</v>
      </c>
    </row>
    <row r="450" spans="1:31" hidden="1">
      <c r="A450" t="s">
        <v>88</v>
      </c>
      <c r="B450" t="s">
        <v>78</v>
      </c>
      <c r="C450" t="s">
        <v>84</v>
      </c>
      <c r="D450" t="s">
        <v>70</v>
      </c>
      <c r="E450">
        <v>7</v>
      </c>
      <c r="F450">
        <v>5.0724637681159403E-2</v>
      </c>
      <c r="G450">
        <v>5</v>
      </c>
      <c r="H450" s="10">
        <v>9.4239708972096797E-2</v>
      </c>
      <c r="I450" s="10">
        <v>7.8949061108985794E-2</v>
      </c>
      <c r="J450" s="10">
        <v>0.11305321456780459</v>
      </c>
      <c r="K450" s="10">
        <v>1.8578685483070521</v>
      </c>
      <c r="L450" s="10">
        <v>1.55642434757715</v>
      </c>
      <c r="M450" s="10">
        <v>2.2287633729081491</v>
      </c>
      <c r="N450" s="10">
        <v>0.59999999999999987</v>
      </c>
      <c r="O450" s="10">
        <v>0.55714285714285716</v>
      </c>
      <c r="P450" s="10">
        <v>0.63435114503816792</v>
      </c>
      <c r="Q450" s="10">
        <v>2.4012630542278299E-2</v>
      </c>
      <c r="R450" s="10">
        <v>-6.1320458440105002E-2</v>
      </c>
      <c r="S450" s="10">
        <v>0.1085589087621231</v>
      </c>
      <c r="T450" s="10">
        <v>0.1728070175438596</v>
      </c>
      <c r="U450" s="10">
        <v>1.9736842105263101E-2</v>
      </c>
      <c r="V450" s="10">
        <v>0.22222222222222221</v>
      </c>
      <c r="W450" s="10">
        <v>5.7325010197024198E-2</v>
      </c>
      <c r="X450" s="10">
        <v>4.8387096774193004E-3</v>
      </c>
      <c r="Y450" s="10">
        <v>0.11233396584440219</v>
      </c>
      <c r="Z450" s="10">
        <v>0.51428571428571423</v>
      </c>
      <c r="AA450" s="10">
        <v>2.8571428571428501E-2</v>
      </c>
      <c r="AB450" s="10">
        <v>0.8571428571428571</v>
      </c>
      <c r="AC450" s="10">
        <v>2.71423883599336E-2</v>
      </c>
      <c r="AD450">
        <v>4.6938084445954003E-3</v>
      </c>
      <c r="AE450">
        <v>5.8391997237638299E-2</v>
      </c>
    </row>
    <row r="451" spans="1:31" hidden="1">
      <c r="A451" t="s">
        <v>88</v>
      </c>
      <c r="B451" t="s">
        <v>78</v>
      </c>
      <c r="C451" t="s">
        <v>84</v>
      </c>
      <c r="D451" t="s">
        <v>71</v>
      </c>
      <c r="E451">
        <v>9</v>
      </c>
      <c r="F451">
        <v>6.5217391304347797E-2</v>
      </c>
      <c r="G451">
        <v>5</v>
      </c>
      <c r="H451" s="10">
        <v>9.2606122663697193E-2</v>
      </c>
      <c r="I451" s="10">
        <v>5.9527450834815303E-2</v>
      </c>
      <c r="J451" s="10">
        <v>0.14837789081366071</v>
      </c>
      <c r="K451" s="10">
        <v>1.4199605475100241</v>
      </c>
      <c r="L451" s="10">
        <v>0.91275424613383482</v>
      </c>
      <c r="M451" s="10">
        <v>2.275127659142798</v>
      </c>
      <c r="N451" s="10">
        <v>0.48466838931955208</v>
      </c>
      <c r="O451" s="10">
        <v>0.42179155900086129</v>
      </c>
      <c r="P451" s="10">
        <v>0.56968130921619298</v>
      </c>
      <c r="Q451" s="10">
        <v>5.34849944200015E-2</v>
      </c>
      <c r="R451" s="10">
        <v>-6.7256762539442502E-2</v>
      </c>
      <c r="S451" s="10">
        <v>0.1346118468280926</v>
      </c>
      <c r="T451" s="10">
        <v>0.18559750687426699</v>
      </c>
      <c r="U451" s="10">
        <v>1.1627906976744099E-2</v>
      </c>
      <c r="V451" s="10">
        <v>0.2738973272966263</v>
      </c>
      <c r="W451" s="10">
        <v>8.6374386586695703E-2</v>
      </c>
      <c r="X451" s="10">
        <v>6.8702290076335E-3</v>
      </c>
      <c r="Y451" s="10">
        <v>0.14928571428571419</v>
      </c>
      <c r="Z451" s="10">
        <v>0.48888888888888887</v>
      </c>
      <c r="AA451" s="10">
        <v>1.1111111111111099E-2</v>
      </c>
      <c r="AB451" s="10">
        <v>1</v>
      </c>
      <c r="AC451" s="10">
        <v>7.3174750146498102E-2</v>
      </c>
      <c r="AD451">
        <v>2.6798963610400999E-3</v>
      </c>
      <c r="AE451">
        <v>0.18000649922981329</v>
      </c>
    </row>
  </sheetData>
  <autoFilter ref="A1:AE451" xr:uid="{00000000-0001-0000-0300-000000000000}">
    <filterColumn colId="2">
      <filters>
        <filter val="GLMNET"/>
      </filters>
    </filterColumn>
    <sortState xmlns:xlrd2="http://schemas.microsoft.com/office/spreadsheetml/2017/richdata2" ref="A2:AE422">
      <sortCondition ref="B1:B451"/>
    </sortState>
  </autoFilter>
  <phoneticPr fontId="2" type="noConversion"/>
  <conditionalFormatting sqref="H2:AC45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3" width="10" customWidth="1"/>
    <col min="4" max="4" width="18" customWidth="1"/>
    <col min="5" max="13" width="20" customWidth="1"/>
    <col min="14" max="14" width="21" customWidth="1"/>
    <col min="15" max="15" width="24" customWidth="1"/>
    <col min="16" max="25" width="20" customWidth="1"/>
  </cols>
  <sheetData>
    <row r="1" spans="1:25">
      <c r="A1" s="1" t="s">
        <v>30</v>
      </c>
      <c r="B1" s="1" t="s">
        <v>24</v>
      </c>
      <c r="C1" s="1" t="s">
        <v>28</v>
      </c>
      <c r="D1" s="1" t="s">
        <v>34</v>
      </c>
      <c r="E1" s="1" t="s">
        <v>42</v>
      </c>
      <c r="F1" s="1" t="s">
        <v>43</v>
      </c>
      <c r="G1" s="1" t="s">
        <v>44</v>
      </c>
      <c r="H1" s="1" t="s">
        <v>38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</row>
    <row r="2" spans="1:25">
      <c r="A2" t="s">
        <v>79</v>
      </c>
      <c r="B2" t="s">
        <v>65</v>
      </c>
      <c r="C2" t="s">
        <v>80</v>
      </c>
      <c r="D2">
        <v>5</v>
      </c>
      <c r="E2">
        <v>0.1695688968684875</v>
      </c>
      <c r="F2">
        <v>0.1517659207342914</v>
      </c>
      <c r="G2">
        <v>0.1885523742594723</v>
      </c>
      <c r="H2">
        <v>1.64610204107753</v>
      </c>
      <c r="I2">
        <v>1.5008257240105241</v>
      </c>
      <c r="J2">
        <v>1.7513692726633521</v>
      </c>
      <c r="K2">
        <v>0.60791696172591314</v>
      </c>
      <c r="L2">
        <v>0.5835962476446771</v>
      </c>
      <c r="M2">
        <v>0.62322084272252021</v>
      </c>
      <c r="N2">
        <v>0.14489458666997321</v>
      </c>
      <c r="O2">
        <v>0.1095954870591145</v>
      </c>
      <c r="P2">
        <v>0.17753836140748541</v>
      </c>
      <c r="Q2">
        <v>0.32048055717248569</v>
      </c>
      <c r="R2">
        <v>0.29216355290020529</v>
      </c>
      <c r="S2">
        <v>0.35050467795093171</v>
      </c>
      <c r="T2">
        <v>0.176802352076913</v>
      </c>
      <c r="U2">
        <v>0.16274700132807099</v>
      </c>
      <c r="V2">
        <v>0.1884480245601291</v>
      </c>
      <c r="W2">
        <v>0.63007081807081811</v>
      </c>
      <c r="X2">
        <v>0.49931013431013438</v>
      </c>
      <c r="Y2">
        <v>0.81477899877899873</v>
      </c>
    </row>
    <row r="3" spans="1:25">
      <c r="A3" t="s">
        <v>79</v>
      </c>
      <c r="B3" t="s">
        <v>65</v>
      </c>
      <c r="C3" t="s">
        <v>81</v>
      </c>
      <c r="D3">
        <v>5</v>
      </c>
      <c r="E3">
        <v>0.18513656210924689</v>
      </c>
      <c r="F3">
        <v>0.16427766931009319</v>
      </c>
      <c r="G3">
        <v>0.22544911525113789</v>
      </c>
      <c r="H3">
        <v>1.5340004466881001</v>
      </c>
      <c r="I3">
        <v>1.412470355296886</v>
      </c>
      <c r="J3">
        <v>1.7493064919012049</v>
      </c>
      <c r="K3">
        <v>0.56275502020364265</v>
      </c>
      <c r="L3">
        <v>0.55842966806156935</v>
      </c>
      <c r="M3">
        <v>0.56938605485249016</v>
      </c>
      <c r="N3">
        <v>0.11621244897090729</v>
      </c>
      <c r="O3">
        <v>9.2173705508748205E-2</v>
      </c>
      <c r="P3">
        <v>0.15528924299268199</v>
      </c>
      <c r="Q3">
        <v>0.29901410221301972</v>
      </c>
      <c r="R3">
        <v>0.28029881942135959</v>
      </c>
      <c r="S3">
        <v>0.34402034433630868</v>
      </c>
      <c r="T3">
        <v>0.1803680151742158</v>
      </c>
      <c r="U3">
        <v>0.15551660772484571</v>
      </c>
      <c r="V3">
        <v>0.20977774093232859</v>
      </c>
      <c r="W3">
        <v>0.79338461538461535</v>
      </c>
      <c r="X3">
        <v>0.76376923076923076</v>
      </c>
      <c r="Y3">
        <v>0.8478461538461538</v>
      </c>
    </row>
    <row r="4" spans="1:25">
      <c r="A4" t="s">
        <v>79</v>
      </c>
      <c r="B4" t="s">
        <v>65</v>
      </c>
      <c r="C4" t="s">
        <v>82</v>
      </c>
      <c r="D4">
        <v>5</v>
      </c>
      <c r="E4">
        <v>0.14244278314378489</v>
      </c>
      <c r="F4">
        <v>0.1217793578259056</v>
      </c>
      <c r="G4">
        <v>0.1637745740615581</v>
      </c>
      <c r="H4">
        <v>1.3033432970253269</v>
      </c>
      <c r="I4">
        <v>1.1301197822563041</v>
      </c>
      <c r="J4">
        <v>1.4533057982226021</v>
      </c>
      <c r="K4">
        <v>0.4959526535937997</v>
      </c>
      <c r="L4">
        <v>0.47920319195293021</v>
      </c>
      <c r="M4">
        <v>0.51679362113739202</v>
      </c>
      <c r="N4">
        <v>5.2812250185460298E-2</v>
      </c>
      <c r="O4">
        <v>2.3296345806866899E-2</v>
      </c>
      <c r="P4">
        <v>8.3432080909096706E-2</v>
      </c>
      <c r="Q4">
        <v>0.24466830017154581</v>
      </c>
      <c r="R4">
        <v>0.23083954282974339</v>
      </c>
      <c r="S4">
        <v>0.25922720451690301</v>
      </c>
      <c r="T4">
        <v>0.1431921102547753</v>
      </c>
      <c r="U4">
        <v>0.1103210899016529</v>
      </c>
      <c r="V4">
        <v>0.17253016408611169</v>
      </c>
      <c r="W4">
        <v>0.5012136752136751</v>
      </c>
      <c r="X4">
        <v>0.42315995115995109</v>
      </c>
      <c r="Y4">
        <v>0.63437851037851023</v>
      </c>
    </row>
    <row r="5" spans="1:25">
      <c r="A5" t="s">
        <v>79</v>
      </c>
      <c r="B5" t="s">
        <v>65</v>
      </c>
      <c r="C5" t="s">
        <v>76</v>
      </c>
      <c r="D5">
        <v>5</v>
      </c>
      <c r="E5">
        <v>0.2005767920775488</v>
      </c>
      <c r="F5">
        <v>0.18773964948332461</v>
      </c>
      <c r="G5">
        <v>0.2176449230145574</v>
      </c>
      <c r="H5">
        <v>1.65879103064891</v>
      </c>
      <c r="I5">
        <v>1.574086855063547</v>
      </c>
      <c r="J5">
        <v>1.7307860935178021</v>
      </c>
      <c r="K5">
        <v>0.5741844170189323</v>
      </c>
      <c r="L5">
        <v>0.54229286273930688</v>
      </c>
      <c r="M5">
        <v>0.58848948876936646</v>
      </c>
      <c r="N5">
        <v>0.13592406226254311</v>
      </c>
      <c r="O5">
        <v>9.9324209614977593E-2</v>
      </c>
      <c r="P5">
        <v>0.15906056154353029</v>
      </c>
      <c r="Q5">
        <v>0.28227876369549287</v>
      </c>
      <c r="R5">
        <v>0.23191988991269569</v>
      </c>
      <c r="S5">
        <v>0.30932972563353012</v>
      </c>
      <c r="T5">
        <v>0.1941662478652916</v>
      </c>
      <c r="U5">
        <v>0.1616189101325711</v>
      </c>
      <c r="V5">
        <v>0.23197954222822659</v>
      </c>
      <c r="W5">
        <v>0.67092063492063492</v>
      </c>
      <c r="X5">
        <v>0.54656410256410259</v>
      </c>
      <c r="Y5">
        <v>0.75664835164835165</v>
      </c>
    </row>
    <row r="6" spans="1:25">
      <c r="A6" t="s">
        <v>79</v>
      </c>
      <c r="B6" t="s">
        <v>65</v>
      </c>
      <c r="C6" t="s">
        <v>83</v>
      </c>
      <c r="D6">
        <v>5</v>
      </c>
      <c r="E6">
        <v>0.19009387822257409</v>
      </c>
      <c r="F6">
        <v>0.16467390437718901</v>
      </c>
      <c r="G6">
        <v>0.21193131431458209</v>
      </c>
      <c r="H6">
        <v>1.722820879544168</v>
      </c>
      <c r="I6">
        <v>1.53333655457047</v>
      </c>
      <c r="J6">
        <v>1.9615225273279771</v>
      </c>
      <c r="K6">
        <v>0.57834579479579262</v>
      </c>
      <c r="L6">
        <v>0.54312394917050777</v>
      </c>
      <c r="M6">
        <v>0.60710162142540047</v>
      </c>
      <c r="N6">
        <v>0.1072543784711238</v>
      </c>
      <c r="O6">
        <v>7.7468800419786002E-2</v>
      </c>
      <c r="P6">
        <v>0.14490310989027499</v>
      </c>
      <c r="Q6">
        <v>0.25034775760394468</v>
      </c>
      <c r="R6">
        <v>0.2351171965954901</v>
      </c>
      <c r="S6">
        <v>0.27488439387928781</v>
      </c>
      <c r="T6">
        <v>0.1659885602645422</v>
      </c>
      <c r="U6">
        <v>0.14818342599213</v>
      </c>
      <c r="V6">
        <v>0.20006164120457151</v>
      </c>
      <c r="W6">
        <v>0.48712820512820509</v>
      </c>
      <c r="X6">
        <v>0.3775958485958486</v>
      </c>
      <c r="Y6">
        <v>0.59646153846153838</v>
      </c>
    </row>
    <row r="7" spans="1:25">
      <c r="A7" t="s">
        <v>79</v>
      </c>
      <c r="B7" t="s">
        <v>65</v>
      </c>
      <c r="C7" t="s">
        <v>84</v>
      </c>
      <c r="D7">
        <v>5</v>
      </c>
      <c r="E7">
        <v>0.21404569228079279</v>
      </c>
      <c r="F7">
        <v>0.20361619747689</v>
      </c>
      <c r="G7">
        <v>0.2284252510926838</v>
      </c>
      <c r="H7">
        <v>1.780572278248377</v>
      </c>
      <c r="I7">
        <v>1.654014011340138</v>
      </c>
      <c r="J7">
        <v>1.8977203362799311</v>
      </c>
      <c r="K7">
        <v>0.59643655202351553</v>
      </c>
      <c r="L7">
        <v>0.56884247446159764</v>
      </c>
      <c r="M7">
        <v>0.62614592805055713</v>
      </c>
      <c r="N7">
        <v>0.1089111330740031</v>
      </c>
      <c r="O7">
        <v>6.9689365265906494E-2</v>
      </c>
      <c r="P7">
        <v>0.1323252200676783</v>
      </c>
      <c r="Q7">
        <v>0.27308067295658089</v>
      </c>
      <c r="R7">
        <v>0.2498750474028805</v>
      </c>
      <c r="S7">
        <v>0.30683048968264448</v>
      </c>
      <c r="T7">
        <v>0.18448280642872231</v>
      </c>
      <c r="U7">
        <v>0.15827826155523941</v>
      </c>
      <c r="V7">
        <v>0.21411432330755051</v>
      </c>
      <c r="W7">
        <v>0.60392429792429791</v>
      </c>
      <c r="X7">
        <v>0.55470818070818073</v>
      </c>
      <c r="Y7">
        <v>0.68161294261294259</v>
      </c>
    </row>
    <row r="8" spans="1:25">
      <c r="A8" t="s">
        <v>79</v>
      </c>
      <c r="B8" t="s">
        <v>77</v>
      </c>
      <c r="C8" t="s">
        <v>80</v>
      </c>
      <c r="D8">
        <v>5</v>
      </c>
      <c r="E8">
        <v>0.23040279601463939</v>
      </c>
      <c r="F8">
        <v>0.19919303213271711</v>
      </c>
      <c r="G8">
        <v>0.27548463411580842</v>
      </c>
      <c r="H8">
        <v>2.9272266418050901</v>
      </c>
      <c r="I8">
        <v>2.5714218702946039</v>
      </c>
      <c r="J8">
        <v>3.2877372423245821</v>
      </c>
      <c r="K8">
        <v>0.72271059542585769</v>
      </c>
      <c r="L8">
        <v>0.66479384526884067</v>
      </c>
      <c r="M8">
        <v>0.76476309186302893</v>
      </c>
      <c r="N8">
        <v>0.2325013755784737</v>
      </c>
      <c r="O8">
        <v>0.19456500145884589</v>
      </c>
      <c r="P8">
        <v>0.25926054132566939</v>
      </c>
      <c r="Q8">
        <v>0.38738764780002649</v>
      </c>
      <c r="R8">
        <v>0.35659157191005703</v>
      </c>
      <c r="S8">
        <v>0.42734538046590281</v>
      </c>
      <c r="T8">
        <v>0.2085515620177916</v>
      </c>
      <c r="U8">
        <v>0.181731551710821</v>
      </c>
      <c r="V8">
        <v>0.2267379055327304</v>
      </c>
      <c r="W8">
        <v>0.6481196581196581</v>
      </c>
      <c r="X8">
        <v>0.48119658119658121</v>
      </c>
      <c r="Y8">
        <v>0.77959096459096466</v>
      </c>
    </row>
    <row r="9" spans="1:25">
      <c r="A9" t="s">
        <v>79</v>
      </c>
      <c r="B9" t="s">
        <v>77</v>
      </c>
      <c r="C9" t="s">
        <v>81</v>
      </c>
      <c r="D9">
        <v>5</v>
      </c>
      <c r="E9">
        <v>0.2152495581160348</v>
      </c>
      <c r="F9">
        <v>0.17367599773089901</v>
      </c>
      <c r="G9">
        <v>0.28336274213557228</v>
      </c>
      <c r="H9">
        <v>3.097599267807789</v>
      </c>
      <c r="I9">
        <v>1.7741212775709461</v>
      </c>
      <c r="J9">
        <v>5.2523278601359351</v>
      </c>
      <c r="K9">
        <v>0.62677412742764993</v>
      </c>
      <c r="L9">
        <v>0.61538536526734799</v>
      </c>
      <c r="M9">
        <v>0.64252529685989213</v>
      </c>
      <c r="N9">
        <v>0.15886951669905219</v>
      </c>
      <c r="O9">
        <v>0.1198054591879965</v>
      </c>
      <c r="P9">
        <v>0.21268594133490451</v>
      </c>
      <c r="Q9">
        <v>0.34300442864749942</v>
      </c>
      <c r="R9">
        <v>0.2817318724508574</v>
      </c>
      <c r="S9">
        <v>0.3996464918104472</v>
      </c>
      <c r="T9">
        <v>0.19060596090600249</v>
      </c>
      <c r="U9">
        <v>0.16367494475428809</v>
      </c>
      <c r="V9">
        <v>0.25264336533032178</v>
      </c>
      <c r="W9">
        <v>0.73816849816849817</v>
      </c>
      <c r="X9">
        <v>0.52890109890109893</v>
      </c>
      <c r="Y9">
        <v>0.86472527472527483</v>
      </c>
    </row>
    <row r="10" spans="1:25">
      <c r="A10" t="s">
        <v>79</v>
      </c>
      <c r="B10" t="s">
        <v>77</v>
      </c>
      <c r="C10" t="s">
        <v>82</v>
      </c>
      <c r="D10">
        <v>5</v>
      </c>
      <c r="E10">
        <v>0.1265026444841004</v>
      </c>
      <c r="F10">
        <v>0.10885215261049461</v>
      </c>
      <c r="G10">
        <v>0.14885610145908409</v>
      </c>
      <c r="H10">
        <v>1.273111723524458</v>
      </c>
      <c r="I10">
        <v>1.1136894090766729</v>
      </c>
      <c r="J10">
        <v>1.497833975481887</v>
      </c>
      <c r="K10">
        <v>0.50738721359298111</v>
      </c>
      <c r="L10">
        <v>0.47464500068449461</v>
      </c>
      <c r="M10">
        <v>0.54241850792505597</v>
      </c>
      <c r="N10">
        <v>5.2406647641976001E-2</v>
      </c>
      <c r="O10">
        <v>3.1313683083176197E-2</v>
      </c>
      <c r="P10">
        <v>8.29477576660754E-2</v>
      </c>
      <c r="Q10">
        <v>0.26902611087239081</v>
      </c>
      <c r="R10">
        <v>0.20156993812226909</v>
      </c>
      <c r="S10">
        <v>0.32039085783589899</v>
      </c>
      <c r="T10">
        <v>0.1143384724519361</v>
      </c>
      <c r="U10">
        <v>0.108890562773536</v>
      </c>
      <c r="V10">
        <v>0.12137407527156351</v>
      </c>
      <c r="W10">
        <v>0.61997557997557995</v>
      </c>
      <c r="X10">
        <v>0.44255799755799752</v>
      </c>
      <c r="Y10">
        <v>0.8794749694749695</v>
      </c>
    </row>
    <row r="11" spans="1:25">
      <c r="A11" t="s">
        <v>79</v>
      </c>
      <c r="B11" t="s">
        <v>77</v>
      </c>
      <c r="C11" t="s">
        <v>76</v>
      </c>
      <c r="D11">
        <v>5</v>
      </c>
      <c r="E11">
        <v>0.25159156027156498</v>
      </c>
      <c r="F11">
        <v>0.2363905685871297</v>
      </c>
      <c r="G11">
        <v>0.26832947163983228</v>
      </c>
      <c r="H11">
        <v>2.5933903926741801</v>
      </c>
      <c r="I11">
        <v>2.2529324248058442</v>
      </c>
      <c r="J11">
        <v>2.8070033641252601</v>
      </c>
      <c r="K11">
        <v>0.71122451179892998</v>
      </c>
      <c r="L11">
        <v>0.70074314764691925</v>
      </c>
      <c r="M11">
        <v>0.72114661972586414</v>
      </c>
      <c r="N11">
        <v>0.22471473832216199</v>
      </c>
      <c r="O11">
        <v>0.19672888455101889</v>
      </c>
      <c r="P11">
        <v>0.26185990086869249</v>
      </c>
      <c r="Q11">
        <v>0.36103517249956119</v>
      </c>
      <c r="R11">
        <v>0.34420027039854051</v>
      </c>
      <c r="S11">
        <v>0.37771631008000489</v>
      </c>
      <c r="T11">
        <v>0.2395325378164872</v>
      </c>
      <c r="U11">
        <v>0.1960492370031601</v>
      </c>
      <c r="V11">
        <v>0.2830405895988371</v>
      </c>
      <c r="W11">
        <v>0.61086691086691092</v>
      </c>
      <c r="X11">
        <v>0.51429792429792431</v>
      </c>
      <c r="Y11">
        <v>0.68125763125763128</v>
      </c>
    </row>
    <row r="12" spans="1:25">
      <c r="A12" t="s">
        <v>79</v>
      </c>
      <c r="B12" t="s">
        <v>77</v>
      </c>
      <c r="C12" t="s">
        <v>83</v>
      </c>
      <c r="D12">
        <v>5</v>
      </c>
      <c r="E12">
        <v>0.22171414143402521</v>
      </c>
      <c r="F12">
        <v>0.16716660530001931</v>
      </c>
      <c r="G12">
        <v>0.26215897477189509</v>
      </c>
      <c r="H12">
        <v>2.134194165375511</v>
      </c>
      <c r="I12">
        <v>1.3357096084150459</v>
      </c>
      <c r="J12">
        <v>3.309762328650105</v>
      </c>
      <c r="K12">
        <v>0.54835119885124783</v>
      </c>
      <c r="L12">
        <v>0.4695702712300216</v>
      </c>
      <c r="M12">
        <v>0.62389912663255276</v>
      </c>
      <c r="N12">
        <v>0.12598590770214979</v>
      </c>
      <c r="O12">
        <v>7.6926940476020694E-2</v>
      </c>
      <c r="P12">
        <v>0.17172544718969129</v>
      </c>
      <c r="Q12">
        <v>0.30414194087352558</v>
      </c>
      <c r="R12">
        <v>0.27300846158494418</v>
      </c>
      <c r="S12">
        <v>0.34352929467341697</v>
      </c>
      <c r="T12">
        <v>0.1920003518462991</v>
      </c>
      <c r="U12">
        <v>0.1665077784470666</v>
      </c>
      <c r="V12">
        <v>0.21291320732485261</v>
      </c>
      <c r="W12">
        <v>0.54571428571428571</v>
      </c>
      <c r="X12">
        <v>0.4237912087912088</v>
      </c>
      <c r="Y12">
        <v>0.77463369963369966</v>
      </c>
    </row>
    <row r="13" spans="1:25">
      <c r="A13" t="s">
        <v>79</v>
      </c>
      <c r="B13" t="s">
        <v>77</v>
      </c>
      <c r="C13" t="s">
        <v>84</v>
      </c>
      <c r="D13">
        <v>5</v>
      </c>
      <c r="E13">
        <v>0.2852670812133471</v>
      </c>
      <c r="F13">
        <v>0.2679215208368067</v>
      </c>
      <c r="G13">
        <v>0.29193139469181462</v>
      </c>
      <c r="H13">
        <v>2.7197746025232101</v>
      </c>
      <c r="I13">
        <v>2.5248482995033821</v>
      </c>
      <c r="J13">
        <v>2.897733287472696</v>
      </c>
      <c r="K13">
        <v>0.73731686958091325</v>
      </c>
      <c r="L13">
        <v>0.72025602746326656</v>
      </c>
      <c r="M13">
        <v>0.76429108367883836</v>
      </c>
      <c r="N13">
        <v>0.23878034767825199</v>
      </c>
      <c r="O13">
        <v>0.1720819498682388</v>
      </c>
      <c r="P13">
        <v>0.28328823000004327</v>
      </c>
      <c r="Q13">
        <v>0.36632072226659951</v>
      </c>
      <c r="R13">
        <v>0.26560480559959448</v>
      </c>
      <c r="S13">
        <v>0.41942744897303941</v>
      </c>
      <c r="T13">
        <v>0.2468980124152052</v>
      </c>
      <c r="U13">
        <v>0.2154807689866991</v>
      </c>
      <c r="V13">
        <v>0.29201893178557448</v>
      </c>
      <c r="W13">
        <v>0.57710622710622705</v>
      </c>
      <c r="X13">
        <v>0.36700244200244198</v>
      </c>
      <c r="Y13">
        <v>0.70317460317460312</v>
      </c>
    </row>
    <row r="14" spans="1:25">
      <c r="A14" t="s">
        <v>79</v>
      </c>
      <c r="B14" t="s">
        <v>78</v>
      </c>
      <c r="C14" t="s">
        <v>80</v>
      </c>
      <c r="D14">
        <v>5</v>
      </c>
      <c r="E14">
        <v>0.1955692179877416</v>
      </c>
      <c r="F14">
        <v>0.15722689560500419</v>
      </c>
      <c r="G14">
        <v>0.22263536671424339</v>
      </c>
      <c r="H14">
        <v>2.312481722333902</v>
      </c>
      <c r="I14">
        <v>1.845068865939824</v>
      </c>
      <c r="J14">
        <v>2.9933412565167359</v>
      </c>
      <c r="K14">
        <v>0.67237141611228413</v>
      </c>
      <c r="L14">
        <v>0.62631815486667219</v>
      </c>
      <c r="M14">
        <v>0.71506890776930565</v>
      </c>
      <c r="N14">
        <v>0.21344380885880149</v>
      </c>
      <c r="O14">
        <v>0.16046369947578709</v>
      </c>
      <c r="P14">
        <v>0.25589618361003491</v>
      </c>
      <c r="Q14">
        <v>0.3615676615162004</v>
      </c>
      <c r="R14">
        <v>0.30893050416572271</v>
      </c>
      <c r="S14">
        <v>0.39197971566756851</v>
      </c>
      <c r="T14">
        <v>0.1959969032937682</v>
      </c>
      <c r="U14">
        <v>0.159579952924566</v>
      </c>
      <c r="V14">
        <v>0.23317378390810889</v>
      </c>
      <c r="W14">
        <v>0.624957264957265</v>
      </c>
      <c r="X14">
        <v>0.50623076923076926</v>
      </c>
      <c r="Y14">
        <v>0.72575213675213668</v>
      </c>
    </row>
    <row r="15" spans="1:25">
      <c r="A15" t="s">
        <v>79</v>
      </c>
      <c r="B15" t="s">
        <v>78</v>
      </c>
      <c r="C15" t="s">
        <v>81</v>
      </c>
      <c r="D15">
        <v>5</v>
      </c>
      <c r="E15">
        <v>0.19446994800669579</v>
      </c>
      <c r="F15">
        <v>0.17359696738841859</v>
      </c>
      <c r="G15">
        <v>0.20988745323741259</v>
      </c>
      <c r="H15">
        <v>1.8800389100532171</v>
      </c>
      <c r="I15">
        <v>1.625094990605388</v>
      </c>
      <c r="J15">
        <v>2.2123423093540882</v>
      </c>
      <c r="K15">
        <v>0.62089937642807569</v>
      </c>
      <c r="L15">
        <v>0.59544510183252841</v>
      </c>
      <c r="M15">
        <v>0.64487752641966811</v>
      </c>
      <c r="N15">
        <v>0.1236877897459501</v>
      </c>
      <c r="O15">
        <v>0.1002559887170405</v>
      </c>
      <c r="P15">
        <v>0.15837302302105041</v>
      </c>
      <c r="Q15">
        <v>0.27529177669627058</v>
      </c>
      <c r="R15">
        <v>0.23375791281534961</v>
      </c>
      <c r="S15">
        <v>0.34900765337176831</v>
      </c>
      <c r="T15">
        <v>0.16537681621111419</v>
      </c>
      <c r="U15">
        <v>0.13829507272016359</v>
      </c>
      <c r="V15">
        <v>0.18285455380084531</v>
      </c>
      <c r="W15">
        <v>0.60288888888888892</v>
      </c>
      <c r="X15">
        <v>0.46398290598290598</v>
      </c>
      <c r="Y15">
        <v>0.70915384615384613</v>
      </c>
    </row>
    <row r="16" spans="1:25">
      <c r="A16" t="s">
        <v>79</v>
      </c>
      <c r="B16" t="s">
        <v>78</v>
      </c>
      <c r="C16" t="s">
        <v>82</v>
      </c>
      <c r="D16">
        <v>5</v>
      </c>
      <c r="E16">
        <v>0.1582341109181519</v>
      </c>
      <c r="F16">
        <v>0.1402386505204874</v>
      </c>
      <c r="G16">
        <v>0.1691476531138148</v>
      </c>
      <c r="H16">
        <v>1.4208776467075159</v>
      </c>
      <c r="I16">
        <v>1.2871027092855061</v>
      </c>
      <c r="J16">
        <v>1.5474948955311369</v>
      </c>
      <c r="K16">
        <v>0.54039947505417985</v>
      </c>
      <c r="L16">
        <v>0.5076766593295472</v>
      </c>
      <c r="M16">
        <v>0.56835932718107385</v>
      </c>
      <c r="N16">
        <v>0.12838330765609399</v>
      </c>
      <c r="O16">
        <v>0.1103868765733188</v>
      </c>
      <c r="P16">
        <v>0.1466576280767109</v>
      </c>
      <c r="Q16">
        <v>0.29292072424650761</v>
      </c>
      <c r="R16">
        <v>0.2266525926392762</v>
      </c>
      <c r="S16">
        <v>0.32121299019376393</v>
      </c>
      <c r="T16">
        <v>0.16998873948134649</v>
      </c>
      <c r="U16">
        <v>0.14057351236218321</v>
      </c>
      <c r="V16">
        <v>0.19778496676924989</v>
      </c>
      <c r="W16">
        <v>0.58920146520146521</v>
      </c>
      <c r="X16">
        <v>0.4450146520146519</v>
      </c>
      <c r="Y16">
        <v>0.67360683760683759</v>
      </c>
    </row>
    <row r="17" spans="1:25">
      <c r="A17" t="s">
        <v>79</v>
      </c>
      <c r="B17" t="s">
        <v>78</v>
      </c>
      <c r="C17" t="s">
        <v>76</v>
      </c>
      <c r="D17">
        <v>5</v>
      </c>
      <c r="E17">
        <v>0.25657911480246443</v>
      </c>
      <c r="F17">
        <v>0.23573357120641311</v>
      </c>
      <c r="G17">
        <v>0.27920293024477422</v>
      </c>
      <c r="H17">
        <v>2.4910591723513562</v>
      </c>
      <c r="I17">
        <v>2.227698976524966</v>
      </c>
      <c r="J17">
        <v>2.8338088215899462</v>
      </c>
      <c r="K17">
        <v>0.70520615444366141</v>
      </c>
      <c r="L17">
        <v>0.68265025361818354</v>
      </c>
      <c r="M17">
        <v>0.72234413102461947</v>
      </c>
      <c r="N17">
        <v>0.22871016841341091</v>
      </c>
      <c r="O17">
        <v>0.19911209186039949</v>
      </c>
      <c r="P17">
        <v>0.2485408417678841</v>
      </c>
      <c r="Q17">
        <v>0.36946172077563377</v>
      </c>
      <c r="R17">
        <v>0.32714018708250842</v>
      </c>
      <c r="S17">
        <v>0.40195277633079168</v>
      </c>
      <c r="T17">
        <v>0.22681749229699549</v>
      </c>
      <c r="U17">
        <v>0.18842776149419579</v>
      </c>
      <c r="V17">
        <v>0.27453178436503362</v>
      </c>
      <c r="W17">
        <v>0.6728205128205127</v>
      </c>
      <c r="X17">
        <v>0.47731868131868121</v>
      </c>
      <c r="Y17">
        <v>0.87731379731379733</v>
      </c>
    </row>
    <row r="18" spans="1:25">
      <c r="A18" t="s">
        <v>79</v>
      </c>
      <c r="B18" t="s">
        <v>78</v>
      </c>
      <c r="C18" t="s">
        <v>83</v>
      </c>
      <c r="D18">
        <v>5</v>
      </c>
      <c r="E18">
        <v>0.2140530880317453</v>
      </c>
      <c r="F18">
        <v>0.1677140597437923</v>
      </c>
      <c r="G18">
        <v>0.26544286206770201</v>
      </c>
      <c r="H18">
        <v>2.0673873915798788</v>
      </c>
      <c r="I18">
        <v>1.3751664853069061</v>
      </c>
      <c r="J18">
        <v>3.3499334012665352</v>
      </c>
      <c r="K18">
        <v>0.5730511552626758</v>
      </c>
      <c r="L18">
        <v>0.51175058833442488</v>
      </c>
      <c r="M18">
        <v>0.61281612700313448</v>
      </c>
      <c r="N18">
        <v>0.1686551711048801</v>
      </c>
      <c r="O18">
        <v>0.15133419692633099</v>
      </c>
      <c r="P18">
        <v>0.186005931428223</v>
      </c>
      <c r="Q18">
        <v>0.33150087307585452</v>
      </c>
      <c r="R18">
        <v>0.30204890068887752</v>
      </c>
      <c r="S18">
        <v>0.35237655780721638</v>
      </c>
      <c r="T18">
        <v>0.20955156877614431</v>
      </c>
      <c r="U18">
        <v>0.1953674621492463</v>
      </c>
      <c r="V18">
        <v>0.2187933046974358</v>
      </c>
      <c r="W18">
        <v>0.70201953601953604</v>
      </c>
      <c r="X18">
        <v>0.64513797313797305</v>
      </c>
      <c r="Y18">
        <v>0.79815140415140406</v>
      </c>
    </row>
    <row r="19" spans="1:25">
      <c r="A19" t="s">
        <v>79</v>
      </c>
      <c r="B19" t="s">
        <v>78</v>
      </c>
      <c r="C19" t="s">
        <v>84</v>
      </c>
      <c r="D19">
        <v>5</v>
      </c>
      <c r="E19">
        <v>0.24829173143328359</v>
      </c>
      <c r="F19">
        <v>0.23394406450965261</v>
      </c>
      <c r="G19">
        <v>0.25871138110914049</v>
      </c>
      <c r="H19">
        <v>2.1939421938985491</v>
      </c>
      <c r="I19">
        <v>2.1378891009557748</v>
      </c>
      <c r="J19">
        <v>2.2529007009335782</v>
      </c>
      <c r="K19">
        <v>0.69177727185931004</v>
      </c>
      <c r="L19">
        <v>0.66847366147263809</v>
      </c>
      <c r="M19">
        <v>0.72461153157611802</v>
      </c>
      <c r="N19">
        <v>0.19007001747859439</v>
      </c>
      <c r="O19">
        <v>0.14912431515844751</v>
      </c>
      <c r="P19">
        <v>0.23207239245732109</v>
      </c>
      <c r="Q19">
        <v>0.3332407157991526</v>
      </c>
      <c r="R19">
        <v>0.29964393428453678</v>
      </c>
      <c r="S19">
        <v>0.38656884890566379</v>
      </c>
      <c r="T19">
        <v>0.2210181113999119</v>
      </c>
      <c r="U19">
        <v>0.17390427792143051</v>
      </c>
      <c r="V19">
        <v>0.26977137639978388</v>
      </c>
      <c r="W19">
        <v>0.60064957264957264</v>
      </c>
      <c r="X19">
        <v>0.4646117216117216</v>
      </c>
      <c r="Y19">
        <v>0.73977655677655685</v>
      </c>
    </row>
    <row r="20" spans="1:25">
      <c r="A20" t="s">
        <v>85</v>
      </c>
      <c r="B20" t="s">
        <v>65</v>
      </c>
      <c r="C20" t="s">
        <v>80</v>
      </c>
      <c r="D20">
        <v>5</v>
      </c>
      <c r="E20">
        <v>0.1587618352004275</v>
      </c>
      <c r="F20">
        <v>0.1505930267334783</v>
      </c>
      <c r="G20">
        <v>0.17007800752824731</v>
      </c>
      <c r="H20">
        <v>1.427674307653376</v>
      </c>
      <c r="I20">
        <v>1.3614552556380439</v>
      </c>
      <c r="J20">
        <v>1.4742519461224981</v>
      </c>
      <c r="K20">
        <v>0.54706792230291246</v>
      </c>
      <c r="L20">
        <v>0.51040374597154758</v>
      </c>
      <c r="M20">
        <v>0.58401546532997317</v>
      </c>
      <c r="N20">
        <v>0.1066313877635694</v>
      </c>
      <c r="O20">
        <v>5.1195260364432199E-2</v>
      </c>
      <c r="P20">
        <v>0.15492684601088241</v>
      </c>
      <c r="Q20">
        <v>0.30778256228874629</v>
      </c>
      <c r="R20">
        <v>0.2554377581128297</v>
      </c>
      <c r="S20">
        <v>0.3507069508165902</v>
      </c>
      <c r="T20">
        <v>0.1533301331168738</v>
      </c>
      <c r="U20">
        <v>0.1397785616759229</v>
      </c>
      <c r="V20">
        <v>0.16775673496413129</v>
      </c>
      <c r="W20">
        <v>0.66457387057387052</v>
      </c>
      <c r="X20">
        <v>0.47910012210012209</v>
      </c>
      <c r="Y20">
        <v>0.83258241758241758</v>
      </c>
    </row>
    <row r="21" spans="1:25">
      <c r="A21" t="s">
        <v>85</v>
      </c>
      <c r="B21" t="s">
        <v>65</v>
      </c>
      <c r="C21" t="s">
        <v>81</v>
      </c>
      <c r="D21">
        <v>5</v>
      </c>
      <c r="E21">
        <v>0.18586914517074329</v>
      </c>
      <c r="F21">
        <v>0.17224219214924091</v>
      </c>
      <c r="G21">
        <v>0.20275833211946909</v>
      </c>
      <c r="H21">
        <v>1.747911615318207</v>
      </c>
      <c r="I21">
        <v>1.5538843808155689</v>
      </c>
      <c r="J21">
        <v>1.917527187343478</v>
      </c>
      <c r="K21">
        <v>0.58275038448731897</v>
      </c>
      <c r="L21">
        <v>0.56664883816149791</v>
      </c>
      <c r="M21">
        <v>0.60288517428512856</v>
      </c>
      <c r="N21">
        <v>0.1190862854501845</v>
      </c>
      <c r="O21">
        <v>7.7762536514985894E-2</v>
      </c>
      <c r="P21">
        <v>0.15447757174121099</v>
      </c>
      <c r="Q21">
        <v>0.28850827794486761</v>
      </c>
      <c r="R21">
        <v>0.22242803666687311</v>
      </c>
      <c r="S21">
        <v>0.35122343117111221</v>
      </c>
      <c r="T21">
        <v>0.18854186118892</v>
      </c>
      <c r="U21">
        <v>0.1642867494824016</v>
      </c>
      <c r="V21">
        <v>0.2262303008159785</v>
      </c>
      <c r="W21">
        <v>0.72076923076923083</v>
      </c>
      <c r="X21">
        <v>0.59530769230769232</v>
      </c>
      <c r="Y21">
        <v>0.85623076923076924</v>
      </c>
    </row>
    <row r="22" spans="1:25">
      <c r="A22" t="s">
        <v>85</v>
      </c>
      <c r="B22" t="s">
        <v>65</v>
      </c>
      <c r="C22" t="s">
        <v>82</v>
      </c>
      <c r="D22">
        <v>5</v>
      </c>
      <c r="E22">
        <v>0.1057007758062878</v>
      </c>
      <c r="F22">
        <v>0.10002080664406959</v>
      </c>
      <c r="G22">
        <v>0.1121858378971036</v>
      </c>
      <c r="H22">
        <v>1.082228288590027</v>
      </c>
      <c r="I22">
        <v>1.0151827126649591</v>
      </c>
      <c r="J22">
        <v>1.1333566595346261</v>
      </c>
      <c r="K22">
        <v>0.46229213520189921</v>
      </c>
      <c r="L22">
        <v>0.4365532727566106</v>
      </c>
      <c r="M22">
        <v>0.49933244767581481</v>
      </c>
      <c r="N22">
        <v>-8.6331804603329999E-3</v>
      </c>
      <c r="O22">
        <v>-6.3329276793017295E-2</v>
      </c>
      <c r="P22">
        <v>5.6480403754639898E-2</v>
      </c>
      <c r="Q22">
        <v>0.22940442680239151</v>
      </c>
      <c r="R22">
        <v>0.1508228315289136</v>
      </c>
      <c r="S22">
        <v>0.2953086509433091</v>
      </c>
      <c r="T22">
        <v>8.8258301455151997E-2</v>
      </c>
      <c r="U22">
        <v>6.5002978625750496E-2</v>
      </c>
      <c r="V22">
        <v>0.1067551399340791</v>
      </c>
      <c r="W22">
        <v>0.59628327228327227</v>
      </c>
      <c r="X22">
        <v>0.3885311355311355</v>
      </c>
      <c r="Y22">
        <v>0.80141758241758254</v>
      </c>
    </row>
    <row r="23" spans="1:25">
      <c r="A23" t="s">
        <v>85</v>
      </c>
      <c r="B23" t="s">
        <v>65</v>
      </c>
      <c r="C23" t="s">
        <v>76</v>
      </c>
      <c r="D23">
        <v>5</v>
      </c>
      <c r="E23">
        <v>0.1891217283459708</v>
      </c>
      <c r="F23">
        <v>0.1811495103823248</v>
      </c>
      <c r="G23">
        <v>0.2005365841951402</v>
      </c>
      <c r="H23">
        <v>1.6126350920302781</v>
      </c>
      <c r="I23">
        <v>1.547642932264427</v>
      </c>
      <c r="J23">
        <v>1.6633650478528079</v>
      </c>
      <c r="K23">
        <v>0.58100961561779452</v>
      </c>
      <c r="L23">
        <v>0.55749730177233192</v>
      </c>
      <c r="M23">
        <v>0.59499475603322471</v>
      </c>
      <c r="N23">
        <v>0.1152844196998887</v>
      </c>
      <c r="O23">
        <v>8.7569317069839295E-2</v>
      </c>
      <c r="P23">
        <v>0.1562001314527024</v>
      </c>
      <c r="Q23">
        <v>0.28928996717768918</v>
      </c>
      <c r="R23">
        <v>0.2165915844694907</v>
      </c>
      <c r="S23">
        <v>0.33330626427831828</v>
      </c>
      <c r="T23">
        <v>0.17553453400167079</v>
      </c>
      <c r="U23">
        <v>0.1569320484118483</v>
      </c>
      <c r="V23">
        <v>0.2002066683872932</v>
      </c>
      <c r="W23">
        <v>0.68120634920634926</v>
      </c>
      <c r="X23">
        <v>0.50098412698412709</v>
      </c>
      <c r="Y23">
        <v>0.80414896214896214</v>
      </c>
    </row>
    <row r="24" spans="1:25">
      <c r="A24" t="s">
        <v>85</v>
      </c>
      <c r="B24" t="s">
        <v>65</v>
      </c>
      <c r="C24" t="s">
        <v>83</v>
      </c>
      <c r="D24">
        <v>5</v>
      </c>
      <c r="E24">
        <v>0.1855549485721702</v>
      </c>
      <c r="F24">
        <v>0.16777765123772559</v>
      </c>
      <c r="G24">
        <v>0.19463507262533261</v>
      </c>
      <c r="H24">
        <v>1.8478395115792581</v>
      </c>
      <c r="I24">
        <v>1.578573841666169</v>
      </c>
      <c r="J24">
        <v>2.201740071180236</v>
      </c>
      <c r="K24">
        <v>0.57294720639051067</v>
      </c>
      <c r="L24">
        <v>0.55388390626808603</v>
      </c>
      <c r="M24">
        <v>0.61166476400861625</v>
      </c>
      <c r="N24">
        <v>0.13696423026028001</v>
      </c>
      <c r="O24">
        <v>0.10197556485233129</v>
      </c>
      <c r="P24">
        <v>0.168292841855368</v>
      </c>
      <c r="Q24">
        <v>0.30806793474302901</v>
      </c>
      <c r="R24">
        <v>0.27319550884417781</v>
      </c>
      <c r="S24">
        <v>0.3249467600759261</v>
      </c>
      <c r="T24">
        <v>0.17506352905504821</v>
      </c>
      <c r="U24">
        <v>0.16306201403832229</v>
      </c>
      <c r="V24">
        <v>0.18215100369253931</v>
      </c>
      <c r="W24">
        <v>0.65136752136752141</v>
      </c>
      <c r="X24">
        <v>0.4602930402930403</v>
      </c>
      <c r="Y24">
        <v>0.78859829059829067</v>
      </c>
    </row>
    <row r="25" spans="1:25">
      <c r="A25" t="s">
        <v>85</v>
      </c>
      <c r="B25" t="s">
        <v>65</v>
      </c>
      <c r="C25" t="s">
        <v>84</v>
      </c>
      <c r="D25">
        <v>5</v>
      </c>
      <c r="E25">
        <v>0.2030353548897709</v>
      </c>
      <c r="F25">
        <v>0.19594862447223391</v>
      </c>
      <c r="G25">
        <v>0.22408313144588701</v>
      </c>
      <c r="H25">
        <v>1.6534634563998361</v>
      </c>
      <c r="I25">
        <v>1.593671621484668</v>
      </c>
      <c r="J25">
        <v>1.7910036190557801</v>
      </c>
      <c r="K25">
        <v>0.55397443556929016</v>
      </c>
      <c r="L25">
        <v>0.53231868803799243</v>
      </c>
      <c r="M25">
        <v>0.57205804901546953</v>
      </c>
      <c r="N25">
        <v>0.1123363220327213</v>
      </c>
      <c r="O25">
        <v>9.01845493029792E-2</v>
      </c>
      <c r="P25">
        <v>0.13902119798432039</v>
      </c>
      <c r="Q25">
        <v>0.27261649648419373</v>
      </c>
      <c r="R25">
        <v>0.22916662549575631</v>
      </c>
      <c r="S25">
        <v>0.32277585416923738</v>
      </c>
      <c r="T25">
        <v>0.17996632455080361</v>
      </c>
      <c r="U25">
        <v>0.16999864079688601</v>
      </c>
      <c r="V25">
        <v>0.19398469323430739</v>
      </c>
      <c r="W25">
        <v>0.51979975579975579</v>
      </c>
      <c r="X25">
        <v>0.4053284493284493</v>
      </c>
      <c r="Y25">
        <v>0.59571062271062269</v>
      </c>
    </row>
    <row r="26" spans="1:25">
      <c r="A26" t="s">
        <v>85</v>
      </c>
      <c r="B26" t="s">
        <v>77</v>
      </c>
      <c r="C26" t="s">
        <v>80</v>
      </c>
      <c r="D26">
        <v>5</v>
      </c>
      <c r="E26">
        <v>0.26969680081496988</v>
      </c>
      <c r="F26">
        <v>0.24361882490174269</v>
      </c>
      <c r="G26">
        <v>0.2883087021964415</v>
      </c>
      <c r="H26">
        <v>3.5824371814623421</v>
      </c>
      <c r="I26">
        <v>3.0087819081199769</v>
      </c>
      <c r="J26">
        <v>4.7215487323935088</v>
      </c>
      <c r="K26">
        <v>0.73961985191723767</v>
      </c>
      <c r="L26">
        <v>0.68607659275555155</v>
      </c>
      <c r="M26">
        <v>0.7672368818807308</v>
      </c>
      <c r="N26">
        <v>0.19620846381842841</v>
      </c>
      <c r="O26">
        <v>0.1532409982645245</v>
      </c>
      <c r="P26">
        <v>0.22921157456636559</v>
      </c>
      <c r="Q26">
        <v>0.32353634281028232</v>
      </c>
      <c r="R26">
        <v>0.26090725378628959</v>
      </c>
      <c r="S26">
        <v>0.3932885297663854</v>
      </c>
      <c r="T26">
        <v>0.20939248875704419</v>
      </c>
      <c r="U26">
        <v>0.1913852883644733</v>
      </c>
      <c r="V26">
        <v>0.2260015335997769</v>
      </c>
      <c r="W26">
        <v>0.52573870573870574</v>
      </c>
      <c r="X26">
        <v>0.29493894993894992</v>
      </c>
      <c r="Y26">
        <v>0.7482478632478633</v>
      </c>
    </row>
    <row r="27" spans="1:25">
      <c r="A27" t="s">
        <v>85</v>
      </c>
      <c r="B27" t="s">
        <v>77</v>
      </c>
      <c r="C27" t="s">
        <v>81</v>
      </c>
      <c r="D27">
        <v>5</v>
      </c>
      <c r="E27">
        <v>0.23835621787980149</v>
      </c>
      <c r="F27">
        <v>0.1942380980111873</v>
      </c>
      <c r="G27">
        <v>0.27434086842030481</v>
      </c>
      <c r="H27">
        <v>3.4284319257580131</v>
      </c>
      <c r="I27">
        <v>2.0403656743163281</v>
      </c>
      <c r="J27">
        <v>4.2509177597933441</v>
      </c>
      <c r="K27">
        <v>0.69287150430012634</v>
      </c>
      <c r="L27">
        <v>0.6695096269428954</v>
      </c>
      <c r="M27">
        <v>0.71955011547556669</v>
      </c>
      <c r="N27">
        <v>0.15913900843033929</v>
      </c>
      <c r="O27">
        <v>0.1213868321925861</v>
      </c>
      <c r="P27">
        <v>0.21433978878923479</v>
      </c>
      <c r="Q27">
        <v>0.2873876188101474</v>
      </c>
      <c r="R27">
        <v>0.24727257478843609</v>
      </c>
      <c r="S27">
        <v>0.36985012929100819</v>
      </c>
      <c r="T27">
        <v>0.20579222465414371</v>
      </c>
      <c r="U27">
        <v>0.1584262404262404</v>
      </c>
      <c r="V27">
        <v>0.24848455020498339</v>
      </c>
      <c r="W27">
        <v>0.49532356532356531</v>
      </c>
      <c r="X27">
        <v>0.31753968253968251</v>
      </c>
      <c r="Y27">
        <v>0.650976800976801</v>
      </c>
    </row>
    <row r="28" spans="1:25">
      <c r="A28" t="s">
        <v>85</v>
      </c>
      <c r="B28" t="s">
        <v>77</v>
      </c>
      <c r="C28" t="s">
        <v>82</v>
      </c>
      <c r="D28">
        <v>5</v>
      </c>
      <c r="E28">
        <v>0.12995493325494839</v>
      </c>
      <c r="F28">
        <v>0.11640877361241241</v>
      </c>
      <c r="G28">
        <v>0.1444745140868112</v>
      </c>
      <c r="H28">
        <v>1.353106448787567</v>
      </c>
      <c r="I28">
        <v>1.1646210003635831</v>
      </c>
      <c r="J28">
        <v>1.4997546610847989</v>
      </c>
      <c r="K28">
        <v>0.49524957199350161</v>
      </c>
      <c r="L28">
        <v>0.4689964773085632</v>
      </c>
      <c r="M28">
        <v>0.523100066419105</v>
      </c>
      <c r="N28">
        <v>3.82426614803765E-2</v>
      </c>
      <c r="O28">
        <v>2.0092334486085901E-2</v>
      </c>
      <c r="P28">
        <v>5.4818612440534403E-2</v>
      </c>
      <c r="Q28">
        <v>0.26905753866779331</v>
      </c>
      <c r="R28">
        <v>0.20639112063477111</v>
      </c>
      <c r="S28">
        <v>0.31588151382752239</v>
      </c>
      <c r="T28">
        <v>0.1232455328344972</v>
      </c>
      <c r="U28">
        <v>8.1011763315512006E-2</v>
      </c>
      <c r="V28">
        <v>0.18369290490003751</v>
      </c>
      <c r="W28">
        <v>0.6032844932844933</v>
      </c>
      <c r="X28">
        <v>0.38917582417582419</v>
      </c>
      <c r="Y28">
        <v>0.75583028083028092</v>
      </c>
    </row>
    <row r="29" spans="1:25">
      <c r="A29" t="s">
        <v>85</v>
      </c>
      <c r="B29" t="s">
        <v>77</v>
      </c>
      <c r="C29" t="s">
        <v>76</v>
      </c>
      <c r="D29">
        <v>5</v>
      </c>
      <c r="E29">
        <v>0.314173276913703</v>
      </c>
      <c r="F29">
        <v>0.27170365059460849</v>
      </c>
      <c r="G29">
        <v>0.35652938811589258</v>
      </c>
      <c r="H29">
        <v>3.8609716133993301</v>
      </c>
      <c r="I29">
        <v>3.0801792553594769</v>
      </c>
      <c r="J29">
        <v>5.0904560605048861</v>
      </c>
      <c r="K29">
        <v>0.75886114562389118</v>
      </c>
      <c r="L29">
        <v>0.73067694723607512</v>
      </c>
      <c r="M29">
        <v>0.78760806476941714</v>
      </c>
      <c r="N29">
        <v>0.28555079724032117</v>
      </c>
      <c r="O29">
        <v>0.249120308497182</v>
      </c>
      <c r="P29">
        <v>0.33610349390949901</v>
      </c>
      <c r="Q29">
        <v>0.4380429335401323</v>
      </c>
      <c r="R29">
        <v>0.41187550051137878</v>
      </c>
      <c r="S29">
        <v>0.48096748338833961</v>
      </c>
      <c r="T29">
        <v>0.25285891462416171</v>
      </c>
      <c r="U29">
        <v>0.2254911404857444</v>
      </c>
      <c r="V29">
        <v>0.29549722042663212</v>
      </c>
      <c r="W29">
        <v>0.71261294261294272</v>
      </c>
      <c r="X29">
        <v>0.56537240537240541</v>
      </c>
      <c r="Y29">
        <v>0.84603785103785101</v>
      </c>
    </row>
    <row r="30" spans="1:25">
      <c r="A30" t="s">
        <v>85</v>
      </c>
      <c r="B30" t="s">
        <v>77</v>
      </c>
      <c r="C30" t="s">
        <v>83</v>
      </c>
      <c r="D30">
        <v>5</v>
      </c>
      <c r="E30">
        <v>0.2120816377832308</v>
      </c>
      <c r="F30">
        <v>0.17144258731449219</v>
      </c>
      <c r="G30">
        <v>0.23711691651398659</v>
      </c>
      <c r="H30">
        <v>1.740139506798831</v>
      </c>
      <c r="I30">
        <v>1.4141431766451871</v>
      </c>
      <c r="J30">
        <v>1.942872833660124</v>
      </c>
      <c r="K30">
        <v>0.54001383037685202</v>
      </c>
      <c r="L30">
        <v>0.50063691780500141</v>
      </c>
      <c r="M30">
        <v>0.57350265604073114</v>
      </c>
      <c r="N30">
        <v>0.1295191107315542</v>
      </c>
      <c r="O30">
        <v>9.4630969339661697E-2</v>
      </c>
      <c r="P30">
        <v>0.143609247217339</v>
      </c>
      <c r="Q30">
        <v>0.30019605497089619</v>
      </c>
      <c r="R30">
        <v>0.27157517451398111</v>
      </c>
      <c r="S30">
        <v>0.3545176950820893</v>
      </c>
      <c r="T30">
        <v>0.1985020421217783</v>
      </c>
      <c r="U30">
        <v>0.18044955550837641</v>
      </c>
      <c r="V30">
        <v>0.22232585913620739</v>
      </c>
      <c r="W30">
        <v>0.55244200244200248</v>
      </c>
      <c r="X30">
        <v>0.33865079365079359</v>
      </c>
      <c r="Y30">
        <v>0.71540903540903533</v>
      </c>
    </row>
    <row r="31" spans="1:25">
      <c r="A31" t="s">
        <v>85</v>
      </c>
      <c r="B31" t="s">
        <v>77</v>
      </c>
      <c r="C31" t="s">
        <v>84</v>
      </c>
      <c r="D31">
        <v>5</v>
      </c>
      <c r="E31">
        <v>0.33461200359962751</v>
      </c>
      <c r="F31">
        <v>0.31287441305792418</v>
      </c>
      <c r="G31">
        <v>0.37479614586641968</v>
      </c>
      <c r="H31">
        <v>3.7621713300398798</v>
      </c>
      <c r="I31">
        <v>3.2529284098717581</v>
      </c>
      <c r="J31">
        <v>4.7877517946121646</v>
      </c>
      <c r="K31">
        <v>0.7884515968206981</v>
      </c>
      <c r="L31">
        <v>0.7513262309809523</v>
      </c>
      <c r="M31">
        <v>0.82567901832365043</v>
      </c>
      <c r="N31">
        <v>0.25525459947291312</v>
      </c>
      <c r="O31">
        <v>0.187808503959837</v>
      </c>
      <c r="P31">
        <v>0.32963517572123191</v>
      </c>
      <c r="Q31">
        <v>0.39491767807497141</v>
      </c>
      <c r="R31">
        <v>0.32061481050611679</v>
      </c>
      <c r="S31">
        <v>0.45505908039043169</v>
      </c>
      <c r="T31">
        <v>0.23516926009848249</v>
      </c>
      <c r="U31">
        <v>0.20129110476418821</v>
      </c>
      <c r="V31">
        <v>0.30546397674384068</v>
      </c>
      <c r="W31">
        <v>0.63782661782661787</v>
      </c>
      <c r="X31">
        <v>0.53469474969474984</v>
      </c>
      <c r="Y31">
        <v>0.79496947496947501</v>
      </c>
    </row>
    <row r="32" spans="1:25">
      <c r="A32" t="s">
        <v>85</v>
      </c>
      <c r="B32" t="s">
        <v>78</v>
      </c>
      <c r="C32" t="s">
        <v>80</v>
      </c>
      <c r="D32">
        <v>5</v>
      </c>
      <c r="E32">
        <v>0.2498931085933514</v>
      </c>
      <c r="F32">
        <v>0.21706522630858599</v>
      </c>
      <c r="G32">
        <v>0.27187226551480309</v>
      </c>
      <c r="H32">
        <v>3.1197670440244241</v>
      </c>
      <c r="I32">
        <v>2.6194143555761791</v>
      </c>
      <c r="J32">
        <v>3.4878287539777211</v>
      </c>
      <c r="K32">
        <v>0.72397625981949632</v>
      </c>
      <c r="L32">
        <v>0.66325938985110933</v>
      </c>
      <c r="M32">
        <v>0.76158315611703453</v>
      </c>
      <c r="N32">
        <v>0.1970599850434212</v>
      </c>
      <c r="O32">
        <v>0.1555625280731624</v>
      </c>
      <c r="P32">
        <v>0.24657559605795601</v>
      </c>
      <c r="Q32">
        <v>0.33017653991677848</v>
      </c>
      <c r="R32">
        <v>0.27254141245130692</v>
      </c>
      <c r="S32">
        <v>0.37850104229019432</v>
      </c>
      <c r="T32">
        <v>0.21010587695743749</v>
      </c>
      <c r="U32">
        <v>0.18049885674679431</v>
      </c>
      <c r="V32">
        <v>0.28863709413292299</v>
      </c>
      <c r="W32">
        <v>0.550075702075702</v>
      </c>
      <c r="X32">
        <v>0.4177741147741148</v>
      </c>
      <c r="Y32">
        <v>0.70001587301587298</v>
      </c>
    </row>
    <row r="33" spans="1:25">
      <c r="A33" t="s">
        <v>85</v>
      </c>
      <c r="B33" t="s">
        <v>78</v>
      </c>
      <c r="C33" t="s">
        <v>81</v>
      </c>
      <c r="D33">
        <v>5</v>
      </c>
      <c r="E33">
        <v>0.220964734543459</v>
      </c>
      <c r="F33">
        <v>0.20302019882816119</v>
      </c>
      <c r="G33">
        <v>0.25105111670330321</v>
      </c>
      <c r="H33">
        <v>2.7536380139470951</v>
      </c>
      <c r="I33">
        <v>2.0000891412557862</v>
      </c>
      <c r="J33">
        <v>3.6330134514266441</v>
      </c>
      <c r="K33">
        <v>0.66964350036175246</v>
      </c>
      <c r="L33">
        <v>0.63300272298846272</v>
      </c>
      <c r="M33">
        <v>0.70303997741252444</v>
      </c>
      <c r="N33">
        <v>0.14969173510589909</v>
      </c>
      <c r="O33">
        <v>0.1173306409028719</v>
      </c>
      <c r="P33">
        <v>0.1840350954910269</v>
      </c>
      <c r="Q33">
        <v>0.29671878646534611</v>
      </c>
      <c r="R33">
        <v>0.22446419090791969</v>
      </c>
      <c r="S33">
        <v>0.33663055255517721</v>
      </c>
      <c r="T33">
        <v>0.1782924890448688</v>
      </c>
      <c r="U33">
        <v>0.16477566526273399</v>
      </c>
      <c r="V33">
        <v>0.19278932640757321</v>
      </c>
      <c r="W33">
        <v>0.52817826617826624</v>
      </c>
      <c r="X33">
        <v>0.41989010989010989</v>
      </c>
      <c r="Y33">
        <v>0.67021367521367525</v>
      </c>
    </row>
    <row r="34" spans="1:25">
      <c r="A34" t="s">
        <v>85</v>
      </c>
      <c r="B34" t="s">
        <v>78</v>
      </c>
      <c r="C34" t="s">
        <v>82</v>
      </c>
      <c r="D34">
        <v>5</v>
      </c>
      <c r="E34">
        <v>0.19707588629615719</v>
      </c>
      <c r="F34">
        <v>0.18429412728939609</v>
      </c>
      <c r="G34">
        <v>0.21061351216034499</v>
      </c>
      <c r="H34">
        <v>1.750597346360742</v>
      </c>
      <c r="I34">
        <v>1.60961104445868</v>
      </c>
      <c r="J34">
        <v>1.9371566803995071</v>
      </c>
      <c r="K34">
        <v>0.5977941858052761</v>
      </c>
      <c r="L34">
        <v>0.57923634400406432</v>
      </c>
      <c r="M34">
        <v>0.61645005692795396</v>
      </c>
      <c r="N34">
        <v>0.1237692271044291</v>
      </c>
      <c r="O34">
        <v>9.9123304286766994E-2</v>
      </c>
      <c r="P34">
        <v>0.14324831516025821</v>
      </c>
      <c r="Q34">
        <v>0.29691287145985767</v>
      </c>
      <c r="R34">
        <v>0.2275852269306575</v>
      </c>
      <c r="S34">
        <v>0.33319456820147619</v>
      </c>
      <c r="T34">
        <v>0.15569056789352689</v>
      </c>
      <c r="U34">
        <v>0.14934892307127581</v>
      </c>
      <c r="V34">
        <v>0.16473356308775849</v>
      </c>
      <c r="W34">
        <v>0.54024908424908424</v>
      </c>
      <c r="X34">
        <v>0.30082905982905978</v>
      </c>
      <c r="Y34">
        <v>0.6907692307692308</v>
      </c>
    </row>
    <row r="35" spans="1:25">
      <c r="A35" t="s">
        <v>85</v>
      </c>
      <c r="B35" t="s">
        <v>78</v>
      </c>
      <c r="C35" t="s">
        <v>76</v>
      </c>
      <c r="D35">
        <v>5</v>
      </c>
      <c r="E35">
        <v>0.2820708323733066</v>
      </c>
      <c r="F35">
        <v>0.24979971249917551</v>
      </c>
      <c r="G35">
        <v>0.300336384270176</v>
      </c>
      <c r="H35">
        <v>2.9844177693561078</v>
      </c>
      <c r="I35">
        <v>2.4787364753517291</v>
      </c>
      <c r="J35">
        <v>3.4672343963581209</v>
      </c>
      <c r="K35">
        <v>0.73971911562009973</v>
      </c>
      <c r="L35">
        <v>0.71220591054251869</v>
      </c>
      <c r="M35">
        <v>0.75892442915798175</v>
      </c>
      <c r="N35">
        <v>0.25596173710559361</v>
      </c>
      <c r="O35">
        <v>0.21469242575684239</v>
      </c>
      <c r="P35">
        <v>0.30060459713040111</v>
      </c>
      <c r="Q35">
        <v>0.40838248346327982</v>
      </c>
      <c r="R35">
        <v>0.36340444956582307</v>
      </c>
      <c r="S35">
        <v>0.44440995095137148</v>
      </c>
      <c r="T35">
        <v>0.23590273902421899</v>
      </c>
      <c r="U35">
        <v>0.21013360808674289</v>
      </c>
      <c r="V35">
        <v>0.25888691600429409</v>
      </c>
      <c r="W35">
        <v>0.70964102564102571</v>
      </c>
      <c r="X35">
        <v>0.65589499389499384</v>
      </c>
      <c r="Y35">
        <v>0.7757362637362637</v>
      </c>
    </row>
    <row r="36" spans="1:25">
      <c r="A36" t="s">
        <v>85</v>
      </c>
      <c r="B36" t="s">
        <v>78</v>
      </c>
      <c r="C36" t="s">
        <v>83</v>
      </c>
      <c r="D36">
        <v>5</v>
      </c>
      <c r="E36">
        <v>0.21941233758323639</v>
      </c>
      <c r="F36">
        <v>0.17680042402222951</v>
      </c>
      <c r="G36">
        <v>0.26061286091089542</v>
      </c>
      <c r="H36">
        <v>2.3068517050517938</v>
      </c>
      <c r="I36">
        <v>1.5835714671633969</v>
      </c>
      <c r="J36">
        <v>3.3552355526934901</v>
      </c>
      <c r="K36">
        <v>0.58064020691481377</v>
      </c>
      <c r="L36">
        <v>0.52356195309682496</v>
      </c>
      <c r="M36">
        <v>0.61979560777505138</v>
      </c>
      <c r="N36">
        <v>0.1580345302664059</v>
      </c>
      <c r="O36">
        <v>0.1020185421869293</v>
      </c>
      <c r="P36">
        <v>0.2398342716107309</v>
      </c>
      <c r="Q36">
        <v>0.30112567914530558</v>
      </c>
      <c r="R36">
        <v>0.2644171835805042</v>
      </c>
      <c r="S36">
        <v>0.38149929289566969</v>
      </c>
      <c r="T36">
        <v>0.20980047456291029</v>
      </c>
      <c r="U36">
        <v>0.1698581254354323</v>
      </c>
      <c r="V36">
        <v>0.28103243361256708</v>
      </c>
      <c r="W36">
        <v>0.5749963369963369</v>
      </c>
      <c r="X36">
        <v>0.37428815628815632</v>
      </c>
      <c r="Y36">
        <v>0.66435409035409032</v>
      </c>
    </row>
    <row r="37" spans="1:25">
      <c r="A37" t="s">
        <v>85</v>
      </c>
      <c r="B37" t="s">
        <v>78</v>
      </c>
      <c r="C37" t="s">
        <v>84</v>
      </c>
      <c r="D37">
        <v>5</v>
      </c>
      <c r="E37">
        <v>0.29689000856455078</v>
      </c>
      <c r="F37">
        <v>0.2772045332311126</v>
      </c>
      <c r="G37">
        <v>0.33703613955476153</v>
      </c>
      <c r="H37">
        <v>3.107157268119066</v>
      </c>
      <c r="I37">
        <v>2.515860731923147</v>
      </c>
      <c r="J37">
        <v>4.1953388186026253</v>
      </c>
      <c r="K37">
        <v>0.74179160870701</v>
      </c>
      <c r="L37">
        <v>0.71953903290121901</v>
      </c>
      <c r="M37">
        <v>0.77101791303728895</v>
      </c>
      <c r="N37">
        <v>0.23524990891896799</v>
      </c>
      <c r="O37">
        <v>0.1764475275030242</v>
      </c>
      <c r="P37">
        <v>0.26757434289230669</v>
      </c>
      <c r="Q37">
        <v>0.37225723596768179</v>
      </c>
      <c r="R37">
        <v>0.29092464436991339</v>
      </c>
      <c r="S37">
        <v>0.4178969122650123</v>
      </c>
      <c r="T37">
        <v>0.2225641587793431</v>
      </c>
      <c r="U37">
        <v>0.20343702732363811</v>
      </c>
      <c r="V37">
        <v>0.24491380564697249</v>
      </c>
      <c r="W37">
        <v>0.69369474969474976</v>
      </c>
      <c r="X37">
        <v>0.51489499389499382</v>
      </c>
      <c r="Y37">
        <v>0.86805128205128212</v>
      </c>
    </row>
    <row r="38" spans="1:25">
      <c r="A38" t="s">
        <v>86</v>
      </c>
      <c r="B38" t="s">
        <v>65</v>
      </c>
      <c r="C38" t="s">
        <v>80</v>
      </c>
      <c r="D38">
        <v>5</v>
      </c>
      <c r="E38">
        <v>0.16067562429636001</v>
      </c>
      <c r="F38">
        <v>0.1519148839045083</v>
      </c>
      <c r="G38">
        <v>0.16871580092316879</v>
      </c>
      <c r="H38">
        <v>1.454143558771624</v>
      </c>
      <c r="I38">
        <v>1.4248380162679879</v>
      </c>
      <c r="J38">
        <v>1.4867903256275681</v>
      </c>
      <c r="K38">
        <v>0.55804547925504477</v>
      </c>
      <c r="L38">
        <v>0.52801358894884043</v>
      </c>
      <c r="M38">
        <v>0.58992362697910239</v>
      </c>
      <c r="N38">
        <v>0.12559213642879671</v>
      </c>
      <c r="O38">
        <v>7.1075740739813403E-2</v>
      </c>
      <c r="P38">
        <v>0.1617666014827126</v>
      </c>
      <c r="Q38">
        <v>0.32380378899855639</v>
      </c>
      <c r="R38">
        <v>0.29022888646868888</v>
      </c>
      <c r="S38">
        <v>0.3508540113165875</v>
      </c>
      <c r="T38">
        <v>0.159267627749861</v>
      </c>
      <c r="U38">
        <v>0.14783010663600779</v>
      </c>
      <c r="V38">
        <v>0.1677078786947192</v>
      </c>
      <c r="W38">
        <v>0.70268376068376059</v>
      </c>
      <c r="X38">
        <v>0.55824297924297916</v>
      </c>
      <c r="Y38">
        <v>0.83820879120879122</v>
      </c>
    </row>
    <row r="39" spans="1:25">
      <c r="A39" t="s">
        <v>86</v>
      </c>
      <c r="B39" t="s">
        <v>65</v>
      </c>
      <c r="C39" t="s">
        <v>81</v>
      </c>
      <c r="D39">
        <v>5</v>
      </c>
      <c r="E39">
        <v>0.1851497632397282</v>
      </c>
      <c r="F39">
        <v>0.17229773295893661</v>
      </c>
      <c r="G39">
        <v>0.2012939252495356</v>
      </c>
      <c r="H39">
        <v>1.743422585098245</v>
      </c>
      <c r="I39">
        <v>1.5529941470642099</v>
      </c>
      <c r="J39">
        <v>1.907030541735117</v>
      </c>
      <c r="K39">
        <v>0.58613900182436474</v>
      </c>
      <c r="L39">
        <v>0.56746710191837757</v>
      </c>
      <c r="M39">
        <v>0.60451849627084275</v>
      </c>
      <c r="N39">
        <v>0.1179179232277391</v>
      </c>
      <c r="O39">
        <v>7.7762536514985894E-2</v>
      </c>
      <c r="P39">
        <v>0.15259351747044531</v>
      </c>
      <c r="Q39">
        <v>0.28804902513919578</v>
      </c>
      <c r="R39">
        <v>0.22242803666687311</v>
      </c>
      <c r="S39">
        <v>0.35040209246948167</v>
      </c>
      <c r="T39">
        <v>0.18742204346765881</v>
      </c>
      <c r="U39">
        <v>0.16409848813134961</v>
      </c>
      <c r="V39">
        <v>0.2260556976413754</v>
      </c>
      <c r="W39">
        <v>0.72076923076923083</v>
      </c>
      <c r="X39">
        <v>0.59530769230769232</v>
      </c>
      <c r="Y39">
        <v>0.85623076923076924</v>
      </c>
    </row>
    <row r="40" spans="1:25">
      <c r="A40" t="s">
        <v>86</v>
      </c>
      <c r="B40" t="s">
        <v>65</v>
      </c>
      <c r="C40" t="s">
        <v>82</v>
      </c>
      <c r="D40">
        <v>5</v>
      </c>
      <c r="E40">
        <v>0.13507314112349281</v>
      </c>
      <c r="F40">
        <v>0.12997417276679099</v>
      </c>
      <c r="G40">
        <v>0.13828382238520651</v>
      </c>
      <c r="H40">
        <v>1.36591506233336</v>
      </c>
      <c r="I40">
        <v>1.2738644001484309</v>
      </c>
      <c r="J40">
        <v>1.4306131323041129</v>
      </c>
      <c r="K40">
        <v>0.54672196058223022</v>
      </c>
      <c r="L40">
        <v>0.50212225264602917</v>
      </c>
      <c r="M40">
        <v>0.56906816977769559</v>
      </c>
      <c r="N40">
        <v>5.4414366446959003E-2</v>
      </c>
      <c r="O40">
        <v>1.829155413043E-3</v>
      </c>
      <c r="P40">
        <v>8.86214968158026E-2</v>
      </c>
      <c r="Q40">
        <v>0.28910324901226159</v>
      </c>
      <c r="R40">
        <v>0.25135127770379828</v>
      </c>
      <c r="S40">
        <v>0.31183717844867531</v>
      </c>
      <c r="T40">
        <v>0.12121472534702429</v>
      </c>
      <c r="U40">
        <v>9.72918979789478E-2</v>
      </c>
      <c r="V40">
        <v>0.143205749807747</v>
      </c>
      <c r="W40">
        <v>0.7043150183150183</v>
      </c>
      <c r="X40">
        <v>0.571017094017094</v>
      </c>
      <c r="Y40">
        <v>0.86442857142857155</v>
      </c>
    </row>
    <row r="41" spans="1:25">
      <c r="A41" t="s">
        <v>86</v>
      </c>
      <c r="B41" t="s">
        <v>65</v>
      </c>
      <c r="C41" t="s">
        <v>76</v>
      </c>
      <c r="D41">
        <v>5</v>
      </c>
      <c r="E41">
        <v>0.1888351384704467</v>
      </c>
      <c r="F41">
        <v>0.17759018876171781</v>
      </c>
      <c r="G41">
        <v>0.20069371341388109</v>
      </c>
      <c r="H41">
        <v>1.5860982137114781</v>
      </c>
      <c r="I41">
        <v>1.5374487921904441</v>
      </c>
      <c r="J41">
        <v>1.6397636935421669</v>
      </c>
      <c r="K41">
        <v>0.57149670916646111</v>
      </c>
      <c r="L41">
        <v>0.55685770214057984</v>
      </c>
      <c r="M41">
        <v>0.59333082073583165</v>
      </c>
      <c r="N41">
        <v>0.13881711962756799</v>
      </c>
      <c r="O41">
        <v>0.11985053227293301</v>
      </c>
      <c r="P41">
        <v>0.15632274558924411</v>
      </c>
      <c r="Q41">
        <v>0.29962535237565541</v>
      </c>
      <c r="R41">
        <v>0.2426755551448006</v>
      </c>
      <c r="S41">
        <v>0.34863536592671468</v>
      </c>
      <c r="T41">
        <v>0.18173942224762701</v>
      </c>
      <c r="U41">
        <v>0.16498030310249409</v>
      </c>
      <c r="V41">
        <v>0.2085142242309089</v>
      </c>
      <c r="W41">
        <v>0.67722832722832726</v>
      </c>
      <c r="X41">
        <v>0.56869230769230761</v>
      </c>
      <c r="Y41">
        <v>0.75889865689865688</v>
      </c>
    </row>
    <row r="42" spans="1:25">
      <c r="A42" t="s">
        <v>86</v>
      </c>
      <c r="B42" t="s">
        <v>65</v>
      </c>
      <c r="C42" t="s">
        <v>83</v>
      </c>
      <c r="D42">
        <v>5</v>
      </c>
      <c r="E42">
        <v>0.18737057020819201</v>
      </c>
      <c r="F42">
        <v>0.1729157704026775</v>
      </c>
      <c r="G42">
        <v>0.19901058219068729</v>
      </c>
      <c r="H42">
        <v>1.865376050918224</v>
      </c>
      <c r="I42">
        <v>1.6119607055572731</v>
      </c>
      <c r="J42">
        <v>2.2030670088323752</v>
      </c>
      <c r="K42">
        <v>0.57104772023277106</v>
      </c>
      <c r="L42">
        <v>0.55816479144176268</v>
      </c>
      <c r="M42">
        <v>0.60160677760988035</v>
      </c>
      <c r="N42">
        <v>0.13289862933838609</v>
      </c>
      <c r="O42">
        <v>8.0822036872968503E-2</v>
      </c>
      <c r="P42">
        <v>0.15724569436791799</v>
      </c>
      <c r="Q42">
        <v>0.30473587000369479</v>
      </c>
      <c r="R42">
        <v>0.26233362824778528</v>
      </c>
      <c r="S42">
        <v>0.32410491375160499</v>
      </c>
      <c r="T42">
        <v>0.17163401961662911</v>
      </c>
      <c r="U42">
        <v>0.1568979790128722</v>
      </c>
      <c r="V42">
        <v>0.1822145912379895</v>
      </c>
      <c r="W42">
        <v>0.67838339438339434</v>
      </c>
      <c r="X42">
        <v>0.55415018315018305</v>
      </c>
      <c r="Y42">
        <v>0.78759829059829067</v>
      </c>
    </row>
    <row r="43" spans="1:25">
      <c r="A43" t="s">
        <v>86</v>
      </c>
      <c r="B43" t="s">
        <v>65</v>
      </c>
      <c r="C43" t="s">
        <v>84</v>
      </c>
      <c r="D43">
        <v>5</v>
      </c>
      <c r="E43">
        <v>0.20423565323215409</v>
      </c>
      <c r="F43">
        <v>0.19117140689227841</v>
      </c>
      <c r="G43">
        <v>0.2306537178927002</v>
      </c>
      <c r="H43">
        <v>1.6620554472461091</v>
      </c>
      <c r="I43">
        <v>1.5889426903237209</v>
      </c>
      <c r="J43">
        <v>1.8157687832201299</v>
      </c>
      <c r="K43">
        <v>0.56176137982753949</v>
      </c>
      <c r="L43">
        <v>0.54624332200616077</v>
      </c>
      <c r="M43">
        <v>0.57751178248851553</v>
      </c>
      <c r="N43">
        <v>0.1045942946852991</v>
      </c>
      <c r="O43">
        <v>6.7208287597759805E-2</v>
      </c>
      <c r="P43">
        <v>0.13388416574099971</v>
      </c>
      <c r="Q43">
        <v>0.29005696746826198</v>
      </c>
      <c r="R43">
        <v>0.24827714504945089</v>
      </c>
      <c r="S43">
        <v>0.31578907189087613</v>
      </c>
      <c r="T43">
        <v>0.1894424988407841</v>
      </c>
      <c r="U43">
        <v>0.16631725548381329</v>
      </c>
      <c r="V43">
        <v>0.23476837676794199</v>
      </c>
      <c r="W43">
        <v>0.62619291819291822</v>
      </c>
      <c r="X43">
        <v>0.41695726495726487</v>
      </c>
      <c r="Y43">
        <v>0.74855311355311349</v>
      </c>
    </row>
    <row r="44" spans="1:25">
      <c r="A44" t="s">
        <v>86</v>
      </c>
      <c r="B44" t="s">
        <v>77</v>
      </c>
      <c r="C44" t="s">
        <v>80</v>
      </c>
      <c r="D44">
        <v>5</v>
      </c>
      <c r="E44">
        <v>0.33883608109688668</v>
      </c>
      <c r="F44">
        <v>0.30428532577524808</v>
      </c>
      <c r="G44">
        <v>0.39919925512604371</v>
      </c>
      <c r="H44">
        <v>5.279519701783463</v>
      </c>
      <c r="I44">
        <v>4.0597660169753347</v>
      </c>
      <c r="J44">
        <v>7.7480791291745597</v>
      </c>
      <c r="K44">
        <v>0.76228059540306115</v>
      </c>
      <c r="L44">
        <v>0.71626151743778954</v>
      </c>
      <c r="M44">
        <v>0.79979023106291058</v>
      </c>
      <c r="N44">
        <v>0.31371829895811548</v>
      </c>
      <c r="O44">
        <v>0.25045715621164111</v>
      </c>
      <c r="P44">
        <v>0.35971234089456972</v>
      </c>
      <c r="Q44">
        <v>0.4227012634588963</v>
      </c>
      <c r="R44">
        <v>0.41130752273635329</v>
      </c>
      <c r="S44">
        <v>0.4403524645475454</v>
      </c>
      <c r="T44">
        <v>0.35459565012786648</v>
      </c>
      <c r="U44">
        <v>0.2438451250399952</v>
      </c>
      <c r="V44">
        <v>0.44828643920959388</v>
      </c>
      <c r="W44">
        <v>0.55460317460317454</v>
      </c>
      <c r="X44">
        <v>0.46746031746031741</v>
      </c>
      <c r="Y44">
        <v>0.71989010989010982</v>
      </c>
    </row>
    <row r="45" spans="1:25">
      <c r="A45" t="s">
        <v>86</v>
      </c>
      <c r="B45" t="s">
        <v>77</v>
      </c>
      <c r="C45" t="s">
        <v>81</v>
      </c>
      <c r="D45">
        <v>5</v>
      </c>
      <c r="E45">
        <v>0.2455454603672908</v>
      </c>
      <c r="F45">
        <v>0.21871208920883201</v>
      </c>
      <c r="G45">
        <v>0.29046436573130657</v>
      </c>
      <c r="H45">
        <v>3.1997541991813159</v>
      </c>
      <c r="I45">
        <v>2.3996607658056401</v>
      </c>
      <c r="J45">
        <v>4.4891287784122804</v>
      </c>
      <c r="K45">
        <v>0.66146676547482319</v>
      </c>
      <c r="L45">
        <v>0.64252472907526892</v>
      </c>
      <c r="M45">
        <v>0.6781572297576508</v>
      </c>
      <c r="N45">
        <v>0.1771897487422302</v>
      </c>
      <c r="O45">
        <v>0.14493057435455681</v>
      </c>
      <c r="P45">
        <v>0.2120217341295958</v>
      </c>
      <c r="Q45">
        <v>0.33165405401262171</v>
      </c>
      <c r="R45">
        <v>0.25168427063780108</v>
      </c>
      <c r="S45">
        <v>0.3792860803418725</v>
      </c>
      <c r="T45">
        <v>0.2150105466688465</v>
      </c>
      <c r="U45">
        <v>0.17248247487609189</v>
      </c>
      <c r="V45">
        <v>0.26658811637862689</v>
      </c>
      <c r="W45">
        <v>0.63103785103785115</v>
      </c>
      <c r="X45">
        <v>0.4281318681318681</v>
      </c>
      <c r="Y45">
        <v>0.74942612942612952</v>
      </c>
    </row>
    <row r="46" spans="1:25">
      <c r="A46" t="s">
        <v>86</v>
      </c>
      <c r="B46" t="s">
        <v>77</v>
      </c>
      <c r="C46" t="s">
        <v>82</v>
      </c>
      <c r="D46">
        <v>5</v>
      </c>
      <c r="E46">
        <v>0.17734916170344039</v>
      </c>
      <c r="F46">
        <v>0.15798922609865601</v>
      </c>
      <c r="G46">
        <v>0.19514730148995521</v>
      </c>
      <c r="H46">
        <v>1.7328868316382231</v>
      </c>
      <c r="I46">
        <v>1.4453710843920791</v>
      </c>
      <c r="J46">
        <v>2.027836374761228</v>
      </c>
      <c r="K46">
        <v>0.53677876170505079</v>
      </c>
      <c r="L46">
        <v>0.51301877477510771</v>
      </c>
      <c r="M46">
        <v>0.56142989648136443</v>
      </c>
      <c r="N46">
        <v>7.5745154035334397E-2</v>
      </c>
      <c r="O46">
        <v>2.3114969930907302E-2</v>
      </c>
      <c r="P46">
        <v>0.12697760437170741</v>
      </c>
      <c r="Q46">
        <v>0.21665267831565219</v>
      </c>
      <c r="R46">
        <v>0.16517325155990201</v>
      </c>
      <c r="S46">
        <v>0.26274273008747218</v>
      </c>
      <c r="T46">
        <v>0.17128297146054919</v>
      </c>
      <c r="U46">
        <v>0.12822364970752059</v>
      </c>
      <c r="V46">
        <v>0.2275604575163398</v>
      </c>
      <c r="W46">
        <v>0.40846153846153838</v>
      </c>
      <c r="X46">
        <v>0.3273687423687423</v>
      </c>
      <c r="Y46">
        <v>0.52172161172161169</v>
      </c>
    </row>
    <row r="47" spans="1:25">
      <c r="A47" t="s">
        <v>86</v>
      </c>
      <c r="B47" t="s">
        <v>77</v>
      </c>
      <c r="C47" t="s">
        <v>76</v>
      </c>
      <c r="D47">
        <v>5</v>
      </c>
      <c r="E47">
        <v>0.31696610384842289</v>
      </c>
      <c r="F47">
        <v>0.2924311352105079</v>
      </c>
      <c r="G47">
        <v>0.34454388744253689</v>
      </c>
      <c r="H47">
        <v>3.8870380504996338</v>
      </c>
      <c r="I47">
        <v>3.229783731393951</v>
      </c>
      <c r="J47">
        <v>4.623083565779039</v>
      </c>
      <c r="K47">
        <v>0.75388046256505714</v>
      </c>
      <c r="L47">
        <v>0.73494267450776096</v>
      </c>
      <c r="M47">
        <v>0.77384651252616099</v>
      </c>
      <c r="N47">
        <v>0.28421574065595612</v>
      </c>
      <c r="O47">
        <v>0.21909185556437311</v>
      </c>
      <c r="P47">
        <v>0.35629071677027158</v>
      </c>
      <c r="Q47">
        <v>0.41591087068693677</v>
      </c>
      <c r="R47">
        <v>0.38087594811409048</v>
      </c>
      <c r="S47">
        <v>0.46360259940612258</v>
      </c>
      <c r="T47">
        <v>0.28747984388072362</v>
      </c>
      <c r="U47">
        <v>0.21680503525471731</v>
      </c>
      <c r="V47">
        <v>0.36537371432966398</v>
      </c>
      <c r="W47">
        <v>0.62362637362637363</v>
      </c>
      <c r="X47">
        <v>0.49217948717948712</v>
      </c>
      <c r="Y47">
        <v>0.72256410256410264</v>
      </c>
    </row>
    <row r="48" spans="1:25">
      <c r="A48" t="s">
        <v>86</v>
      </c>
      <c r="B48" t="s">
        <v>77</v>
      </c>
      <c r="C48" t="s">
        <v>83</v>
      </c>
      <c r="D48">
        <v>5</v>
      </c>
      <c r="E48">
        <v>0.2189550069596807</v>
      </c>
      <c r="F48">
        <v>0.181755389183198</v>
      </c>
      <c r="G48">
        <v>0.25961475348464219</v>
      </c>
      <c r="H48">
        <v>1.7528867626867579</v>
      </c>
      <c r="I48">
        <v>1.4142809965552381</v>
      </c>
      <c r="J48">
        <v>2.21853651720612</v>
      </c>
      <c r="K48">
        <v>0.51948454916884501</v>
      </c>
      <c r="L48">
        <v>0.48262726846463772</v>
      </c>
      <c r="M48">
        <v>0.58499981836694248</v>
      </c>
      <c r="N48">
        <v>0.1229713814967752</v>
      </c>
      <c r="O48">
        <v>0.1022364951849981</v>
      </c>
      <c r="P48">
        <v>0.14652803186813509</v>
      </c>
      <c r="Q48">
        <v>0.29200219792070869</v>
      </c>
      <c r="R48">
        <v>0.25645483108711559</v>
      </c>
      <c r="S48">
        <v>0.37596056696475139</v>
      </c>
      <c r="T48">
        <v>0.18536272100238599</v>
      </c>
      <c r="U48">
        <v>0.1482111634567021</v>
      </c>
      <c r="V48">
        <v>0.216348075305869</v>
      </c>
      <c r="W48">
        <v>0.50990231990231982</v>
      </c>
      <c r="X48">
        <v>0.31186813186813178</v>
      </c>
      <c r="Y48">
        <v>0.80318681318681318</v>
      </c>
    </row>
    <row r="49" spans="1:25">
      <c r="A49" t="s">
        <v>86</v>
      </c>
      <c r="B49" t="s">
        <v>77</v>
      </c>
      <c r="C49" t="s">
        <v>84</v>
      </c>
      <c r="D49">
        <v>5</v>
      </c>
      <c r="E49">
        <v>0.3717300226799331</v>
      </c>
      <c r="F49">
        <v>0.32739454021048953</v>
      </c>
      <c r="G49">
        <v>0.41109445678854201</v>
      </c>
      <c r="H49">
        <v>5.8641221482518606</v>
      </c>
      <c r="I49">
        <v>4.5254182463497354</v>
      </c>
      <c r="J49">
        <v>6.9299000088735552</v>
      </c>
      <c r="K49">
        <v>0.7995365260896623</v>
      </c>
      <c r="L49">
        <v>0.75901882710208246</v>
      </c>
      <c r="M49">
        <v>0.83029239859092263</v>
      </c>
      <c r="N49">
        <v>0.36362554813146852</v>
      </c>
      <c r="O49">
        <v>0.32599928956294449</v>
      </c>
      <c r="P49">
        <v>0.39983197716822511</v>
      </c>
      <c r="Q49">
        <v>0.47036601951992779</v>
      </c>
      <c r="R49">
        <v>0.43006180027483398</v>
      </c>
      <c r="S49">
        <v>0.49764791899891131</v>
      </c>
      <c r="T49">
        <v>0.37432434571260009</v>
      </c>
      <c r="U49">
        <v>0.29745911513221451</v>
      </c>
      <c r="V49">
        <v>0.41463906926406918</v>
      </c>
      <c r="W49">
        <v>0.57649572649572645</v>
      </c>
      <c r="X49">
        <v>0.46780219780219778</v>
      </c>
      <c r="Y49">
        <v>0.63426129426129418</v>
      </c>
    </row>
    <row r="50" spans="1:25">
      <c r="A50" t="s">
        <v>86</v>
      </c>
      <c r="B50" t="s">
        <v>78</v>
      </c>
      <c r="C50" t="s">
        <v>80</v>
      </c>
      <c r="D50">
        <v>5</v>
      </c>
      <c r="E50">
        <v>0.32103528738941378</v>
      </c>
      <c r="F50">
        <v>0.28315257790903198</v>
      </c>
      <c r="G50">
        <v>0.37195824694926422</v>
      </c>
      <c r="H50">
        <v>5.0548164317631326</v>
      </c>
      <c r="I50">
        <v>4.0738602100250958</v>
      </c>
      <c r="J50">
        <v>7.1233856778376712</v>
      </c>
      <c r="K50">
        <v>0.75022878677541416</v>
      </c>
      <c r="L50">
        <v>0.69249640086554665</v>
      </c>
      <c r="M50">
        <v>0.79049235824316155</v>
      </c>
      <c r="N50">
        <v>0.25825059647342308</v>
      </c>
      <c r="O50">
        <v>0.21406588996760301</v>
      </c>
      <c r="P50">
        <v>0.32323311370644242</v>
      </c>
      <c r="Q50">
        <v>0.39246055762093718</v>
      </c>
      <c r="R50">
        <v>0.37388837484300219</v>
      </c>
      <c r="S50">
        <v>0.42238829756385171</v>
      </c>
      <c r="T50">
        <v>0.3152828031200316</v>
      </c>
      <c r="U50">
        <v>0.21363855819317931</v>
      </c>
      <c r="V50">
        <v>0.43398901028688253</v>
      </c>
      <c r="W50">
        <v>0.53420024420024426</v>
      </c>
      <c r="X50">
        <v>0.4296031746031746</v>
      </c>
      <c r="Y50">
        <v>0.67180708180708171</v>
      </c>
    </row>
    <row r="51" spans="1:25">
      <c r="A51" t="s">
        <v>86</v>
      </c>
      <c r="B51" t="s">
        <v>78</v>
      </c>
      <c r="C51" t="s">
        <v>81</v>
      </c>
      <c r="D51">
        <v>5</v>
      </c>
      <c r="E51">
        <v>0.22589024366361771</v>
      </c>
      <c r="F51">
        <v>0.17655311386469619</v>
      </c>
      <c r="G51">
        <v>0.2725279654173165</v>
      </c>
      <c r="H51">
        <v>3.0199174493865661</v>
      </c>
      <c r="I51">
        <v>1.905092833865657</v>
      </c>
      <c r="J51">
        <v>4.3901167549915936</v>
      </c>
      <c r="K51">
        <v>0.65038637390012655</v>
      </c>
      <c r="L51">
        <v>0.62221109434908672</v>
      </c>
      <c r="M51">
        <v>0.6647772981054707</v>
      </c>
      <c r="N51">
        <v>0.15718674081890199</v>
      </c>
      <c r="O51">
        <v>7.90408085768015E-2</v>
      </c>
      <c r="P51">
        <v>0.23548095482862499</v>
      </c>
      <c r="Q51">
        <v>0.31722221843168008</v>
      </c>
      <c r="R51">
        <v>0.1653278373432488</v>
      </c>
      <c r="S51">
        <v>0.39716551581230541</v>
      </c>
      <c r="T51">
        <v>0.1927784965668653</v>
      </c>
      <c r="U51">
        <v>0.16618733917864351</v>
      </c>
      <c r="V51">
        <v>0.256176134306843</v>
      </c>
      <c r="W51">
        <v>0.62032967032967035</v>
      </c>
      <c r="X51">
        <v>0.343076923076923</v>
      </c>
      <c r="Y51">
        <v>0.80113675213675206</v>
      </c>
    </row>
    <row r="52" spans="1:25">
      <c r="A52" t="s">
        <v>86</v>
      </c>
      <c r="B52" t="s">
        <v>78</v>
      </c>
      <c r="C52" t="s">
        <v>82</v>
      </c>
      <c r="D52">
        <v>5</v>
      </c>
      <c r="E52">
        <v>0.15862869659664389</v>
      </c>
      <c r="F52">
        <v>0.131956793896054</v>
      </c>
      <c r="G52">
        <v>0.18595753011263511</v>
      </c>
      <c r="H52">
        <v>1.624317027992908</v>
      </c>
      <c r="I52">
        <v>1.3045854508413759</v>
      </c>
      <c r="J52">
        <v>1.905891909852734</v>
      </c>
      <c r="K52">
        <v>0.5705673361423248</v>
      </c>
      <c r="L52">
        <v>0.54056864758040279</v>
      </c>
      <c r="M52">
        <v>0.60077106540141145</v>
      </c>
      <c r="N52">
        <v>5.9958341436711797E-2</v>
      </c>
      <c r="O52">
        <v>2.5378614793170599E-2</v>
      </c>
      <c r="P52">
        <v>0.1323694448889331</v>
      </c>
      <c r="Q52">
        <v>0.22183613941824681</v>
      </c>
      <c r="R52">
        <v>0.12925530988198941</v>
      </c>
      <c r="S52">
        <v>0.30173816590083358</v>
      </c>
      <c r="T52">
        <v>0.12892555933174199</v>
      </c>
      <c r="U52">
        <v>0.11468346018735361</v>
      </c>
      <c r="V52">
        <v>0.16738914437386529</v>
      </c>
      <c r="W52">
        <v>0.39735775335775331</v>
      </c>
      <c r="X52">
        <v>0.2160024420024419</v>
      </c>
      <c r="Y52">
        <v>0.58415384615384602</v>
      </c>
    </row>
    <row r="53" spans="1:25">
      <c r="A53" t="s">
        <v>86</v>
      </c>
      <c r="B53" t="s">
        <v>78</v>
      </c>
      <c r="C53" t="s">
        <v>76</v>
      </c>
      <c r="D53">
        <v>5</v>
      </c>
      <c r="E53">
        <v>0.30748977519450682</v>
      </c>
      <c r="F53">
        <v>0.27399336605701868</v>
      </c>
      <c r="G53">
        <v>0.33425964692969778</v>
      </c>
      <c r="H53">
        <v>3.6335865689489841</v>
      </c>
      <c r="I53">
        <v>2.796471089410693</v>
      </c>
      <c r="J53">
        <v>4.7171234290268931</v>
      </c>
      <c r="K53">
        <v>0.75099657184032553</v>
      </c>
      <c r="L53">
        <v>0.73725494014856141</v>
      </c>
      <c r="M53">
        <v>0.76841697592242986</v>
      </c>
      <c r="N53">
        <v>0.27618137205279469</v>
      </c>
      <c r="O53">
        <v>0.220286232213454</v>
      </c>
      <c r="P53">
        <v>0.35396854256749499</v>
      </c>
      <c r="Q53">
        <v>0.40528192547737402</v>
      </c>
      <c r="R53">
        <v>0.34029194634467808</v>
      </c>
      <c r="S53">
        <v>0.4509628656234454</v>
      </c>
      <c r="T53">
        <v>0.2763800639020807</v>
      </c>
      <c r="U53">
        <v>0.21597809316536701</v>
      </c>
      <c r="V53">
        <v>0.3774536841153317</v>
      </c>
      <c r="W53">
        <v>0.62505494505494508</v>
      </c>
      <c r="X53">
        <v>0.54488644688644694</v>
      </c>
      <c r="Y53">
        <v>0.70638095238095233</v>
      </c>
    </row>
    <row r="54" spans="1:25">
      <c r="A54" t="s">
        <v>86</v>
      </c>
      <c r="B54" t="s">
        <v>78</v>
      </c>
      <c r="C54" t="s">
        <v>83</v>
      </c>
      <c r="D54">
        <v>5</v>
      </c>
      <c r="E54">
        <v>0.22624753955049259</v>
      </c>
      <c r="F54">
        <v>0.18470484879635349</v>
      </c>
      <c r="G54">
        <v>0.2525647251009791</v>
      </c>
      <c r="H54">
        <v>2.2177115117384218</v>
      </c>
      <c r="I54">
        <v>1.5423613263405489</v>
      </c>
      <c r="J54">
        <v>3.1482093302560772</v>
      </c>
      <c r="K54">
        <v>0.5439400460075362</v>
      </c>
      <c r="L54">
        <v>0.49824165293268069</v>
      </c>
      <c r="M54">
        <v>0.58470655530277127</v>
      </c>
      <c r="N54">
        <v>0.15524598541439871</v>
      </c>
      <c r="O54">
        <v>9.6860746710502807E-2</v>
      </c>
      <c r="P54">
        <v>0.19143903939380469</v>
      </c>
      <c r="Q54">
        <v>0.31188631580711562</v>
      </c>
      <c r="R54">
        <v>0.2676787173257783</v>
      </c>
      <c r="S54">
        <v>0.34976397122260472</v>
      </c>
      <c r="T54">
        <v>0.19130321971122549</v>
      </c>
      <c r="U54">
        <v>0.14691251492065999</v>
      </c>
      <c r="V54">
        <v>0.22704397328260961</v>
      </c>
      <c r="W54">
        <v>0.59439560439560446</v>
      </c>
      <c r="X54">
        <v>0.48573626373626377</v>
      </c>
      <c r="Y54">
        <v>0.72478632478632476</v>
      </c>
    </row>
    <row r="55" spans="1:25">
      <c r="A55" t="s">
        <v>86</v>
      </c>
      <c r="B55" t="s">
        <v>78</v>
      </c>
      <c r="C55" t="s">
        <v>84</v>
      </c>
      <c r="D55">
        <v>5</v>
      </c>
      <c r="E55">
        <v>0.36877868852829909</v>
      </c>
      <c r="F55">
        <v>0.32858318053085162</v>
      </c>
      <c r="G55">
        <v>0.39037992839500552</v>
      </c>
      <c r="H55">
        <v>6.0268763906472396</v>
      </c>
      <c r="I55">
        <v>4.3448717244379456</v>
      </c>
      <c r="J55">
        <v>7.1022741714832609</v>
      </c>
      <c r="K55">
        <v>0.76202861610597528</v>
      </c>
      <c r="L55">
        <v>0.71739667780537908</v>
      </c>
      <c r="M55">
        <v>0.79565274786605</v>
      </c>
      <c r="N55">
        <v>0.33274223088359423</v>
      </c>
      <c r="O55">
        <v>0.2874765121764522</v>
      </c>
      <c r="P55">
        <v>0.36368312411117798</v>
      </c>
      <c r="Q55">
        <v>0.45355018991228269</v>
      </c>
      <c r="R55">
        <v>0.40898798894046628</v>
      </c>
      <c r="S55">
        <v>0.50050372849652791</v>
      </c>
      <c r="T55">
        <v>0.34631354207899279</v>
      </c>
      <c r="U55">
        <v>0.28900804268195579</v>
      </c>
      <c r="V55">
        <v>0.37489467030187051</v>
      </c>
      <c r="W55">
        <v>0.6043052503052504</v>
      </c>
      <c r="X55">
        <v>0.47003785103785101</v>
      </c>
      <c r="Y55">
        <v>0.67839438339438352</v>
      </c>
    </row>
    <row r="56" spans="1:25">
      <c r="A56" t="s">
        <v>87</v>
      </c>
      <c r="B56" t="s">
        <v>65</v>
      </c>
      <c r="C56" t="s">
        <v>80</v>
      </c>
      <c r="D56">
        <v>5</v>
      </c>
      <c r="E56">
        <v>0.2072991893905147</v>
      </c>
      <c r="F56">
        <v>0.171708157564923</v>
      </c>
      <c r="G56">
        <v>0.23301569206966191</v>
      </c>
      <c r="H56">
        <v>2.9266221549035318</v>
      </c>
      <c r="I56">
        <v>1.8717125071537619</v>
      </c>
      <c r="J56">
        <v>3.8343416600494922</v>
      </c>
      <c r="K56">
        <v>0.64326930675298277</v>
      </c>
      <c r="L56">
        <v>0.62030842841782152</v>
      </c>
      <c r="M56">
        <v>0.70398755885989595</v>
      </c>
      <c r="N56">
        <v>0.15795022422563421</v>
      </c>
      <c r="O56">
        <v>0.1198066971944875</v>
      </c>
      <c r="P56">
        <v>0.2072264186689145</v>
      </c>
      <c r="Q56">
        <v>0.35612712000588542</v>
      </c>
      <c r="R56">
        <v>0.28584806278191049</v>
      </c>
      <c r="S56">
        <v>0.44112255912605158</v>
      </c>
      <c r="T56">
        <v>0.17381038082842851</v>
      </c>
      <c r="U56">
        <v>0.14185834195316949</v>
      </c>
      <c r="V56">
        <v>0.19814007972506731</v>
      </c>
      <c r="W56">
        <v>0.62604884004884009</v>
      </c>
      <c r="X56">
        <v>0.52216971916971922</v>
      </c>
      <c r="Y56">
        <v>0.82246764346764345</v>
      </c>
    </row>
    <row r="57" spans="1:25">
      <c r="A57" t="s">
        <v>87</v>
      </c>
      <c r="B57" t="s">
        <v>65</v>
      </c>
      <c r="C57" t="s">
        <v>81</v>
      </c>
      <c r="D57">
        <v>5</v>
      </c>
      <c r="E57">
        <v>0.2312880279678077</v>
      </c>
      <c r="F57">
        <v>0.19324793536690429</v>
      </c>
      <c r="G57">
        <v>0.27461771878180091</v>
      </c>
      <c r="H57">
        <v>2.9166469633250749</v>
      </c>
      <c r="I57">
        <v>2.0492839359632309</v>
      </c>
      <c r="J57">
        <v>4.1312344507352474</v>
      </c>
      <c r="K57">
        <v>0.67126234820025077</v>
      </c>
      <c r="L57">
        <v>0.66028926669630272</v>
      </c>
      <c r="M57">
        <v>0.69466638128042946</v>
      </c>
      <c r="N57">
        <v>0.14429927112743129</v>
      </c>
      <c r="O57">
        <v>9.2828318743050003E-2</v>
      </c>
      <c r="P57">
        <v>0.25136106808485831</v>
      </c>
      <c r="Q57">
        <v>0.29716943035674848</v>
      </c>
      <c r="R57">
        <v>0.24583506027545191</v>
      </c>
      <c r="S57">
        <v>0.39209553213011228</v>
      </c>
      <c r="T57">
        <v>0.20137620688537691</v>
      </c>
      <c r="U57">
        <v>0.1594531420228098</v>
      </c>
      <c r="V57">
        <v>0.28012333718912669</v>
      </c>
      <c r="W57">
        <v>0.62785347985347983</v>
      </c>
      <c r="X57">
        <v>0.5935054945054945</v>
      </c>
      <c r="Y57">
        <v>0.70149450549450554</v>
      </c>
    </row>
    <row r="58" spans="1:25">
      <c r="A58" t="s">
        <v>87</v>
      </c>
      <c r="B58" t="s">
        <v>65</v>
      </c>
      <c r="C58" t="s">
        <v>82</v>
      </c>
      <c r="D58">
        <v>5</v>
      </c>
      <c r="E58">
        <v>0.11155224189905789</v>
      </c>
      <c r="F58">
        <v>9.6993609675892295E-2</v>
      </c>
      <c r="G58">
        <v>0.12656579461080081</v>
      </c>
      <c r="H58">
        <v>1.1887420668365121</v>
      </c>
      <c r="I58">
        <v>0.98530302437425676</v>
      </c>
      <c r="J58">
        <v>1.4692441151632929</v>
      </c>
      <c r="K58">
        <v>0.45048899520183699</v>
      </c>
      <c r="L58">
        <v>0.42135687399529348</v>
      </c>
      <c r="M58">
        <v>0.49036695293960941</v>
      </c>
      <c r="N58">
        <v>1.09433913352732E-2</v>
      </c>
      <c r="O58">
        <v>-3.7591940663567698E-2</v>
      </c>
      <c r="P58">
        <v>5.2688547750650197E-2</v>
      </c>
      <c r="Q58">
        <v>0.23585308547984729</v>
      </c>
      <c r="R58">
        <v>0.14200988489307939</v>
      </c>
      <c r="S58">
        <v>0.28074915130367978</v>
      </c>
      <c r="T58">
        <v>0.1098170570098386</v>
      </c>
      <c r="U58">
        <v>8.2640382317801603E-2</v>
      </c>
      <c r="V58">
        <v>0.1332050162494722</v>
      </c>
      <c r="W58">
        <v>0.48914041514041512</v>
      </c>
      <c r="X58">
        <v>0.24733333333333329</v>
      </c>
      <c r="Y58">
        <v>0.58308058608058599</v>
      </c>
    </row>
    <row r="59" spans="1:25">
      <c r="A59" t="s">
        <v>87</v>
      </c>
      <c r="B59" t="s">
        <v>65</v>
      </c>
      <c r="C59" t="s">
        <v>76</v>
      </c>
      <c r="D59">
        <v>5</v>
      </c>
      <c r="E59">
        <v>0.21638672257484989</v>
      </c>
      <c r="F59">
        <v>0.19312062520121101</v>
      </c>
      <c r="G59">
        <v>0.22853782218195379</v>
      </c>
      <c r="H59">
        <v>2.3703611556855919</v>
      </c>
      <c r="I59">
        <v>1.9472898908984959</v>
      </c>
      <c r="J59">
        <v>2.7165557581049682</v>
      </c>
      <c r="K59">
        <v>0.67626564362712216</v>
      </c>
      <c r="L59">
        <v>0.66001751069794823</v>
      </c>
      <c r="M59">
        <v>0.70677681543681015</v>
      </c>
      <c r="N59">
        <v>0.16655915805135721</v>
      </c>
      <c r="O59">
        <v>0.14161159779089841</v>
      </c>
      <c r="P59">
        <v>0.20517758073464951</v>
      </c>
      <c r="Q59">
        <v>0.34724291997193202</v>
      </c>
      <c r="R59">
        <v>0.3334754585101955</v>
      </c>
      <c r="S59">
        <v>0.36298049342572902</v>
      </c>
      <c r="T59">
        <v>0.1832607979914892</v>
      </c>
      <c r="U59">
        <v>0.1667856714159138</v>
      </c>
      <c r="V59">
        <v>0.20174488090145981</v>
      </c>
      <c r="W59">
        <v>0.60002197802197799</v>
      </c>
      <c r="X59">
        <v>0.48117094017094009</v>
      </c>
      <c r="Y59">
        <v>0.66850671550671537</v>
      </c>
    </row>
    <row r="60" spans="1:25">
      <c r="A60" t="s">
        <v>87</v>
      </c>
      <c r="B60" t="s">
        <v>65</v>
      </c>
      <c r="C60" t="s">
        <v>83</v>
      </c>
      <c r="D60">
        <v>5</v>
      </c>
      <c r="E60">
        <v>0.2159035196194739</v>
      </c>
      <c r="F60">
        <v>0.17931989169306081</v>
      </c>
      <c r="G60">
        <v>0.28526379780528949</v>
      </c>
      <c r="H60">
        <v>2.5834755719414311</v>
      </c>
      <c r="I60">
        <v>1.726699158414486</v>
      </c>
      <c r="J60">
        <v>4.0687767392275598</v>
      </c>
      <c r="K60">
        <v>0.6168886258433155</v>
      </c>
      <c r="L60">
        <v>0.56022561009842997</v>
      </c>
      <c r="M60">
        <v>0.67186175010500715</v>
      </c>
      <c r="N60">
        <v>0.1632669578498574</v>
      </c>
      <c r="O60">
        <v>8.6348107419991701E-2</v>
      </c>
      <c r="P60">
        <v>0.24940965311179539</v>
      </c>
      <c r="Q60">
        <v>0.29054553005756317</v>
      </c>
      <c r="R60">
        <v>0.23699487125238389</v>
      </c>
      <c r="S60">
        <v>0.33746713655126398</v>
      </c>
      <c r="T60">
        <v>0.21066927029227689</v>
      </c>
      <c r="U60">
        <v>0.1615722836868847</v>
      </c>
      <c r="V60">
        <v>0.3425482105747808</v>
      </c>
      <c r="W60">
        <v>0.564039072039072</v>
      </c>
      <c r="X60">
        <v>0.4494358974358974</v>
      </c>
      <c r="Y60">
        <v>0.70315384615384602</v>
      </c>
    </row>
    <row r="61" spans="1:25">
      <c r="A61" t="s">
        <v>87</v>
      </c>
      <c r="B61" t="s">
        <v>65</v>
      </c>
      <c r="C61" t="s">
        <v>84</v>
      </c>
      <c r="D61">
        <v>5</v>
      </c>
      <c r="E61">
        <v>0.25300607263915281</v>
      </c>
      <c r="F61">
        <v>0.2065374492962572</v>
      </c>
      <c r="G61">
        <v>0.30351304612543001</v>
      </c>
      <c r="H61">
        <v>3.279750935593007</v>
      </c>
      <c r="I61">
        <v>1.992396643653686</v>
      </c>
      <c r="J61">
        <v>4.5510810086275209</v>
      </c>
      <c r="K61">
        <v>0.68509766386661608</v>
      </c>
      <c r="L61">
        <v>0.65210946358127198</v>
      </c>
      <c r="M61">
        <v>0.72332901672104377</v>
      </c>
      <c r="N61">
        <v>0.18233760548898939</v>
      </c>
      <c r="O61">
        <v>0.16063094825369439</v>
      </c>
      <c r="P61">
        <v>0.2062091661350223</v>
      </c>
      <c r="Q61">
        <v>0.35679284080018098</v>
      </c>
      <c r="R61">
        <v>0.29850325349538132</v>
      </c>
      <c r="S61">
        <v>0.40788332488813162</v>
      </c>
      <c r="T61">
        <v>0.1805286814010614</v>
      </c>
      <c r="U61">
        <v>0.1614949808461818</v>
      </c>
      <c r="V61">
        <v>0.20790769473915161</v>
      </c>
      <c r="W61">
        <v>0.74820268620268615</v>
      </c>
      <c r="X61">
        <v>0.6905140415140415</v>
      </c>
      <c r="Y61">
        <v>0.83319169719169717</v>
      </c>
    </row>
    <row r="62" spans="1:25">
      <c r="A62" t="s">
        <v>87</v>
      </c>
      <c r="B62" t="s">
        <v>77</v>
      </c>
      <c r="C62" t="s">
        <v>80</v>
      </c>
      <c r="D62">
        <v>5</v>
      </c>
      <c r="E62">
        <v>0.36240966105366851</v>
      </c>
      <c r="F62">
        <v>0.34316050120538399</v>
      </c>
      <c r="G62">
        <v>0.37398939530887321</v>
      </c>
      <c r="H62">
        <v>5.3363963762278512</v>
      </c>
      <c r="I62">
        <v>4.9298792048365883</v>
      </c>
      <c r="J62">
        <v>5.928751211820229</v>
      </c>
      <c r="K62">
        <v>0.7200889151078218</v>
      </c>
      <c r="L62">
        <v>0.70599369223794628</v>
      </c>
      <c r="M62">
        <v>0.7353092515967149</v>
      </c>
      <c r="N62">
        <v>0.30119890689798989</v>
      </c>
      <c r="O62">
        <v>0.22027743973611169</v>
      </c>
      <c r="P62">
        <v>0.36182252040634399</v>
      </c>
      <c r="Q62">
        <v>0.3732068933573861</v>
      </c>
      <c r="R62">
        <v>0.33926188064397861</v>
      </c>
      <c r="S62">
        <v>0.39231526285630353</v>
      </c>
      <c r="T62">
        <v>0.40077570640513738</v>
      </c>
      <c r="U62">
        <v>0.23451431748679449</v>
      </c>
      <c r="V62">
        <v>0.53119299637743655</v>
      </c>
      <c r="W62">
        <v>0.4592796092796092</v>
      </c>
      <c r="X62">
        <v>0.40310744810744809</v>
      </c>
      <c r="Y62">
        <v>0.64214285714285713</v>
      </c>
    </row>
    <row r="63" spans="1:25">
      <c r="A63" t="s">
        <v>87</v>
      </c>
      <c r="B63" t="s">
        <v>77</v>
      </c>
      <c r="C63" t="s">
        <v>81</v>
      </c>
      <c r="D63">
        <v>5</v>
      </c>
      <c r="E63">
        <v>0.27164719362405571</v>
      </c>
      <c r="F63">
        <v>0.24771776594417549</v>
      </c>
      <c r="G63">
        <v>0.29103584119634007</v>
      </c>
      <c r="H63">
        <v>3.5092707657840791</v>
      </c>
      <c r="I63">
        <v>3.2308132569101242</v>
      </c>
      <c r="J63">
        <v>3.6584889402305469</v>
      </c>
      <c r="K63">
        <v>0.68758774381588716</v>
      </c>
      <c r="L63">
        <v>0.68308895374784129</v>
      </c>
      <c r="M63">
        <v>0.69797815662820839</v>
      </c>
      <c r="N63">
        <v>0.2166578842045577</v>
      </c>
      <c r="O63">
        <v>0.13968802322531601</v>
      </c>
      <c r="P63">
        <v>0.29798607920260972</v>
      </c>
      <c r="Q63">
        <v>0.35422104235978419</v>
      </c>
      <c r="R63">
        <v>0.31185249983814001</v>
      </c>
      <c r="S63">
        <v>0.39245518455585632</v>
      </c>
      <c r="T63">
        <v>0.26100240417721388</v>
      </c>
      <c r="U63">
        <v>0.1581890732218601</v>
      </c>
      <c r="V63">
        <v>0.38414865779381902</v>
      </c>
      <c r="W63">
        <v>0.57025641025641027</v>
      </c>
      <c r="X63">
        <v>0.35945054945054938</v>
      </c>
      <c r="Y63">
        <v>0.89726495726495714</v>
      </c>
    </row>
    <row r="64" spans="1:25">
      <c r="A64" t="s">
        <v>87</v>
      </c>
      <c r="B64" t="s">
        <v>77</v>
      </c>
      <c r="C64" t="s">
        <v>82</v>
      </c>
      <c r="D64">
        <v>5</v>
      </c>
      <c r="E64">
        <v>0.14966850320819369</v>
      </c>
      <c r="F64">
        <v>0.13661956992619601</v>
      </c>
      <c r="G64">
        <v>0.1633179243358405</v>
      </c>
      <c r="H64">
        <v>1.4121776453839101</v>
      </c>
      <c r="I64">
        <v>1.3273131130491651</v>
      </c>
      <c r="J64">
        <v>1.503189174108521</v>
      </c>
      <c r="K64">
        <v>0.47069471195365881</v>
      </c>
      <c r="L64">
        <v>0.43190773459150328</v>
      </c>
      <c r="M64">
        <v>0.50864401940015946</v>
      </c>
      <c r="N64">
        <v>6.6684538491194198E-2</v>
      </c>
      <c r="O64">
        <v>-3.146704673780143E-5</v>
      </c>
      <c r="P64">
        <v>0.1354436120330107</v>
      </c>
      <c r="Q64">
        <v>0.22302233154771089</v>
      </c>
      <c r="R64">
        <v>0.1377951999283914</v>
      </c>
      <c r="S64">
        <v>0.27660629654763669</v>
      </c>
      <c r="T64">
        <v>0.13968977912278019</v>
      </c>
      <c r="U64">
        <v>9.9092791438686698E-2</v>
      </c>
      <c r="V64">
        <v>0.16944919154072469</v>
      </c>
      <c r="W64">
        <v>0.44609279609279612</v>
      </c>
      <c r="X64">
        <v>0.28449328449328448</v>
      </c>
      <c r="Y64">
        <v>0.53460927960927973</v>
      </c>
    </row>
    <row r="65" spans="1:25">
      <c r="A65" t="s">
        <v>87</v>
      </c>
      <c r="B65" t="s">
        <v>77</v>
      </c>
      <c r="C65" t="s">
        <v>76</v>
      </c>
      <c r="D65">
        <v>5</v>
      </c>
      <c r="E65">
        <v>0.2959688615734356</v>
      </c>
      <c r="F65">
        <v>0.27841266202689419</v>
      </c>
      <c r="G65">
        <v>0.30761604834073158</v>
      </c>
      <c r="H65">
        <v>3.1238480654059622</v>
      </c>
      <c r="I65">
        <v>2.800726425233246</v>
      </c>
      <c r="J65">
        <v>3.376628659383123</v>
      </c>
      <c r="K65">
        <v>0.72291491236448835</v>
      </c>
      <c r="L65">
        <v>0.69337236487243592</v>
      </c>
      <c r="M65">
        <v>0.76588527802901418</v>
      </c>
      <c r="N65">
        <v>0.25506773581091208</v>
      </c>
      <c r="O65">
        <v>0.2109983787310267</v>
      </c>
      <c r="P65">
        <v>0.29754168557124472</v>
      </c>
      <c r="Q65">
        <v>0.39869300933759161</v>
      </c>
      <c r="R65">
        <v>0.36221843369039641</v>
      </c>
      <c r="S65">
        <v>0.43438050618011181</v>
      </c>
      <c r="T65">
        <v>0.25701690293764612</v>
      </c>
      <c r="U65">
        <v>0.20979071682465689</v>
      </c>
      <c r="V65">
        <v>0.2900270380226902</v>
      </c>
      <c r="W65">
        <v>0.6142124542124543</v>
      </c>
      <c r="X65">
        <v>0.42974358974358973</v>
      </c>
      <c r="Y65">
        <v>0.84103785103785123</v>
      </c>
    </row>
    <row r="66" spans="1:25">
      <c r="A66" t="s">
        <v>87</v>
      </c>
      <c r="B66" t="s">
        <v>77</v>
      </c>
      <c r="C66" t="s">
        <v>83</v>
      </c>
      <c r="D66">
        <v>5</v>
      </c>
      <c r="E66">
        <v>0.19997948461919959</v>
      </c>
      <c r="F66">
        <v>0.1859183901687097</v>
      </c>
      <c r="G66">
        <v>0.2141331751125668</v>
      </c>
      <c r="H66">
        <v>1.567187707420939</v>
      </c>
      <c r="I66">
        <v>1.4454570477864921</v>
      </c>
      <c r="J66">
        <v>1.6753773576244879</v>
      </c>
      <c r="K66">
        <v>0.51011936441603867</v>
      </c>
      <c r="L66">
        <v>0.47125325918707972</v>
      </c>
      <c r="M66">
        <v>0.53917946392998162</v>
      </c>
      <c r="N66">
        <v>0.1121768140458843</v>
      </c>
      <c r="O66">
        <v>7.4329898585886206E-2</v>
      </c>
      <c r="P66">
        <v>0.14812914198454841</v>
      </c>
      <c r="Q66">
        <v>0.29108328869338318</v>
      </c>
      <c r="R66">
        <v>0.23770929168057089</v>
      </c>
      <c r="S66">
        <v>0.33413851804570199</v>
      </c>
      <c r="T66">
        <v>0.18842682463849539</v>
      </c>
      <c r="U66">
        <v>0.1699949286019164</v>
      </c>
      <c r="V66">
        <v>0.2004230983319768</v>
      </c>
      <c r="W66">
        <v>0.6368009768009768</v>
      </c>
      <c r="X66">
        <v>0.42700244200244197</v>
      </c>
      <c r="Y66">
        <v>0.8452075702075702</v>
      </c>
    </row>
    <row r="67" spans="1:25">
      <c r="A67" t="s">
        <v>87</v>
      </c>
      <c r="B67" t="s">
        <v>77</v>
      </c>
      <c r="C67" t="s">
        <v>84</v>
      </c>
      <c r="D67">
        <v>5</v>
      </c>
      <c r="E67">
        <v>0.31500766152182419</v>
      </c>
      <c r="F67">
        <v>0.30628712941648728</v>
      </c>
      <c r="G67">
        <v>0.32676114308421073</v>
      </c>
      <c r="H67">
        <v>3.477483631507956</v>
      </c>
      <c r="I67">
        <v>3.2772385105550228</v>
      </c>
      <c r="J67">
        <v>3.7233211987625521</v>
      </c>
      <c r="K67">
        <v>0.71451485126557768</v>
      </c>
      <c r="L67">
        <v>0.68194201526300779</v>
      </c>
      <c r="M67">
        <v>0.74233470238158616</v>
      </c>
      <c r="N67">
        <v>0.23326881632635549</v>
      </c>
      <c r="O67">
        <v>0.17256606367332339</v>
      </c>
      <c r="P67">
        <v>0.2843601373712768</v>
      </c>
      <c r="Q67">
        <v>0.36249617017317071</v>
      </c>
      <c r="R67">
        <v>0.27375521062787828</v>
      </c>
      <c r="S67">
        <v>0.42047242675797808</v>
      </c>
      <c r="T67">
        <v>0.24066764273680449</v>
      </c>
      <c r="U67">
        <v>0.1849180768126131</v>
      </c>
      <c r="V67">
        <v>0.34354936876540648</v>
      </c>
      <c r="W67">
        <v>0.5494505494505495</v>
      </c>
      <c r="X67">
        <v>0.35142246642246638</v>
      </c>
      <c r="Y67">
        <v>0.76623931623931629</v>
      </c>
    </row>
    <row r="68" spans="1:25">
      <c r="A68" t="s">
        <v>87</v>
      </c>
      <c r="B68" t="s">
        <v>78</v>
      </c>
      <c r="C68" t="s">
        <v>80</v>
      </c>
      <c r="D68">
        <v>5</v>
      </c>
      <c r="E68">
        <v>0.38298655665037862</v>
      </c>
      <c r="F68">
        <v>0.3580938471936691</v>
      </c>
      <c r="G68">
        <v>0.4128907538713103</v>
      </c>
      <c r="H68">
        <v>5.7616975135416357</v>
      </c>
      <c r="I68">
        <v>4.9887131855100968</v>
      </c>
      <c r="J68">
        <v>6.4678090405209518</v>
      </c>
      <c r="K68">
        <v>0.72015099068484534</v>
      </c>
      <c r="L68">
        <v>0.70265437280038778</v>
      </c>
      <c r="M68">
        <v>0.74073230731359307</v>
      </c>
      <c r="N68">
        <v>0.30109445007010083</v>
      </c>
      <c r="O68">
        <v>0.22799797706269129</v>
      </c>
      <c r="P68">
        <v>0.34408823315399267</v>
      </c>
      <c r="Q68">
        <v>0.36527689228650079</v>
      </c>
      <c r="R68">
        <v>0.33786952231791811</v>
      </c>
      <c r="S68">
        <v>0.3971855682195326</v>
      </c>
      <c r="T68">
        <v>0.41445827306884092</v>
      </c>
      <c r="U68">
        <v>0.24704678328398519</v>
      </c>
      <c r="V68">
        <v>0.52477856526282318</v>
      </c>
      <c r="W68">
        <v>0.4889230769230769</v>
      </c>
      <c r="X68">
        <v>0.35262271062271061</v>
      </c>
      <c r="Y68">
        <v>0.71109401709401721</v>
      </c>
    </row>
    <row r="69" spans="1:25">
      <c r="A69" t="s">
        <v>87</v>
      </c>
      <c r="B69" t="s">
        <v>78</v>
      </c>
      <c r="C69" t="s">
        <v>81</v>
      </c>
      <c r="D69">
        <v>5</v>
      </c>
      <c r="E69">
        <v>0.25452834240167588</v>
      </c>
      <c r="F69">
        <v>0.244339376504321</v>
      </c>
      <c r="G69">
        <v>0.26472402232971248</v>
      </c>
      <c r="H69">
        <v>3.2631191337208998</v>
      </c>
      <c r="I69">
        <v>3.2101175938978259</v>
      </c>
      <c r="J69">
        <v>3.3166945278015141</v>
      </c>
      <c r="K69">
        <v>0.67552832431588994</v>
      </c>
      <c r="L69">
        <v>0.6691154581935459</v>
      </c>
      <c r="M69">
        <v>0.68692007703323255</v>
      </c>
      <c r="N69">
        <v>0.22787344505263279</v>
      </c>
      <c r="O69">
        <v>0.179001433196423</v>
      </c>
      <c r="P69">
        <v>0.26783454552438452</v>
      </c>
      <c r="Q69">
        <v>0.35306102701725611</v>
      </c>
      <c r="R69">
        <v>0.32446723729768567</v>
      </c>
      <c r="S69">
        <v>0.39179352292531361</v>
      </c>
      <c r="T69">
        <v>0.2734863625697419</v>
      </c>
      <c r="U69">
        <v>0.2064118500959749</v>
      </c>
      <c r="V69">
        <v>0.34386999022482889</v>
      </c>
      <c r="W69">
        <v>0.5294945054945055</v>
      </c>
      <c r="X69">
        <v>0.3476007326007326</v>
      </c>
      <c r="Y69">
        <v>0.72833455433455441</v>
      </c>
    </row>
    <row r="70" spans="1:25">
      <c r="A70" t="s">
        <v>87</v>
      </c>
      <c r="B70" t="s">
        <v>78</v>
      </c>
      <c r="C70" t="s">
        <v>82</v>
      </c>
      <c r="D70">
        <v>5</v>
      </c>
      <c r="E70">
        <v>0.16073903022534869</v>
      </c>
      <c r="F70">
        <v>0.150889849995725</v>
      </c>
      <c r="G70">
        <v>0.1796176510104073</v>
      </c>
      <c r="H70">
        <v>1.8104088924161781</v>
      </c>
      <c r="I70">
        <v>1.624551319425269</v>
      </c>
      <c r="J70">
        <v>2.0642353763168222</v>
      </c>
      <c r="K70">
        <v>0.531895636817594</v>
      </c>
      <c r="L70">
        <v>0.47205463800175662</v>
      </c>
      <c r="M70">
        <v>0.57810179350979696</v>
      </c>
      <c r="N70">
        <v>0.1170641599691626</v>
      </c>
      <c r="O70">
        <v>0.1006014210601035</v>
      </c>
      <c r="P70">
        <v>0.1339543518041095</v>
      </c>
      <c r="Q70">
        <v>0.25711557210236857</v>
      </c>
      <c r="R70">
        <v>0.2047579157847631</v>
      </c>
      <c r="S70">
        <v>0.31604698682275939</v>
      </c>
      <c r="T70">
        <v>0.18795622021003791</v>
      </c>
      <c r="U70">
        <v>0.12632290477016</v>
      </c>
      <c r="V70">
        <v>0.26298729284298039</v>
      </c>
      <c r="W70">
        <v>0.52190964590964595</v>
      </c>
      <c r="X70">
        <v>0.38747741147741149</v>
      </c>
      <c r="Y70">
        <v>0.66000244200244207</v>
      </c>
    </row>
    <row r="71" spans="1:25">
      <c r="A71" t="s">
        <v>87</v>
      </c>
      <c r="B71" t="s">
        <v>78</v>
      </c>
      <c r="C71" t="s">
        <v>76</v>
      </c>
      <c r="D71">
        <v>5</v>
      </c>
      <c r="E71">
        <v>0.29008830639924787</v>
      </c>
      <c r="F71">
        <v>0.25644838768152872</v>
      </c>
      <c r="G71">
        <v>0.32703033093997291</v>
      </c>
      <c r="H71">
        <v>3.1365126109625461</v>
      </c>
      <c r="I71">
        <v>2.5834073091606711</v>
      </c>
      <c r="J71">
        <v>3.7529450067881429</v>
      </c>
      <c r="K71">
        <v>0.73059396098825302</v>
      </c>
      <c r="L71">
        <v>0.70580536298727004</v>
      </c>
      <c r="M71">
        <v>0.75915105872000033</v>
      </c>
      <c r="N71">
        <v>0.25389590808129109</v>
      </c>
      <c r="O71">
        <v>0.17693463835747061</v>
      </c>
      <c r="P71">
        <v>0.31726260240037152</v>
      </c>
      <c r="Q71">
        <v>0.40476549189059008</v>
      </c>
      <c r="R71">
        <v>0.33586228104617449</v>
      </c>
      <c r="S71">
        <v>0.43969472846752239</v>
      </c>
      <c r="T71">
        <v>0.25371380024033557</v>
      </c>
      <c r="U71">
        <v>0.21024616378091379</v>
      </c>
      <c r="V71">
        <v>0.33111499931852251</v>
      </c>
      <c r="W71">
        <v>0.68694749694749691</v>
      </c>
      <c r="X71">
        <v>0.56679975579975583</v>
      </c>
      <c r="Y71">
        <v>0.77840537240537255</v>
      </c>
    </row>
    <row r="72" spans="1:25">
      <c r="A72" t="s">
        <v>87</v>
      </c>
      <c r="B72" t="s">
        <v>78</v>
      </c>
      <c r="C72" t="s">
        <v>83</v>
      </c>
      <c r="D72">
        <v>5</v>
      </c>
      <c r="E72">
        <v>0.1960837926750269</v>
      </c>
      <c r="F72">
        <v>0.18578937685351221</v>
      </c>
      <c r="G72">
        <v>0.2057980839918066</v>
      </c>
      <c r="H72">
        <v>1.576354639572018</v>
      </c>
      <c r="I72">
        <v>1.455802877622582</v>
      </c>
      <c r="J72">
        <v>1.6497292159070029</v>
      </c>
      <c r="K72">
        <v>0.50553113455611487</v>
      </c>
      <c r="L72">
        <v>0.4885947406221034</v>
      </c>
      <c r="M72">
        <v>0.53431908189629418</v>
      </c>
      <c r="N72">
        <v>9.0260173238651598E-2</v>
      </c>
      <c r="O72">
        <v>-5.8290474511317001E-3</v>
      </c>
      <c r="P72">
        <v>0.1546380929186785</v>
      </c>
      <c r="Q72">
        <v>0.31164715777552188</v>
      </c>
      <c r="R72">
        <v>0.29168905613337542</v>
      </c>
      <c r="S72">
        <v>0.32797796632443599</v>
      </c>
      <c r="T72">
        <v>0.18456553666179859</v>
      </c>
      <c r="U72">
        <v>0.16044763544197499</v>
      </c>
      <c r="V72">
        <v>0.2086323658564494</v>
      </c>
      <c r="W72">
        <v>0.68152380952380953</v>
      </c>
      <c r="X72">
        <v>0.60629059829059828</v>
      </c>
      <c r="Y72">
        <v>0.76043956043956051</v>
      </c>
    </row>
    <row r="73" spans="1:25">
      <c r="A73" t="s">
        <v>87</v>
      </c>
      <c r="B73" t="s">
        <v>78</v>
      </c>
      <c r="C73" t="s">
        <v>84</v>
      </c>
      <c r="D73">
        <v>5</v>
      </c>
      <c r="E73">
        <v>0.28779085758273859</v>
      </c>
      <c r="F73">
        <v>0.27008497004627841</v>
      </c>
      <c r="G73">
        <v>0.30430281024597888</v>
      </c>
      <c r="H73">
        <v>3.187027301347944</v>
      </c>
      <c r="I73">
        <v>2.7598071234370498</v>
      </c>
      <c r="J73">
        <v>3.477596397375196</v>
      </c>
      <c r="K73">
        <v>0.69060143901468152</v>
      </c>
      <c r="L73">
        <v>0.6742239193910865</v>
      </c>
      <c r="M73">
        <v>0.71516959994672669</v>
      </c>
      <c r="N73">
        <v>0.2246727266171375</v>
      </c>
      <c r="O73">
        <v>0.1743916476069135</v>
      </c>
      <c r="P73">
        <v>0.2639976070638626</v>
      </c>
      <c r="Q73">
        <v>0.3390648910356987</v>
      </c>
      <c r="R73">
        <v>0.28509255646536469</v>
      </c>
      <c r="S73">
        <v>0.4185030869685365</v>
      </c>
      <c r="T73">
        <v>0.26421355359857279</v>
      </c>
      <c r="U73">
        <v>0.19508999181003581</v>
      </c>
      <c r="V73">
        <v>0.3820797311560023</v>
      </c>
      <c r="W73">
        <v>0.56606105006105012</v>
      </c>
      <c r="X73">
        <v>0.33661416361416358</v>
      </c>
      <c r="Y73">
        <v>0.86074969474969487</v>
      </c>
    </row>
    <row r="74" spans="1:25">
      <c r="A74" t="s">
        <v>88</v>
      </c>
      <c r="B74" t="s">
        <v>65</v>
      </c>
      <c r="C74" t="s">
        <v>80</v>
      </c>
      <c r="D74">
        <v>5</v>
      </c>
      <c r="E74">
        <v>0.17712485949882489</v>
      </c>
      <c r="F74">
        <v>0.15275679302977571</v>
      </c>
      <c r="G74">
        <v>0.2243995237577496</v>
      </c>
      <c r="H74">
        <v>2.624222970430599</v>
      </c>
      <c r="I74">
        <v>1.8764667915662721</v>
      </c>
      <c r="J74">
        <v>3.9521339325180702</v>
      </c>
      <c r="K74">
        <v>0.62011992082479495</v>
      </c>
      <c r="L74">
        <v>0.59090031837167745</v>
      </c>
      <c r="M74">
        <v>0.64434821977719381</v>
      </c>
      <c r="N74">
        <v>0.1226064128039555</v>
      </c>
      <c r="O74">
        <v>6.9890102296887399E-2</v>
      </c>
      <c r="P74">
        <v>0.166358252509375</v>
      </c>
      <c r="Q74">
        <v>0.33085488127030588</v>
      </c>
      <c r="R74">
        <v>0.30865521066989038</v>
      </c>
      <c r="S74">
        <v>0.36937005189336641</v>
      </c>
      <c r="T74">
        <v>0.16454230701548439</v>
      </c>
      <c r="U74">
        <v>0.14761191344788899</v>
      </c>
      <c r="V74">
        <v>0.18740488081482209</v>
      </c>
      <c r="W74">
        <v>0.63422466422466428</v>
      </c>
      <c r="X74">
        <v>0.48903785103785108</v>
      </c>
      <c r="Y74">
        <v>0.78498901098901108</v>
      </c>
    </row>
    <row r="75" spans="1:25">
      <c r="A75" t="s">
        <v>88</v>
      </c>
      <c r="B75" t="s">
        <v>65</v>
      </c>
      <c r="C75" t="s">
        <v>81</v>
      </c>
      <c r="D75">
        <v>5</v>
      </c>
      <c r="E75">
        <v>0.1843572380271771</v>
      </c>
      <c r="F75">
        <v>0.16388121468977229</v>
      </c>
      <c r="G75">
        <v>0.21169590155128321</v>
      </c>
      <c r="H75">
        <v>1.7161177544663899</v>
      </c>
      <c r="I75">
        <v>1.3786632677065811</v>
      </c>
      <c r="J75">
        <v>2.079811310711249</v>
      </c>
      <c r="K75">
        <v>0.57460412320167586</v>
      </c>
      <c r="L75">
        <v>0.5466385057550478</v>
      </c>
      <c r="M75">
        <v>0.59669372387658948</v>
      </c>
      <c r="N75">
        <v>9.9166793268109593E-2</v>
      </c>
      <c r="O75">
        <v>8.9298168712426698E-2</v>
      </c>
      <c r="P75">
        <v>0.107382981689744</v>
      </c>
      <c r="Q75">
        <v>0.25194456194633558</v>
      </c>
      <c r="R75">
        <v>0.2318780687600622</v>
      </c>
      <c r="S75">
        <v>0.27941070160360099</v>
      </c>
      <c r="T75">
        <v>0.15720545550905371</v>
      </c>
      <c r="U75">
        <v>0.14639180409795099</v>
      </c>
      <c r="V75">
        <v>0.1788294723294723</v>
      </c>
      <c r="W75">
        <v>0.60088888888888881</v>
      </c>
      <c r="X75">
        <v>0.44852991452991448</v>
      </c>
      <c r="Y75">
        <v>0.77530769230769225</v>
      </c>
    </row>
    <row r="76" spans="1:25">
      <c r="A76" t="s">
        <v>88</v>
      </c>
      <c r="B76" t="s">
        <v>65</v>
      </c>
      <c r="C76" t="s">
        <v>82</v>
      </c>
      <c r="D76">
        <v>5</v>
      </c>
      <c r="E76">
        <v>0.10931309228901639</v>
      </c>
      <c r="F76">
        <v>9.9421808569502307E-2</v>
      </c>
      <c r="G76">
        <v>0.1244278701904874</v>
      </c>
      <c r="H76">
        <v>1.0599812753488349</v>
      </c>
      <c r="I76">
        <v>0.96388426689862605</v>
      </c>
      <c r="J76">
        <v>1.2245033090397861</v>
      </c>
      <c r="K76">
        <v>0.36032224235273308</v>
      </c>
      <c r="L76">
        <v>0.33844281183434732</v>
      </c>
      <c r="M76">
        <v>0.37888224363635781</v>
      </c>
      <c r="N76">
        <v>-1.6892376373923101E-2</v>
      </c>
      <c r="O76">
        <v>-8.8828542269338603E-2</v>
      </c>
      <c r="P76">
        <v>6.3036398805173297E-2</v>
      </c>
      <c r="Q76">
        <v>0.13819813341392259</v>
      </c>
      <c r="R76">
        <v>8.3927952796860494E-2</v>
      </c>
      <c r="S76">
        <v>0.22279078653503209</v>
      </c>
      <c r="T76">
        <v>9.4053952213797906E-2</v>
      </c>
      <c r="U76">
        <v>4.3095084297068598E-2</v>
      </c>
      <c r="V76">
        <v>0.15146502483024221</v>
      </c>
      <c r="W76">
        <v>0.36478876678876671</v>
      </c>
      <c r="X76">
        <v>0.25900488400488397</v>
      </c>
      <c r="Y76">
        <v>0.4747716727716727</v>
      </c>
    </row>
    <row r="77" spans="1:25">
      <c r="A77" t="s">
        <v>88</v>
      </c>
      <c r="B77" t="s">
        <v>65</v>
      </c>
      <c r="C77" t="s">
        <v>76</v>
      </c>
      <c r="D77">
        <v>5</v>
      </c>
      <c r="E77">
        <v>0.21245274177407</v>
      </c>
      <c r="F77">
        <v>0.19196883828916059</v>
      </c>
      <c r="G77">
        <v>0.22791738569580891</v>
      </c>
      <c r="H77">
        <v>2.1737967223458501</v>
      </c>
      <c r="I77">
        <v>1.7691175225934139</v>
      </c>
      <c r="J77">
        <v>2.6985107848709342</v>
      </c>
      <c r="K77">
        <v>0.65837540564647234</v>
      </c>
      <c r="L77">
        <v>0.59876259901405615</v>
      </c>
      <c r="M77">
        <v>0.69890703537426069</v>
      </c>
      <c r="N77">
        <v>0.15139220802182049</v>
      </c>
      <c r="O77">
        <v>0.1035219448031459</v>
      </c>
      <c r="P77">
        <v>0.19377078597008821</v>
      </c>
      <c r="Q77">
        <v>0.32798252298557268</v>
      </c>
      <c r="R77">
        <v>0.28449392434612358</v>
      </c>
      <c r="S77">
        <v>0.36616278224939708</v>
      </c>
      <c r="T77">
        <v>0.18337236645857699</v>
      </c>
      <c r="U77">
        <v>0.1568549586181118</v>
      </c>
      <c r="V77">
        <v>0.20376737109384191</v>
      </c>
      <c r="W77">
        <v>0.64368986568986575</v>
      </c>
      <c r="X77">
        <v>0.53117216117216115</v>
      </c>
      <c r="Y77">
        <v>0.75894505494505493</v>
      </c>
    </row>
    <row r="78" spans="1:25">
      <c r="A78" t="s">
        <v>88</v>
      </c>
      <c r="B78" t="s">
        <v>65</v>
      </c>
      <c r="C78" t="s">
        <v>83</v>
      </c>
      <c r="D78">
        <v>5</v>
      </c>
      <c r="E78">
        <v>0.19267854750773611</v>
      </c>
      <c r="F78">
        <v>0.17750338463847309</v>
      </c>
      <c r="G78">
        <v>0.21274133076881691</v>
      </c>
      <c r="H78">
        <v>1.6074457032694069</v>
      </c>
      <c r="I78">
        <v>1.45656890259051</v>
      </c>
      <c r="J78">
        <v>1.8955351210027029</v>
      </c>
      <c r="K78">
        <v>0.53901774058992613</v>
      </c>
      <c r="L78">
        <v>0.51653547181306214</v>
      </c>
      <c r="M78">
        <v>0.59967627245068678</v>
      </c>
      <c r="N78">
        <v>0.1058407625700338</v>
      </c>
      <c r="O78">
        <v>7.7504171715286799E-2</v>
      </c>
      <c r="P78">
        <v>0.15693346408245171</v>
      </c>
      <c r="Q78">
        <v>0.26638211188411021</v>
      </c>
      <c r="R78">
        <v>0.19134543462491321</v>
      </c>
      <c r="S78">
        <v>0.31601761409803342</v>
      </c>
      <c r="T78">
        <v>0.1755959824917645</v>
      </c>
      <c r="U78">
        <v>0.12832262890971349</v>
      </c>
      <c r="V78">
        <v>0.213518046564313</v>
      </c>
      <c r="W78">
        <v>0.64916727716727718</v>
      </c>
      <c r="X78">
        <v>0.47541880341880338</v>
      </c>
      <c r="Y78">
        <v>0.73574725274725272</v>
      </c>
    </row>
    <row r="79" spans="1:25">
      <c r="A79" t="s">
        <v>88</v>
      </c>
      <c r="B79" t="s">
        <v>65</v>
      </c>
      <c r="C79" t="s">
        <v>84</v>
      </c>
      <c r="D79">
        <v>5</v>
      </c>
      <c r="E79">
        <v>0.24447216067919311</v>
      </c>
      <c r="F79">
        <v>0.21656673207697291</v>
      </c>
      <c r="G79">
        <v>0.27546210840529117</v>
      </c>
      <c r="H79">
        <v>2.670089663708906</v>
      </c>
      <c r="I79">
        <v>1.938465432840399</v>
      </c>
      <c r="J79">
        <v>3.505252378859264</v>
      </c>
      <c r="K79">
        <v>0.7047238767888474</v>
      </c>
      <c r="L79">
        <v>0.65315524794225788</v>
      </c>
      <c r="M79">
        <v>0.75124317116318695</v>
      </c>
      <c r="N79">
        <v>0.19494633470953729</v>
      </c>
      <c r="O79">
        <v>0.15745379402900209</v>
      </c>
      <c r="P79">
        <v>0.22239194352059991</v>
      </c>
      <c r="Q79">
        <v>0.36953436233128761</v>
      </c>
      <c r="R79">
        <v>0.31653635356038462</v>
      </c>
      <c r="S79">
        <v>0.41889714450339949</v>
      </c>
      <c r="T79">
        <v>0.17755804610755341</v>
      </c>
      <c r="U79">
        <v>0.16440362512999071</v>
      </c>
      <c r="V79">
        <v>0.1911546281676654</v>
      </c>
      <c r="W79">
        <v>0.7102075702075703</v>
      </c>
      <c r="X79">
        <v>0.61441758241758249</v>
      </c>
      <c r="Y79">
        <v>0.80428571428571427</v>
      </c>
    </row>
    <row r="80" spans="1:25">
      <c r="A80" t="s">
        <v>88</v>
      </c>
      <c r="B80" t="s">
        <v>77</v>
      </c>
      <c r="C80" t="s">
        <v>80</v>
      </c>
      <c r="D80">
        <v>5</v>
      </c>
      <c r="E80">
        <v>0.30785576194296349</v>
      </c>
      <c r="F80">
        <v>0.27610730415342621</v>
      </c>
      <c r="G80">
        <v>0.34226949596785911</v>
      </c>
      <c r="H80">
        <v>4.9132311614561814</v>
      </c>
      <c r="I80">
        <v>4.4713709832233119</v>
      </c>
      <c r="J80">
        <v>5.2645905768700034</v>
      </c>
      <c r="K80">
        <v>0.6894650101132026</v>
      </c>
      <c r="L80">
        <v>0.67123898618641242</v>
      </c>
      <c r="M80">
        <v>0.70739449953215305</v>
      </c>
      <c r="N80">
        <v>0.2437508908355096</v>
      </c>
      <c r="O80">
        <v>0.19371097864632619</v>
      </c>
      <c r="P80">
        <v>0.34077976221610662</v>
      </c>
      <c r="Q80">
        <v>0.34933991974793188</v>
      </c>
      <c r="R80">
        <v>0.24481300269571121</v>
      </c>
      <c r="S80">
        <v>0.4330643517413354</v>
      </c>
      <c r="T80">
        <v>0.28865400028110538</v>
      </c>
      <c r="U80">
        <v>0.1966870672764818</v>
      </c>
      <c r="V80">
        <v>0.4300396825396825</v>
      </c>
      <c r="W80">
        <v>0.4631623931623931</v>
      </c>
      <c r="X80">
        <v>0.28474358974358971</v>
      </c>
      <c r="Y80">
        <v>0.66169108669108667</v>
      </c>
    </row>
    <row r="81" spans="1:25">
      <c r="A81" t="s">
        <v>88</v>
      </c>
      <c r="B81" t="s">
        <v>77</v>
      </c>
      <c r="C81" t="s">
        <v>81</v>
      </c>
      <c r="D81">
        <v>5</v>
      </c>
      <c r="E81">
        <v>0.23712245001713991</v>
      </c>
      <c r="F81">
        <v>0.19434374654278219</v>
      </c>
      <c r="G81">
        <v>0.27125739957751338</v>
      </c>
      <c r="H81">
        <v>2.8924967302207758</v>
      </c>
      <c r="I81">
        <v>2.1688021724144839</v>
      </c>
      <c r="J81">
        <v>3.4849035286939838</v>
      </c>
      <c r="K81">
        <v>0.63917190998691409</v>
      </c>
      <c r="L81">
        <v>0.61581293237283374</v>
      </c>
      <c r="M81">
        <v>0.66719789732475698</v>
      </c>
      <c r="N81">
        <v>0.18506348681196</v>
      </c>
      <c r="O81">
        <v>0.14492881181908451</v>
      </c>
      <c r="P81">
        <v>0.23921389372728419</v>
      </c>
      <c r="Q81">
        <v>0.29761572803638148</v>
      </c>
      <c r="R81">
        <v>0.22973532142499131</v>
      </c>
      <c r="S81">
        <v>0.38242266946906811</v>
      </c>
      <c r="T81">
        <v>0.24479927472954799</v>
      </c>
      <c r="U81">
        <v>0.19021226142278769</v>
      </c>
      <c r="V81">
        <v>0.29078374225944559</v>
      </c>
      <c r="W81">
        <v>0.52945054945054948</v>
      </c>
      <c r="X81">
        <v>0.39835164835164838</v>
      </c>
      <c r="Y81">
        <v>0.63437118437118445</v>
      </c>
    </row>
    <row r="82" spans="1:25">
      <c r="A82" t="s">
        <v>88</v>
      </c>
      <c r="B82" t="s">
        <v>77</v>
      </c>
      <c r="C82" t="s">
        <v>82</v>
      </c>
      <c r="D82">
        <v>5</v>
      </c>
      <c r="E82">
        <v>0.1583252901000399</v>
      </c>
      <c r="F82">
        <v>0.1355070830635631</v>
      </c>
      <c r="G82">
        <v>0.18143921321656409</v>
      </c>
      <c r="H82">
        <v>1.936782339909713</v>
      </c>
      <c r="I82">
        <v>1.6016249462117791</v>
      </c>
      <c r="J82">
        <v>2.174768894798381</v>
      </c>
      <c r="K82">
        <v>0.40763260583874211</v>
      </c>
      <c r="L82">
        <v>0.38345841946249909</v>
      </c>
      <c r="M82">
        <v>0.44415945740567142</v>
      </c>
      <c r="N82">
        <v>2.3182911830869402E-2</v>
      </c>
      <c r="O82">
        <v>-6.8628664006959203E-2</v>
      </c>
      <c r="P82">
        <v>7.6276072747264098E-2</v>
      </c>
      <c r="Q82">
        <v>0.18987171984910881</v>
      </c>
      <c r="R82">
        <v>0.1423051853456648</v>
      </c>
      <c r="S82">
        <v>0.22466004749678861</v>
      </c>
      <c r="T82">
        <v>0.14495882585132891</v>
      </c>
      <c r="U82">
        <v>7.1903141489153805E-2</v>
      </c>
      <c r="V82">
        <v>0.18373051874149329</v>
      </c>
      <c r="W82">
        <v>0.36009768009768001</v>
      </c>
      <c r="X82">
        <v>0.23232600732600731</v>
      </c>
      <c r="Y82">
        <v>0.42805860805860801</v>
      </c>
    </row>
    <row r="83" spans="1:25">
      <c r="A83" t="s">
        <v>88</v>
      </c>
      <c r="B83" t="s">
        <v>77</v>
      </c>
      <c r="C83" t="s">
        <v>76</v>
      </c>
      <c r="D83">
        <v>5</v>
      </c>
      <c r="E83">
        <v>0.26543316828101521</v>
      </c>
      <c r="F83">
        <v>0.23582837479751581</v>
      </c>
      <c r="G83">
        <v>0.29834638262944257</v>
      </c>
      <c r="H83">
        <v>2.6077161870920782</v>
      </c>
      <c r="I83">
        <v>2.0161848820541399</v>
      </c>
      <c r="J83">
        <v>2.9819293321639999</v>
      </c>
      <c r="K83">
        <v>0.69283112757830934</v>
      </c>
      <c r="L83">
        <v>0.67238844485986959</v>
      </c>
      <c r="M83">
        <v>0.72000217746337647</v>
      </c>
      <c r="N83">
        <v>0.22489375370496489</v>
      </c>
      <c r="O83">
        <v>0.17234264521154699</v>
      </c>
      <c r="P83">
        <v>0.27634990116176761</v>
      </c>
      <c r="Q83">
        <v>0.37544298451799918</v>
      </c>
      <c r="R83">
        <v>0.3235281386180488</v>
      </c>
      <c r="S83">
        <v>0.40127057282065559</v>
      </c>
      <c r="T83">
        <v>0.23770568706056611</v>
      </c>
      <c r="U83">
        <v>0.20304426157559799</v>
      </c>
      <c r="V83">
        <v>0.29726897122485357</v>
      </c>
      <c r="W83">
        <v>0.60633699633699645</v>
      </c>
      <c r="X83">
        <v>0.48638583638583632</v>
      </c>
      <c r="Y83">
        <v>0.7205555555555555</v>
      </c>
    </row>
    <row r="84" spans="1:25">
      <c r="A84" t="s">
        <v>88</v>
      </c>
      <c r="B84" t="s">
        <v>77</v>
      </c>
      <c r="C84" t="s">
        <v>83</v>
      </c>
      <c r="D84">
        <v>5</v>
      </c>
      <c r="E84">
        <v>0.17956006702630961</v>
      </c>
      <c r="F84">
        <v>0.16865558834507621</v>
      </c>
      <c r="G84">
        <v>0.19190976351055</v>
      </c>
      <c r="H84">
        <v>1.552715525038848</v>
      </c>
      <c r="I84">
        <v>1.4366059300002469</v>
      </c>
      <c r="J84">
        <v>1.7121916492637981</v>
      </c>
      <c r="K84">
        <v>0.51138766157172133</v>
      </c>
      <c r="L84">
        <v>0.47199322986063103</v>
      </c>
      <c r="M84">
        <v>0.56705015361884348</v>
      </c>
      <c r="N84">
        <v>9.4860412361781193E-2</v>
      </c>
      <c r="O84">
        <v>5.4761534395405501E-2</v>
      </c>
      <c r="P84">
        <v>0.1399339550462895</v>
      </c>
      <c r="Q84">
        <v>0.22307124980031709</v>
      </c>
      <c r="R84">
        <v>0.19242022537223061</v>
      </c>
      <c r="S84">
        <v>0.25059605754236758</v>
      </c>
      <c r="T84">
        <v>0.1935611276251035</v>
      </c>
      <c r="U84">
        <v>0.13501798294538059</v>
      </c>
      <c r="V84">
        <v>0.26933830491058219</v>
      </c>
      <c r="W84">
        <v>0.5036874236874237</v>
      </c>
      <c r="X84">
        <v>0.4551587301587301</v>
      </c>
      <c r="Y84">
        <v>0.56384615384615377</v>
      </c>
    </row>
    <row r="85" spans="1:25">
      <c r="A85" t="s">
        <v>88</v>
      </c>
      <c r="B85" t="s">
        <v>77</v>
      </c>
      <c r="C85" t="s">
        <v>84</v>
      </c>
      <c r="D85">
        <v>5</v>
      </c>
      <c r="E85">
        <v>0.25279231710011352</v>
      </c>
      <c r="F85">
        <v>0.20131886477713759</v>
      </c>
      <c r="G85">
        <v>0.30315953102376042</v>
      </c>
      <c r="H85">
        <v>2.6972122960423861</v>
      </c>
      <c r="I85">
        <v>1.8507112156801719</v>
      </c>
      <c r="J85">
        <v>4.0561506071382469</v>
      </c>
      <c r="K85">
        <v>0.68379319313049369</v>
      </c>
      <c r="L85">
        <v>0.6362730019792735</v>
      </c>
      <c r="M85">
        <v>0.70763648743665764</v>
      </c>
      <c r="N85">
        <v>0.2177103835967146</v>
      </c>
      <c r="O85">
        <v>0.16350268986651359</v>
      </c>
      <c r="P85">
        <v>0.23947153764413401</v>
      </c>
      <c r="Q85">
        <v>0.3565768828635848</v>
      </c>
      <c r="R85">
        <v>0.27925071595245032</v>
      </c>
      <c r="S85">
        <v>0.40629624094182859</v>
      </c>
      <c r="T85">
        <v>0.2180682480096941</v>
      </c>
      <c r="U85">
        <v>0.1895882260637691</v>
      </c>
      <c r="V85">
        <v>0.26640570871778679</v>
      </c>
      <c r="W85">
        <v>0.67289377289377295</v>
      </c>
      <c r="X85">
        <v>0.54429181929181936</v>
      </c>
      <c r="Y85">
        <v>0.780934065934066</v>
      </c>
    </row>
    <row r="86" spans="1:25">
      <c r="A86" t="s">
        <v>88</v>
      </c>
      <c r="B86" t="s">
        <v>78</v>
      </c>
      <c r="C86" t="s">
        <v>80</v>
      </c>
      <c r="D86">
        <v>5</v>
      </c>
      <c r="E86">
        <v>0.3028832585760235</v>
      </c>
      <c r="F86">
        <v>0.26968826329422368</v>
      </c>
      <c r="G86">
        <v>0.33801149692456223</v>
      </c>
      <c r="H86">
        <v>4.6041101465737277</v>
      </c>
      <c r="I86">
        <v>3.7449859140976409</v>
      </c>
      <c r="J86">
        <v>5.2002345288122394</v>
      </c>
      <c r="K86">
        <v>0.70339920004839662</v>
      </c>
      <c r="L86">
        <v>0.68438740353427741</v>
      </c>
      <c r="M86">
        <v>0.71752159076959443</v>
      </c>
      <c r="N86">
        <v>0.23483272334064309</v>
      </c>
      <c r="O86">
        <v>0.18329559148603039</v>
      </c>
      <c r="P86">
        <v>0.2773668022303169</v>
      </c>
      <c r="Q86">
        <v>0.3383341017720719</v>
      </c>
      <c r="R86">
        <v>0.2505329394593912</v>
      </c>
      <c r="S86">
        <v>0.40944373881650697</v>
      </c>
      <c r="T86">
        <v>0.30870175696310731</v>
      </c>
      <c r="U86">
        <v>0.19281465162777731</v>
      </c>
      <c r="V86">
        <v>0.45939246119733912</v>
      </c>
      <c r="W86">
        <v>0.45586324786324789</v>
      </c>
      <c r="X86">
        <v>0.26995604395604389</v>
      </c>
      <c r="Y86">
        <v>0.62772161172161178</v>
      </c>
    </row>
    <row r="87" spans="1:25">
      <c r="A87" t="s">
        <v>88</v>
      </c>
      <c r="B87" t="s">
        <v>78</v>
      </c>
      <c r="C87" t="s">
        <v>81</v>
      </c>
      <c r="D87">
        <v>5</v>
      </c>
      <c r="E87">
        <v>0.23882095525391139</v>
      </c>
      <c r="F87">
        <v>0.2091146606956559</v>
      </c>
      <c r="G87">
        <v>0.26767313715779101</v>
      </c>
      <c r="H87">
        <v>2.8271523923326418</v>
      </c>
      <c r="I87">
        <v>2.2496631209147542</v>
      </c>
      <c r="J87">
        <v>3.330814496814321</v>
      </c>
      <c r="K87">
        <v>0.63642313093118885</v>
      </c>
      <c r="L87">
        <v>0.62033006170083982</v>
      </c>
      <c r="M87">
        <v>0.66560478317899618</v>
      </c>
      <c r="N87">
        <v>0.17649735770383959</v>
      </c>
      <c r="O87">
        <v>8.5729015058002997E-2</v>
      </c>
      <c r="P87">
        <v>0.25120110538242818</v>
      </c>
      <c r="Q87">
        <v>0.31849713188208661</v>
      </c>
      <c r="R87">
        <v>0.25324758953071169</v>
      </c>
      <c r="S87">
        <v>0.38070235172446198</v>
      </c>
      <c r="T87">
        <v>0.22359409349570711</v>
      </c>
      <c r="U87">
        <v>0.14406573729860331</v>
      </c>
      <c r="V87">
        <v>0.31525511293669861</v>
      </c>
      <c r="W87">
        <v>0.5679120879120878</v>
      </c>
      <c r="X87">
        <v>0.49387545787545789</v>
      </c>
      <c r="Y87">
        <v>0.61969474969474969</v>
      </c>
    </row>
    <row r="88" spans="1:25">
      <c r="A88" t="s">
        <v>88</v>
      </c>
      <c r="B88" t="s">
        <v>78</v>
      </c>
      <c r="C88" t="s">
        <v>82</v>
      </c>
      <c r="D88">
        <v>5</v>
      </c>
      <c r="E88">
        <v>0.12549132609793029</v>
      </c>
      <c r="F88">
        <v>0.1154944920397437</v>
      </c>
      <c r="G88">
        <v>0.14191254749711019</v>
      </c>
      <c r="H88">
        <v>1.347755541855358</v>
      </c>
      <c r="I88">
        <v>1.0568443147349349</v>
      </c>
      <c r="J88">
        <v>1.7291313046099239</v>
      </c>
      <c r="K88">
        <v>0.4351625980314256</v>
      </c>
      <c r="L88">
        <v>0.39919738618825601</v>
      </c>
      <c r="M88">
        <v>0.46603218296644161</v>
      </c>
      <c r="N88">
        <v>-8.8708454642673004E-3</v>
      </c>
      <c r="O88">
        <v>-5.8985612523525403E-2</v>
      </c>
      <c r="P88">
        <v>3.7422767171116901E-2</v>
      </c>
      <c r="Q88">
        <v>0.2097392538806617</v>
      </c>
      <c r="R88">
        <v>0.16464931639770519</v>
      </c>
      <c r="S88">
        <v>0.27608541751982052</v>
      </c>
      <c r="T88">
        <v>0.1133994788535755</v>
      </c>
      <c r="U88">
        <v>9.1048349590800895E-2</v>
      </c>
      <c r="V88">
        <v>0.16568285598692739</v>
      </c>
      <c r="W88">
        <v>0.44082783882783882</v>
      </c>
      <c r="X88">
        <v>0.2862527472527473</v>
      </c>
      <c r="Y88">
        <v>0.6995702075702076</v>
      </c>
    </row>
    <row r="89" spans="1:25">
      <c r="A89" t="s">
        <v>88</v>
      </c>
      <c r="B89" t="s">
        <v>78</v>
      </c>
      <c r="C89" t="s">
        <v>76</v>
      </c>
      <c r="D89">
        <v>5</v>
      </c>
      <c r="E89">
        <v>0.25981582847754292</v>
      </c>
      <c r="F89">
        <v>0.23754413234815799</v>
      </c>
      <c r="G89">
        <v>0.2789017717556127</v>
      </c>
      <c r="H89">
        <v>2.629864641992337</v>
      </c>
      <c r="I89">
        <v>2.4129283729072419</v>
      </c>
      <c r="J89">
        <v>2.7069905883397039</v>
      </c>
      <c r="K89">
        <v>0.70395720330284417</v>
      </c>
      <c r="L89">
        <v>0.6923613810675604</v>
      </c>
      <c r="M89">
        <v>0.7298025846733518</v>
      </c>
      <c r="N89">
        <v>0.24566570653102771</v>
      </c>
      <c r="O89">
        <v>0.22425857702475921</v>
      </c>
      <c r="P89">
        <v>0.27091885057050569</v>
      </c>
      <c r="Q89">
        <v>0.39655958252631102</v>
      </c>
      <c r="R89">
        <v>0.3495537600953561</v>
      </c>
      <c r="S89">
        <v>0.43864531023841991</v>
      </c>
      <c r="T89">
        <v>0.24921077449590229</v>
      </c>
      <c r="U89">
        <v>0.23750138133037771</v>
      </c>
      <c r="V89">
        <v>0.26827040660024731</v>
      </c>
      <c r="W89">
        <v>0.66826862026862022</v>
      </c>
      <c r="X89">
        <v>0.62703785103785104</v>
      </c>
      <c r="Y89">
        <v>0.71053968253968247</v>
      </c>
    </row>
    <row r="90" spans="1:25">
      <c r="A90" t="s">
        <v>88</v>
      </c>
      <c r="B90" t="s">
        <v>78</v>
      </c>
      <c r="C90" t="s">
        <v>83</v>
      </c>
      <c r="D90">
        <v>5</v>
      </c>
      <c r="E90">
        <v>0.16698047854288159</v>
      </c>
      <c r="F90">
        <v>0.15811052840977211</v>
      </c>
      <c r="G90">
        <v>0.1798504702205907</v>
      </c>
      <c r="H90">
        <v>1.457348174247928</v>
      </c>
      <c r="I90">
        <v>1.33366097438013</v>
      </c>
      <c r="J90">
        <v>1.53241113208864</v>
      </c>
      <c r="K90">
        <v>0.4912001469238228</v>
      </c>
      <c r="L90">
        <v>0.47148597119637331</v>
      </c>
      <c r="M90">
        <v>0.51673823023141174</v>
      </c>
      <c r="N90">
        <v>6.5425689735214995E-2</v>
      </c>
      <c r="O90">
        <v>2.9174001291409599E-2</v>
      </c>
      <c r="P90">
        <v>0.1104665806601544</v>
      </c>
      <c r="Q90">
        <v>0.2403168008061306</v>
      </c>
      <c r="R90">
        <v>0.23139390849785541</v>
      </c>
      <c r="S90">
        <v>0.25112533684232141</v>
      </c>
      <c r="T90">
        <v>0.16888828337921591</v>
      </c>
      <c r="U90">
        <v>0.1337158259184455</v>
      </c>
      <c r="V90">
        <v>0.21178683055256359</v>
      </c>
      <c r="W90">
        <v>0.54751648351648363</v>
      </c>
      <c r="X90">
        <v>0.53191697191697196</v>
      </c>
      <c r="Y90">
        <v>0.57766422466422473</v>
      </c>
    </row>
    <row r="91" spans="1:25">
      <c r="A91" t="s">
        <v>88</v>
      </c>
      <c r="B91" t="s">
        <v>78</v>
      </c>
      <c r="C91" t="s">
        <v>84</v>
      </c>
      <c r="D91">
        <v>5</v>
      </c>
      <c r="E91">
        <v>0.2279043801117849</v>
      </c>
      <c r="F91">
        <v>0.21156077949930771</v>
      </c>
      <c r="G91">
        <v>0.2487794200124355</v>
      </c>
      <c r="H91">
        <v>2.1714152907085018</v>
      </c>
      <c r="I91">
        <v>1.832478363244896</v>
      </c>
      <c r="J91">
        <v>2.6640023094096552</v>
      </c>
      <c r="K91">
        <v>0.65686285044948323</v>
      </c>
      <c r="L91">
        <v>0.645547548928598</v>
      </c>
      <c r="M91">
        <v>0.66789347070737171</v>
      </c>
      <c r="N91">
        <v>0.18223170762660329</v>
      </c>
      <c r="O91">
        <v>0.1628879375905613</v>
      </c>
      <c r="P91">
        <v>0.20644960663430389</v>
      </c>
      <c r="Q91">
        <v>0.32522954737626131</v>
      </c>
      <c r="R91">
        <v>0.28055466521110189</v>
      </c>
      <c r="S91">
        <v>0.3711171561250865</v>
      </c>
      <c r="T91">
        <v>0.1987228310658947</v>
      </c>
      <c r="U91">
        <v>0.18829726300260341</v>
      </c>
      <c r="V91">
        <v>0.20865371444817599</v>
      </c>
      <c r="W91">
        <v>0.59755799755799766</v>
      </c>
      <c r="X91">
        <v>0.46423076923076928</v>
      </c>
      <c r="Y91">
        <v>0.73089743589743594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9"/>
  <sheetViews>
    <sheetView workbookViewId="0">
      <pane ySplit="1" topLeftCell="A2" activePane="bottomLeft" state="frozen"/>
      <selection pane="bottomLeft" activeCell="Q1" sqref="Q1:Q1048576"/>
    </sheetView>
  </sheetViews>
  <sheetFormatPr defaultRowHeight="16.5"/>
  <cols>
    <col min="1" max="1" width="35" customWidth="1"/>
    <col min="2" max="3" width="10" customWidth="1"/>
    <col min="4" max="4" width="11" customWidth="1"/>
    <col min="5" max="13" width="20" customWidth="1"/>
    <col min="14" max="14" width="21" customWidth="1"/>
    <col min="15" max="15" width="24" customWidth="1"/>
    <col min="16" max="25" width="20" customWidth="1"/>
  </cols>
  <sheetData>
    <row r="1" spans="1:25">
      <c r="A1" s="1" t="s">
        <v>89</v>
      </c>
      <c r="B1" s="1" t="s">
        <v>30</v>
      </c>
      <c r="C1" s="1" t="s">
        <v>24</v>
      </c>
      <c r="D1" s="1" t="s">
        <v>28</v>
      </c>
      <c r="E1" s="1" t="s">
        <v>42</v>
      </c>
      <c r="F1" s="1" t="s">
        <v>43</v>
      </c>
      <c r="G1" s="1" t="s">
        <v>44</v>
      </c>
      <c r="H1" s="1" t="s">
        <v>38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</row>
    <row r="2" spans="1:25">
      <c r="A2" t="s">
        <v>91</v>
      </c>
      <c r="B2" t="s">
        <v>86</v>
      </c>
      <c r="C2" t="s">
        <v>77</v>
      </c>
      <c r="D2" t="s">
        <v>84</v>
      </c>
      <c r="E2">
        <v>0.3717300226799331</v>
      </c>
      <c r="F2">
        <v>0.32739454021048953</v>
      </c>
      <c r="G2">
        <v>0.41109445678854201</v>
      </c>
      <c r="H2">
        <v>5.8641221482518606</v>
      </c>
      <c r="I2">
        <v>4.5254182463497354</v>
      </c>
      <c r="J2">
        <v>6.9299000088735552</v>
      </c>
      <c r="K2">
        <v>0.7995365260896623</v>
      </c>
      <c r="L2">
        <v>0.75901882710208246</v>
      </c>
      <c r="M2">
        <v>0.83029239859092263</v>
      </c>
      <c r="N2">
        <v>0.36362554813146852</v>
      </c>
      <c r="O2">
        <v>0.32599928956294449</v>
      </c>
      <c r="P2">
        <v>0.39983197716822511</v>
      </c>
      <c r="Q2">
        <v>0.47036601951992779</v>
      </c>
      <c r="R2">
        <v>0.43006180027483398</v>
      </c>
      <c r="S2">
        <v>0.49764791899891131</v>
      </c>
      <c r="T2">
        <v>0.37432434571260009</v>
      </c>
      <c r="U2">
        <v>0.29745911513221451</v>
      </c>
      <c r="V2">
        <v>0.41463906926406918</v>
      </c>
      <c r="W2">
        <v>0.57649572649572645</v>
      </c>
      <c r="X2">
        <v>0.46780219780219778</v>
      </c>
      <c r="Y2">
        <v>0.63426129426129418</v>
      </c>
    </row>
    <row r="3" spans="1:25">
      <c r="A3" t="s">
        <v>91</v>
      </c>
      <c r="B3" t="s">
        <v>86</v>
      </c>
      <c r="C3" t="s">
        <v>78</v>
      </c>
      <c r="D3" t="s">
        <v>84</v>
      </c>
      <c r="E3">
        <v>0.36877868852829909</v>
      </c>
      <c r="F3">
        <v>0.32858318053085162</v>
      </c>
      <c r="G3">
        <v>0.39037992839500552</v>
      </c>
      <c r="H3">
        <v>6.0268763906472396</v>
      </c>
      <c r="I3">
        <v>4.3448717244379456</v>
      </c>
      <c r="J3">
        <v>7.1022741714832609</v>
      </c>
      <c r="K3">
        <v>0.76202861610597528</v>
      </c>
      <c r="L3">
        <v>0.71739667780537908</v>
      </c>
      <c r="M3">
        <v>0.79565274786605</v>
      </c>
      <c r="N3">
        <v>0.33274223088359423</v>
      </c>
      <c r="O3">
        <v>0.2874765121764522</v>
      </c>
      <c r="P3">
        <v>0.36368312411117798</v>
      </c>
      <c r="Q3">
        <v>0.45355018991228269</v>
      </c>
      <c r="R3">
        <v>0.40898798894046628</v>
      </c>
      <c r="S3">
        <v>0.50050372849652791</v>
      </c>
      <c r="T3">
        <v>0.34631354207899279</v>
      </c>
      <c r="U3">
        <v>0.28900804268195579</v>
      </c>
      <c r="V3">
        <v>0.37489467030187051</v>
      </c>
      <c r="W3">
        <v>0.6043052503052504</v>
      </c>
      <c r="X3">
        <v>0.47003785103785101</v>
      </c>
      <c r="Y3">
        <v>0.67839438339438352</v>
      </c>
    </row>
    <row r="4" spans="1:25">
      <c r="A4" t="s">
        <v>91</v>
      </c>
      <c r="B4" t="s">
        <v>85</v>
      </c>
      <c r="C4" t="s">
        <v>77</v>
      </c>
      <c r="D4" t="s">
        <v>76</v>
      </c>
      <c r="E4">
        <v>0.314173276913703</v>
      </c>
      <c r="F4">
        <v>0.27170365059460849</v>
      </c>
      <c r="G4">
        <v>0.35652938811589258</v>
      </c>
      <c r="H4">
        <v>3.8609716133993301</v>
      </c>
      <c r="I4">
        <v>3.0801792553594769</v>
      </c>
      <c r="J4">
        <v>5.0904560605048861</v>
      </c>
      <c r="K4">
        <v>0.75886114562389118</v>
      </c>
      <c r="L4">
        <v>0.73067694723607512</v>
      </c>
      <c r="M4">
        <v>0.78760806476941714</v>
      </c>
      <c r="N4">
        <v>0.28555079724032117</v>
      </c>
      <c r="O4">
        <v>0.249120308497182</v>
      </c>
      <c r="P4">
        <v>0.33610349390949901</v>
      </c>
      <c r="Q4">
        <v>0.4380429335401323</v>
      </c>
      <c r="R4">
        <v>0.41187550051137878</v>
      </c>
      <c r="S4">
        <v>0.48096748338833961</v>
      </c>
      <c r="T4">
        <v>0.25285891462416171</v>
      </c>
      <c r="U4">
        <v>0.2254911404857444</v>
      </c>
      <c r="V4">
        <v>0.29549722042663212</v>
      </c>
      <c r="W4">
        <v>0.71261294261294272</v>
      </c>
      <c r="X4">
        <v>0.56537240537240541</v>
      </c>
      <c r="Y4">
        <v>0.84603785103785101</v>
      </c>
    </row>
    <row r="5" spans="1:25">
      <c r="A5" t="s">
        <v>91</v>
      </c>
      <c r="B5" t="s">
        <v>86</v>
      </c>
      <c r="C5" t="s">
        <v>77</v>
      </c>
      <c r="D5" t="s">
        <v>80</v>
      </c>
      <c r="E5">
        <v>0.33883608109688668</v>
      </c>
      <c r="F5">
        <v>0.30428532577524808</v>
      </c>
      <c r="G5">
        <v>0.39919925512604371</v>
      </c>
      <c r="H5">
        <v>5.279519701783463</v>
      </c>
      <c r="I5">
        <v>4.0597660169753347</v>
      </c>
      <c r="J5">
        <v>7.7480791291745597</v>
      </c>
      <c r="K5">
        <v>0.76228059540306115</v>
      </c>
      <c r="L5">
        <v>0.71626151743778954</v>
      </c>
      <c r="M5">
        <v>0.79979023106291058</v>
      </c>
      <c r="N5">
        <v>0.31371829895811548</v>
      </c>
      <c r="O5">
        <v>0.25045715621164111</v>
      </c>
      <c r="P5">
        <v>0.35971234089456972</v>
      </c>
      <c r="Q5">
        <v>0.4227012634588963</v>
      </c>
      <c r="R5">
        <v>0.41130752273635329</v>
      </c>
      <c r="S5">
        <v>0.4403524645475454</v>
      </c>
      <c r="T5">
        <v>0.35459565012786648</v>
      </c>
      <c r="U5">
        <v>0.2438451250399952</v>
      </c>
      <c r="V5">
        <v>0.44828643920959388</v>
      </c>
      <c r="W5">
        <v>0.55460317460317454</v>
      </c>
      <c r="X5">
        <v>0.46746031746031741</v>
      </c>
      <c r="Y5">
        <v>0.71989010989010982</v>
      </c>
    </row>
    <row r="6" spans="1:25">
      <c r="A6" t="s">
        <v>91</v>
      </c>
      <c r="B6" t="s">
        <v>86</v>
      </c>
      <c r="C6" t="s">
        <v>77</v>
      </c>
      <c r="D6" t="s">
        <v>76</v>
      </c>
      <c r="E6">
        <v>0.31696610384842289</v>
      </c>
      <c r="F6">
        <v>0.2924311352105079</v>
      </c>
      <c r="G6">
        <v>0.34454388744253689</v>
      </c>
      <c r="H6">
        <v>3.8870380504996338</v>
      </c>
      <c r="I6">
        <v>3.229783731393951</v>
      </c>
      <c r="J6">
        <v>4.623083565779039</v>
      </c>
      <c r="K6">
        <v>0.75388046256505714</v>
      </c>
      <c r="L6">
        <v>0.73494267450776096</v>
      </c>
      <c r="M6">
        <v>0.77384651252616099</v>
      </c>
      <c r="N6">
        <v>0.28421574065595612</v>
      </c>
      <c r="O6">
        <v>0.21909185556437311</v>
      </c>
      <c r="P6">
        <v>0.35629071677027158</v>
      </c>
      <c r="Q6">
        <v>0.41591087068693677</v>
      </c>
      <c r="R6">
        <v>0.38087594811409048</v>
      </c>
      <c r="S6">
        <v>0.46360259940612258</v>
      </c>
      <c r="T6">
        <v>0.28747984388072362</v>
      </c>
      <c r="U6">
        <v>0.21680503525471731</v>
      </c>
      <c r="V6">
        <v>0.36537371432966398</v>
      </c>
      <c r="W6">
        <v>0.62362637362637363</v>
      </c>
      <c r="X6">
        <v>0.49217948717948712</v>
      </c>
      <c r="Y6">
        <v>0.72256410256410264</v>
      </c>
    </row>
    <row r="7" spans="1:25">
      <c r="A7" t="s">
        <v>91</v>
      </c>
      <c r="B7" t="s">
        <v>85</v>
      </c>
      <c r="C7" t="s">
        <v>78</v>
      </c>
      <c r="D7" t="s">
        <v>76</v>
      </c>
      <c r="E7">
        <v>0.2820708323733066</v>
      </c>
      <c r="F7">
        <v>0.24979971249917551</v>
      </c>
      <c r="G7">
        <v>0.300336384270176</v>
      </c>
      <c r="H7">
        <v>2.9844177693561078</v>
      </c>
      <c r="I7">
        <v>2.4787364753517291</v>
      </c>
      <c r="J7">
        <v>3.4672343963581209</v>
      </c>
      <c r="K7">
        <v>0.73971911562009973</v>
      </c>
      <c r="L7">
        <v>0.71220591054251869</v>
      </c>
      <c r="M7">
        <v>0.75892442915798175</v>
      </c>
      <c r="N7">
        <v>0.25596173710559361</v>
      </c>
      <c r="O7">
        <v>0.21469242575684239</v>
      </c>
      <c r="P7">
        <v>0.30060459713040111</v>
      </c>
      <c r="Q7">
        <v>0.40838248346327982</v>
      </c>
      <c r="R7">
        <v>0.36340444956582307</v>
      </c>
      <c r="S7">
        <v>0.44440995095137148</v>
      </c>
      <c r="T7">
        <v>0.23590273902421899</v>
      </c>
      <c r="U7">
        <v>0.21013360808674289</v>
      </c>
      <c r="V7">
        <v>0.25888691600429409</v>
      </c>
      <c r="W7">
        <v>0.70964102564102571</v>
      </c>
      <c r="X7">
        <v>0.65589499389499384</v>
      </c>
      <c r="Y7">
        <v>0.7757362637362637</v>
      </c>
    </row>
    <row r="8" spans="1:25">
      <c r="A8" t="s">
        <v>91</v>
      </c>
      <c r="B8" t="s">
        <v>86</v>
      </c>
      <c r="C8" t="s">
        <v>78</v>
      </c>
      <c r="D8" t="s">
        <v>76</v>
      </c>
      <c r="E8">
        <v>0.30748977519450682</v>
      </c>
      <c r="F8">
        <v>0.27399336605701868</v>
      </c>
      <c r="G8">
        <v>0.33425964692969778</v>
      </c>
      <c r="H8">
        <v>3.6335865689489841</v>
      </c>
      <c r="I8">
        <v>2.796471089410693</v>
      </c>
      <c r="J8">
        <v>4.7171234290268931</v>
      </c>
      <c r="K8">
        <v>0.75099657184032553</v>
      </c>
      <c r="L8">
        <v>0.73725494014856141</v>
      </c>
      <c r="M8">
        <v>0.76841697592242986</v>
      </c>
      <c r="N8">
        <v>0.27618137205279469</v>
      </c>
      <c r="O8">
        <v>0.220286232213454</v>
      </c>
      <c r="P8">
        <v>0.35396854256749499</v>
      </c>
      <c r="Q8">
        <v>0.40528192547737402</v>
      </c>
      <c r="R8">
        <v>0.34029194634467808</v>
      </c>
      <c r="S8">
        <v>0.4509628656234454</v>
      </c>
      <c r="T8">
        <v>0.2763800639020807</v>
      </c>
      <c r="U8">
        <v>0.21597809316536701</v>
      </c>
      <c r="V8">
        <v>0.3774536841153317</v>
      </c>
      <c r="W8">
        <v>0.62505494505494508</v>
      </c>
      <c r="X8">
        <v>0.54488644688644694</v>
      </c>
      <c r="Y8">
        <v>0.70638095238095233</v>
      </c>
    </row>
    <row r="9" spans="1:25">
      <c r="A9" t="s">
        <v>91</v>
      </c>
      <c r="B9" t="s">
        <v>87</v>
      </c>
      <c r="C9" t="s">
        <v>78</v>
      </c>
      <c r="D9" t="s">
        <v>76</v>
      </c>
      <c r="E9">
        <v>0.29008830639924787</v>
      </c>
      <c r="F9">
        <v>0.25644838768152872</v>
      </c>
      <c r="G9">
        <v>0.32703033093997291</v>
      </c>
      <c r="H9">
        <v>3.1365126109625461</v>
      </c>
      <c r="I9">
        <v>2.5834073091606711</v>
      </c>
      <c r="J9">
        <v>3.7529450067881429</v>
      </c>
      <c r="K9">
        <v>0.73059396098825302</v>
      </c>
      <c r="L9">
        <v>0.70580536298727004</v>
      </c>
      <c r="M9">
        <v>0.75915105872000033</v>
      </c>
      <c r="N9">
        <v>0.25389590808129109</v>
      </c>
      <c r="O9">
        <v>0.17693463835747061</v>
      </c>
      <c r="P9">
        <v>0.31726260240037152</v>
      </c>
      <c r="Q9">
        <v>0.40476549189059008</v>
      </c>
      <c r="R9">
        <v>0.33586228104617449</v>
      </c>
      <c r="S9">
        <v>0.43969472846752239</v>
      </c>
      <c r="T9">
        <v>0.25371380024033557</v>
      </c>
      <c r="U9">
        <v>0.21024616378091379</v>
      </c>
      <c r="V9">
        <v>0.33111499931852251</v>
      </c>
      <c r="W9">
        <v>0.68694749694749691</v>
      </c>
      <c r="X9">
        <v>0.56679975579975583</v>
      </c>
      <c r="Y9">
        <v>0.77840537240537255</v>
      </c>
    </row>
    <row r="10" spans="1:25">
      <c r="A10" t="s">
        <v>90</v>
      </c>
      <c r="B10" t="s">
        <v>88</v>
      </c>
      <c r="C10" t="s">
        <v>78</v>
      </c>
      <c r="D10" t="s">
        <v>73</v>
      </c>
      <c r="E10">
        <v>0.21279960128881051</v>
      </c>
      <c r="F10">
        <v>0.1971873974189621</v>
      </c>
      <c r="G10">
        <v>0.23386561479160081</v>
      </c>
      <c r="H10">
        <v>1.854404313732936</v>
      </c>
      <c r="I10">
        <v>1.7807525148779779</v>
      </c>
      <c r="J10">
        <v>1.9652191294944701</v>
      </c>
      <c r="K10">
        <v>0.63785147667809317</v>
      </c>
      <c r="L10">
        <v>0.60505529285806814</v>
      </c>
      <c r="M10">
        <v>0.66307737260198141</v>
      </c>
      <c r="N10">
        <v>0.19745853936137689</v>
      </c>
      <c r="O10">
        <v>0.1533087231406377</v>
      </c>
      <c r="P10">
        <v>0.2472442276080449</v>
      </c>
      <c r="Q10">
        <v>0.39943471639107581</v>
      </c>
      <c r="R10">
        <v>0.36144975373743221</v>
      </c>
      <c r="S10">
        <v>0.42630679256593729</v>
      </c>
      <c r="T10">
        <v>0.19390241382341869</v>
      </c>
      <c r="U10">
        <v>0.18097685510154291</v>
      </c>
      <c r="V10">
        <v>0.20552964029567539</v>
      </c>
      <c r="W10">
        <v>0.82805860805860809</v>
      </c>
      <c r="X10">
        <v>0.68799023199023202</v>
      </c>
      <c r="Y10">
        <v>0.92432478632478643</v>
      </c>
    </row>
    <row r="11" spans="1:25">
      <c r="A11" t="s">
        <v>91</v>
      </c>
      <c r="B11" t="s">
        <v>87</v>
      </c>
      <c r="C11" t="s">
        <v>77</v>
      </c>
      <c r="D11" t="s">
        <v>76</v>
      </c>
      <c r="E11">
        <v>0.2959688615734356</v>
      </c>
      <c r="F11">
        <v>0.27841266202689419</v>
      </c>
      <c r="G11">
        <v>0.30761604834073158</v>
      </c>
      <c r="H11">
        <v>3.1238480654059622</v>
      </c>
      <c r="I11">
        <v>2.800726425233246</v>
      </c>
      <c r="J11">
        <v>3.376628659383123</v>
      </c>
      <c r="K11">
        <v>0.72291491236448835</v>
      </c>
      <c r="L11">
        <v>0.69337236487243592</v>
      </c>
      <c r="M11">
        <v>0.76588527802901418</v>
      </c>
      <c r="N11">
        <v>0.25506773581091208</v>
      </c>
      <c r="O11">
        <v>0.2109983787310267</v>
      </c>
      <c r="P11">
        <v>0.29754168557124472</v>
      </c>
      <c r="Q11">
        <v>0.39869300933759161</v>
      </c>
      <c r="R11">
        <v>0.36221843369039641</v>
      </c>
      <c r="S11">
        <v>0.43438050618011181</v>
      </c>
      <c r="T11">
        <v>0.25701690293764612</v>
      </c>
      <c r="U11">
        <v>0.20979071682465689</v>
      </c>
      <c r="V11">
        <v>0.2900270380226902</v>
      </c>
      <c r="W11">
        <v>0.6142124542124543</v>
      </c>
      <c r="X11">
        <v>0.42974358974358973</v>
      </c>
      <c r="Y11">
        <v>0.84103785103785123</v>
      </c>
    </row>
    <row r="12" spans="1:25">
      <c r="A12" t="s">
        <v>91</v>
      </c>
      <c r="B12" t="s">
        <v>88</v>
      </c>
      <c r="C12" t="s">
        <v>78</v>
      </c>
      <c r="D12" t="s">
        <v>76</v>
      </c>
      <c r="E12">
        <v>0.25981582847754292</v>
      </c>
      <c r="F12">
        <v>0.23754413234815799</v>
      </c>
      <c r="G12">
        <v>0.2789017717556127</v>
      </c>
      <c r="H12">
        <v>2.629864641992337</v>
      </c>
      <c r="I12">
        <v>2.4129283729072419</v>
      </c>
      <c r="J12">
        <v>2.7069905883397039</v>
      </c>
      <c r="K12">
        <v>0.70395720330284417</v>
      </c>
      <c r="L12">
        <v>0.6923613810675604</v>
      </c>
      <c r="M12">
        <v>0.7298025846733518</v>
      </c>
      <c r="N12">
        <v>0.24566570653102771</v>
      </c>
      <c r="O12">
        <v>0.22425857702475921</v>
      </c>
      <c r="P12">
        <v>0.27091885057050569</v>
      </c>
      <c r="Q12">
        <v>0.39655958252631102</v>
      </c>
      <c r="R12">
        <v>0.3495537600953561</v>
      </c>
      <c r="S12">
        <v>0.43864531023841991</v>
      </c>
      <c r="T12">
        <v>0.24921077449590229</v>
      </c>
      <c r="U12">
        <v>0.23750138133037771</v>
      </c>
      <c r="V12">
        <v>0.26827040660024731</v>
      </c>
      <c r="W12">
        <v>0.66826862026862022</v>
      </c>
      <c r="X12">
        <v>0.62703785103785104</v>
      </c>
      <c r="Y12">
        <v>0.71053968253968247</v>
      </c>
    </row>
    <row r="13" spans="1:25">
      <c r="A13" t="s">
        <v>91</v>
      </c>
      <c r="B13" t="s">
        <v>85</v>
      </c>
      <c r="C13" t="s">
        <v>77</v>
      </c>
      <c r="D13" t="s">
        <v>84</v>
      </c>
      <c r="E13">
        <v>0.33461200359962751</v>
      </c>
      <c r="F13">
        <v>0.31287441305792418</v>
      </c>
      <c r="G13">
        <v>0.37479614586641968</v>
      </c>
      <c r="H13">
        <v>3.7621713300398798</v>
      </c>
      <c r="I13">
        <v>3.2529284098717581</v>
      </c>
      <c r="J13">
        <v>4.7877517946121646</v>
      </c>
      <c r="K13">
        <v>0.7884515968206981</v>
      </c>
      <c r="L13">
        <v>0.7513262309809523</v>
      </c>
      <c r="M13">
        <v>0.82567901832365043</v>
      </c>
      <c r="N13">
        <v>0.25525459947291312</v>
      </c>
      <c r="O13">
        <v>0.187808503959837</v>
      </c>
      <c r="P13">
        <v>0.32963517572123191</v>
      </c>
      <c r="Q13">
        <v>0.39491767807497141</v>
      </c>
      <c r="R13">
        <v>0.32061481050611679</v>
      </c>
      <c r="S13">
        <v>0.45505908039043169</v>
      </c>
      <c r="T13">
        <v>0.23516926009848249</v>
      </c>
      <c r="U13">
        <v>0.20129110476418821</v>
      </c>
      <c r="V13">
        <v>0.30546397674384068</v>
      </c>
      <c r="W13">
        <v>0.63782661782661787</v>
      </c>
      <c r="X13">
        <v>0.53469474969474984</v>
      </c>
      <c r="Y13">
        <v>0.79496947496947501</v>
      </c>
    </row>
    <row r="14" spans="1:25">
      <c r="A14" t="s">
        <v>90</v>
      </c>
      <c r="B14" t="s">
        <v>88</v>
      </c>
      <c r="C14" t="s">
        <v>78</v>
      </c>
      <c r="D14" t="s">
        <v>74</v>
      </c>
      <c r="E14">
        <v>0.2435948468428478</v>
      </c>
      <c r="F14">
        <v>0.21513095902678531</v>
      </c>
      <c r="G14">
        <v>0.2620539368192264</v>
      </c>
      <c r="H14">
        <v>2.3314414407367741</v>
      </c>
      <c r="I14">
        <v>2.09694090212089</v>
      </c>
      <c r="J14">
        <v>2.628699317713465</v>
      </c>
      <c r="K14">
        <v>0.70720216315132345</v>
      </c>
      <c r="L14">
        <v>0.69676529660543574</v>
      </c>
      <c r="M14">
        <v>0.72573440238590747</v>
      </c>
      <c r="N14">
        <v>0.2276705138620693</v>
      </c>
      <c r="O14">
        <v>0.19175391649807999</v>
      </c>
      <c r="P14">
        <v>0.25076745015704649</v>
      </c>
      <c r="Q14">
        <v>0.39362892697150281</v>
      </c>
      <c r="R14">
        <v>0.33977756264239789</v>
      </c>
      <c r="S14">
        <v>0.42937743445555859</v>
      </c>
      <c r="T14">
        <v>0.2046576006737908</v>
      </c>
      <c r="U14">
        <v>0.19610453096735289</v>
      </c>
      <c r="V14">
        <v>0.2122767075672205</v>
      </c>
      <c r="W14">
        <v>0.64472039072039078</v>
      </c>
      <c r="X14">
        <v>0.45181807081807079</v>
      </c>
      <c r="Y14">
        <v>0.84806593406593411</v>
      </c>
    </row>
    <row r="15" spans="1:25">
      <c r="A15" t="s">
        <v>91</v>
      </c>
      <c r="B15" t="s">
        <v>86</v>
      </c>
      <c r="C15" t="s">
        <v>78</v>
      </c>
      <c r="D15" t="s">
        <v>80</v>
      </c>
      <c r="E15">
        <v>0.32103528738941378</v>
      </c>
      <c r="F15">
        <v>0.28315257790903198</v>
      </c>
      <c r="G15">
        <v>0.37195824694926422</v>
      </c>
      <c r="H15">
        <v>5.0548164317631326</v>
      </c>
      <c r="I15">
        <v>4.0738602100250958</v>
      </c>
      <c r="J15">
        <v>7.1233856778376712</v>
      </c>
      <c r="K15">
        <v>0.75022878677541416</v>
      </c>
      <c r="L15">
        <v>0.69249640086554665</v>
      </c>
      <c r="M15">
        <v>0.79049235824316155</v>
      </c>
      <c r="N15">
        <v>0.25825059647342308</v>
      </c>
      <c r="O15">
        <v>0.21406588996760301</v>
      </c>
      <c r="P15">
        <v>0.32323311370644242</v>
      </c>
      <c r="Q15">
        <v>0.39246055762093718</v>
      </c>
      <c r="R15">
        <v>0.37388837484300219</v>
      </c>
      <c r="S15">
        <v>0.42238829756385171</v>
      </c>
      <c r="T15">
        <v>0.3152828031200316</v>
      </c>
      <c r="U15">
        <v>0.21363855819317931</v>
      </c>
      <c r="V15">
        <v>0.43398901028688253</v>
      </c>
      <c r="W15">
        <v>0.53420024420024426</v>
      </c>
      <c r="X15">
        <v>0.4296031746031746</v>
      </c>
      <c r="Y15">
        <v>0.67180708180708171</v>
      </c>
    </row>
    <row r="16" spans="1:25">
      <c r="A16" t="s">
        <v>90</v>
      </c>
      <c r="B16" t="s">
        <v>88</v>
      </c>
      <c r="C16" t="s">
        <v>77</v>
      </c>
      <c r="D16" t="s">
        <v>74</v>
      </c>
      <c r="E16">
        <v>0.27434261461693082</v>
      </c>
      <c r="F16">
        <v>0.26727186700974831</v>
      </c>
      <c r="G16">
        <v>0.27964296090669621</v>
      </c>
      <c r="H16">
        <v>2.513408545833101</v>
      </c>
      <c r="I16">
        <v>2.3781034112400419</v>
      </c>
      <c r="J16">
        <v>2.642392634698473</v>
      </c>
      <c r="K16">
        <v>0.70279657547621033</v>
      </c>
      <c r="L16">
        <v>0.68303622162260247</v>
      </c>
      <c r="M16">
        <v>0.71537034929402743</v>
      </c>
      <c r="N16">
        <v>0.23738783325636889</v>
      </c>
      <c r="O16">
        <v>0.2024829620064473</v>
      </c>
      <c r="P16">
        <v>0.26986781095476309</v>
      </c>
      <c r="Q16">
        <v>0.38899337229421349</v>
      </c>
      <c r="R16">
        <v>0.340656405717982</v>
      </c>
      <c r="S16">
        <v>0.42950738277860151</v>
      </c>
      <c r="T16">
        <v>0.2140317440901785</v>
      </c>
      <c r="U16">
        <v>0.19625768234260671</v>
      </c>
      <c r="V16">
        <v>0.22714663571383051</v>
      </c>
      <c r="W16">
        <v>0.67503052503052507</v>
      </c>
      <c r="X16">
        <v>0.4201709401709402</v>
      </c>
      <c r="Y16">
        <v>0.83724053724053726</v>
      </c>
    </row>
    <row r="17" spans="1:25">
      <c r="A17" t="s">
        <v>91</v>
      </c>
      <c r="B17" t="s">
        <v>79</v>
      </c>
      <c r="C17" t="s">
        <v>77</v>
      </c>
      <c r="D17" t="s">
        <v>80</v>
      </c>
      <c r="E17">
        <v>0.23040279601463939</v>
      </c>
      <c r="F17">
        <v>0.19919303213271711</v>
      </c>
      <c r="G17">
        <v>0.27548463411580842</v>
      </c>
      <c r="H17">
        <v>2.9272266418050901</v>
      </c>
      <c r="I17">
        <v>2.5714218702946039</v>
      </c>
      <c r="J17">
        <v>3.2877372423245821</v>
      </c>
      <c r="K17">
        <v>0.72271059542585769</v>
      </c>
      <c r="L17">
        <v>0.66479384526884067</v>
      </c>
      <c r="M17">
        <v>0.76476309186302893</v>
      </c>
      <c r="N17">
        <v>0.2325013755784737</v>
      </c>
      <c r="O17">
        <v>0.19456500145884589</v>
      </c>
      <c r="P17">
        <v>0.25926054132566939</v>
      </c>
      <c r="Q17">
        <v>0.38738764780002649</v>
      </c>
      <c r="R17">
        <v>0.35659157191005703</v>
      </c>
      <c r="S17">
        <v>0.42734538046590281</v>
      </c>
      <c r="T17">
        <v>0.2085515620177916</v>
      </c>
      <c r="U17">
        <v>0.181731551710821</v>
      </c>
      <c r="V17">
        <v>0.2267379055327304</v>
      </c>
      <c r="W17">
        <v>0.6481196581196581</v>
      </c>
      <c r="X17">
        <v>0.48119658119658121</v>
      </c>
      <c r="Y17">
        <v>0.77959096459096466</v>
      </c>
    </row>
    <row r="18" spans="1:25">
      <c r="A18" t="s">
        <v>90</v>
      </c>
      <c r="B18" t="s">
        <v>88</v>
      </c>
      <c r="C18" t="s">
        <v>77</v>
      </c>
      <c r="D18" t="s">
        <v>66</v>
      </c>
      <c r="E18">
        <v>0.1973321049570449</v>
      </c>
      <c r="F18">
        <v>0.182085150256734</v>
      </c>
      <c r="G18">
        <v>0.20792783794860881</v>
      </c>
      <c r="H18">
        <v>1.7461418472907551</v>
      </c>
      <c r="I18">
        <v>1.6721358317288051</v>
      </c>
      <c r="J18">
        <v>1.8490522514026499</v>
      </c>
      <c r="K18">
        <v>0.62989434535133093</v>
      </c>
      <c r="L18">
        <v>0.60680226985149743</v>
      </c>
      <c r="M18">
        <v>0.65579072023468976</v>
      </c>
      <c r="N18">
        <v>0.1830443757812816</v>
      </c>
      <c r="O18">
        <v>0.1723918646697323</v>
      </c>
      <c r="P18">
        <v>0.19169099627853031</v>
      </c>
      <c r="Q18">
        <v>0.37812439398305803</v>
      </c>
      <c r="R18">
        <v>0.3677327488510389</v>
      </c>
      <c r="S18">
        <v>0.39500246687919471</v>
      </c>
      <c r="T18">
        <v>0.1777713307883837</v>
      </c>
      <c r="U18">
        <v>0.16109762826271939</v>
      </c>
      <c r="V18">
        <v>0.1959074333407628</v>
      </c>
      <c r="W18">
        <v>0.82522588522588514</v>
      </c>
      <c r="X18">
        <v>0.70365689865689862</v>
      </c>
      <c r="Y18">
        <v>0.92082417582417597</v>
      </c>
    </row>
    <row r="19" spans="1:25">
      <c r="A19" t="s">
        <v>90</v>
      </c>
      <c r="B19" t="s">
        <v>88</v>
      </c>
      <c r="C19" t="s">
        <v>77</v>
      </c>
      <c r="D19" t="s">
        <v>73</v>
      </c>
      <c r="E19">
        <v>0.23583655078445809</v>
      </c>
      <c r="F19">
        <v>0.2030848531343902</v>
      </c>
      <c r="G19">
        <v>0.2565045992892348</v>
      </c>
      <c r="H19">
        <v>2.1618975042869799</v>
      </c>
      <c r="I19">
        <v>1.8250819896369801</v>
      </c>
      <c r="J19">
        <v>2.4627080706812379</v>
      </c>
      <c r="K19">
        <v>0.70109542635444844</v>
      </c>
      <c r="L19">
        <v>0.68091944631382451</v>
      </c>
      <c r="M19">
        <v>0.72605027525994281</v>
      </c>
      <c r="N19">
        <v>0.21281373808986201</v>
      </c>
      <c r="O19">
        <v>0.1846777194180283</v>
      </c>
      <c r="P19">
        <v>0.26783370382005811</v>
      </c>
      <c r="Q19">
        <v>0.37748414845806633</v>
      </c>
      <c r="R19">
        <v>0.35356968594811361</v>
      </c>
      <c r="S19">
        <v>0.4239746017663355</v>
      </c>
      <c r="T19">
        <v>0.2091335934897296</v>
      </c>
      <c r="U19">
        <v>0.1978129024937908</v>
      </c>
      <c r="V19">
        <v>0.23581923344767761</v>
      </c>
      <c r="W19">
        <v>0.64190476190476198</v>
      </c>
      <c r="X19">
        <v>0.5043406593406593</v>
      </c>
      <c r="Y19">
        <v>0.76203296703296708</v>
      </c>
    </row>
    <row r="20" spans="1:25">
      <c r="A20" t="s">
        <v>90</v>
      </c>
      <c r="B20" t="s">
        <v>88</v>
      </c>
      <c r="C20" t="s">
        <v>65</v>
      </c>
      <c r="D20" t="s">
        <v>73</v>
      </c>
      <c r="E20">
        <v>0.21731221722642799</v>
      </c>
      <c r="F20">
        <v>0.2039176092222624</v>
      </c>
      <c r="G20">
        <v>0.23579961216822959</v>
      </c>
      <c r="H20">
        <v>2.214671343378662</v>
      </c>
      <c r="I20">
        <v>2.139687175401074</v>
      </c>
      <c r="J20">
        <v>2.3005459214003978</v>
      </c>
      <c r="K20">
        <v>0.69400357907180754</v>
      </c>
      <c r="L20">
        <v>0.64956604655196803</v>
      </c>
      <c r="M20">
        <v>0.71967972129328406</v>
      </c>
      <c r="N20">
        <v>0.19458481733371341</v>
      </c>
      <c r="O20">
        <v>0.16525298430887189</v>
      </c>
      <c r="P20">
        <v>0.21180305317125281</v>
      </c>
      <c r="Q20">
        <v>0.37705877612062461</v>
      </c>
      <c r="R20">
        <v>0.33867526673202791</v>
      </c>
      <c r="S20">
        <v>0.40658103070262208</v>
      </c>
      <c r="T20">
        <v>0.1842215107935154</v>
      </c>
      <c r="U20">
        <v>0.162391864101604</v>
      </c>
      <c r="V20">
        <v>0.2080258529959732</v>
      </c>
      <c r="W20">
        <v>0.67878876678876687</v>
      </c>
      <c r="X20">
        <v>0.54138705738705739</v>
      </c>
      <c r="Y20">
        <v>0.78580341880341875</v>
      </c>
    </row>
    <row r="21" spans="1:25">
      <c r="A21" t="s">
        <v>91</v>
      </c>
      <c r="B21" t="s">
        <v>88</v>
      </c>
      <c r="C21" t="s">
        <v>77</v>
      </c>
      <c r="D21" t="s">
        <v>76</v>
      </c>
      <c r="E21">
        <v>0.26543316828101521</v>
      </c>
      <c r="F21">
        <v>0.23582837479751581</v>
      </c>
      <c r="G21">
        <v>0.29834638262944257</v>
      </c>
      <c r="H21">
        <v>2.6077161870920782</v>
      </c>
      <c r="I21">
        <v>2.0161848820541399</v>
      </c>
      <c r="J21">
        <v>2.9819293321639999</v>
      </c>
      <c r="K21">
        <v>0.69283112757830934</v>
      </c>
      <c r="L21">
        <v>0.67238844485986959</v>
      </c>
      <c r="M21">
        <v>0.72000217746337647</v>
      </c>
      <c r="N21">
        <v>0.22489375370496489</v>
      </c>
      <c r="O21">
        <v>0.17234264521154699</v>
      </c>
      <c r="P21">
        <v>0.27634990116176761</v>
      </c>
      <c r="Q21">
        <v>0.37544298451799918</v>
      </c>
      <c r="R21">
        <v>0.3235281386180488</v>
      </c>
      <c r="S21">
        <v>0.40127057282065559</v>
      </c>
      <c r="T21">
        <v>0.23770568706056611</v>
      </c>
      <c r="U21">
        <v>0.20304426157559799</v>
      </c>
      <c r="V21">
        <v>0.29726897122485357</v>
      </c>
      <c r="W21">
        <v>0.60633699633699645</v>
      </c>
      <c r="X21">
        <v>0.48638583638583632</v>
      </c>
      <c r="Y21">
        <v>0.7205555555555555</v>
      </c>
    </row>
    <row r="22" spans="1:25">
      <c r="A22" t="s">
        <v>91</v>
      </c>
      <c r="B22" t="s">
        <v>87</v>
      </c>
      <c r="C22" t="s">
        <v>77</v>
      </c>
      <c r="D22" t="s">
        <v>80</v>
      </c>
      <c r="E22">
        <v>0.36240966105366851</v>
      </c>
      <c r="F22">
        <v>0.34316050120538399</v>
      </c>
      <c r="G22">
        <v>0.37398939530887321</v>
      </c>
      <c r="H22">
        <v>5.3363963762278512</v>
      </c>
      <c r="I22">
        <v>4.9298792048365883</v>
      </c>
      <c r="J22">
        <v>5.928751211820229</v>
      </c>
      <c r="K22">
        <v>0.7200889151078218</v>
      </c>
      <c r="L22">
        <v>0.70599369223794628</v>
      </c>
      <c r="M22">
        <v>0.7353092515967149</v>
      </c>
      <c r="N22">
        <v>0.30119890689798989</v>
      </c>
      <c r="O22">
        <v>0.22027743973611169</v>
      </c>
      <c r="P22">
        <v>0.36182252040634399</v>
      </c>
      <c r="Q22">
        <v>0.3732068933573861</v>
      </c>
      <c r="R22">
        <v>0.33926188064397861</v>
      </c>
      <c r="S22">
        <v>0.39231526285630353</v>
      </c>
      <c r="T22">
        <v>0.40077570640513738</v>
      </c>
      <c r="U22">
        <v>0.23451431748679449</v>
      </c>
      <c r="V22">
        <v>0.53119299637743655</v>
      </c>
      <c r="W22">
        <v>0.4592796092796092</v>
      </c>
      <c r="X22">
        <v>0.40310744810744809</v>
      </c>
      <c r="Y22">
        <v>0.64214285714285713</v>
      </c>
    </row>
    <row r="23" spans="1:25">
      <c r="A23" t="s">
        <v>91</v>
      </c>
      <c r="B23" t="s">
        <v>85</v>
      </c>
      <c r="C23" t="s">
        <v>78</v>
      </c>
      <c r="D23" t="s">
        <v>84</v>
      </c>
      <c r="E23">
        <v>0.29689000856455078</v>
      </c>
      <c r="F23">
        <v>0.2772045332311126</v>
      </c>
      <c r="G23">
        <v>0.33703613955476153</v>
      </c>
      <c r="H23">
        <v>3.107157268119066</v>
      </c>
      <c r="I23">
        <v>2.515860731923147</v>
      </c>
      <c r="J23">
        <v>4.1953388186026253</v>
      </c>
      <c r="K23">
        <v>0.74179160870701</v>
      </c>
      <c r="L23">
        <v>0.71953903290121901</v>
      </c>
      <c r="M23">
        <v>0.77101791303728895</v>
      </c>
      <c r="N23">
        <v>0.23524990891896799</v>
      </c>
      <c r="O23">
        <v>0.1764475275030242</v>
      </c>
      <c r="P23">
        <v>0.26757434289230669</v>
      </c>
      <c r="Q23">
        <v>0.37225723596768179</v>
      </c>
      <c r="R23">
        <v>0.29092464436991339</v>
      </c>
      <c r="S23">
        <v>0.4178969122650123</v>
      </c>
      <c r="T23">
        <v>0.2225641587793431</v>
      </c>
      <c r="U23">
        <v>0.20343702732363811</v>
      </c>
      <c r="V23">
        <v>0.24491380564697249</v>
      </c>
      <c r="W23">
        <v>0.69369474969474976</v>
      </c>
      <c r="X23">
        <v>0.51489499389499382</v>
      </c>
      <c r="Y23">
        <v>0.86805128205128212</v>
      </c>
    </row>
    <row r="24" spans="1:25">
      <c r="A24" t="s">
        <v>91</v>
      </c>
      <c r="B24" t="s">
        <v>88</v>
      </c>
      <c r="C24" t="s">
        <v>65</v>
      </c>
      <c r="D24" t="s">
        <v>84</v>
      </c>
      <c r="E24">
        <v>0.24447216067919311</v>
      </c>
      <c r="F24">
        <v>0.21656673207697291</v>
      </c>
      <c r="G24">
        <v>0.27546210840529117</v>
      </c>
      <c r="H24">
        <v>2.670089663708906</v>
      </c>
      <c r="I24">
        <v>1.938465432840399</v>
      </c>
      <c r="J24">
        <v>3.505252378859264</v>
      </c>
      <c r="K24">
        <v>0.7047238767888474</v>
      </c>
      <c r="L24">
        <v>0.65315524794225788</v>
      </c>
      <c r="M24">
        <v>0.75124317116318695</v>
      </c>
      <c r="N24">
        <v>0.19494633470953729</v>
      </c>
      <c r="O24">
        <v>0.15745379402900209</v>
      </c>
      <c r="P24">
        <v>0.22239194352059991</v>
      </c>
      <c r="Q24">
        <v>0.36953436233128761</v>
      </c>
      <c r="R24">
        <v>0.31653635356038462</v>
      </c>
      <c r="S24">
        <v>0.41889714450339949</v>
      </c>
      <c r="T24">
        <v>0.17755804610755341</v>
      </c>
      <c r="U24">
        <v>0.16440362512999071</v>
      </c>
      <c r="V24">
        <v>0.1911546281676654</v>
      </c>
      <c r="W24">
        <v>0.7102075702075703</v>
      </c>
      <c r="X24">
        <v>0.61441758241758249</v>
      </c>
      <c r="Y24">
        <v>0.80428571428571427</v>
      </c>
    </row>
    <row r="25" spans="1:25">
      <c r="A25" t="s">
        <v>91</v>
      </c>
      <c r="B25" t="s">
        <v>79</v>
      </c>
      <c r="C25" t="s">
        <v>78</v>
      </c>
      <c r="D25" t="s">
        <v>76</v>
      </c>
      <c r="E25">
        <v>0.25657911480246443</v>
      </c>
      <c r="F25">
        <v>0.23573357120641311</v>
      </c>
      <c r="G25">
        <v>0.27920293024477422</v>
      </c>
      <c r="H25">
        <v>2.4910591723513562</v>
      </c>
      <c r="I25">
        <v>2.227698976524966</v>
      </c>
      <c r="J25">
        <v>2.8338088215899462</v>
      </c>
      <c r="K25">
        <v>0.70520615444366141</v>
      </c>
      <c r="L25">
        <v>0.68265025361818354</v>
      </c>
      <c r="M25">
        <v>0.72234413102461947</v>
      </c>
      <c r="N25">
        <v>0.22871016841341091</v>
      </c>
      <c r="O25">
        <v>0.19911209186039949</v>
      </c>
      <c r="P25">
        <v>0.2485408417678841</v>
      </c>
      <c r="Q25">
        <v>0.36946172077563377</v>
      </c>
      <c r="R25">
        <v>0.32714018708250842</v>
      </c>
      <c r="S25">
        <v>0.40195277633079168</v>
      </c>
      <c r="T25">
        <v>0.22681749229699549</v>
      </c>
      <c r="U25">
        <v>0.18842776149419579</v>
      </c>
      <c r="V25">
        <v>0.27453178436503362</v>
      </c>
      <c r="W25">
        <v>0.6728205128205127</v>
      </c>
      <c r="X25">
        <v>0.47731868131868121</v>
      </c>
      <c r="Y25">
        <v>0.87731379731379733</v>
      </c>
    </row>
    <row r="26" spans="1:25">
      <c r="A26" t="s">
        <v>91</v>
      </c>
      <c r="B26" t="s">
        <v>79</v>
      </c>
      <c r="C26" t="s">
        <v>77</v>
      </c>
      <c r="D26" t="s">
        <v>84</v>
      </c>
      <c r="E26">
        <v>0.2852670812133471</v>
      </c>
      <c r="F26">
        <v>0.2679215208368067</v>
      </c>
      <c r="G26">
        <v>0.29193139469181462</v>
      </c>
      <c r="H26">
        <v>2.7197746025232101</v>
      </c>
      <c r="I26">
        <v>2.5248482995033821</v>
      </c>
      <c r="J26">
        <v>2.897733287472696</v>
      </c>
      <c r="K26">
        <v>0.73731686958091325</v>
      </c>
      <c r="L26">
        <v>0.72025602746326656</v>
      </c>
      <c r="M26">
        <v>0.76429108367883836</v>
      </c>
      <c r="N26">
        <v>0.23878034767825199</v>
      </c>
      <c r="O26">
        <v>0.1720819498682388</v>
      </c>
      <c r="P26">
        <v>0.28328823000004327</v>
      </c>
      <c r="Q26">
        <v>0.36632072226659951</v>
      </c>
      <c r="R26">
        <v>0.26560480559959448</v>
      </c>
      <c r="S26">
        <v>0.41942744897303941</v>
      </c>
      <c r="T26">
        <v>0.2468980124152052</v>
      </c>
      <c r="U26">
        <v>0.2154807689866991</v>
      </c>
      <c r="V26">
        <v>0.29201893178557448</v>
      </c>
      <c r="W26">
        <v>0.57710622710622705</v>
      </c>
      <c r="X26">
        <v>0.36700244200244198</v>
      </c>
      <c r="Y26">
        <v>0.70317460317460312</v>
      </c>
    </row>
    <row r="27" spans="1:25">
      <c r="A27" t="s">
        <v>91</v>
      </c>
      <c r="B27" t="s">
        <v>87</v>
      </c>
      <c r="C27" t="s">
        <v>78</v>
      </c>
      <c r="D27" t="s">
        <v>80</v>
      </c>
      <c r="E27">
        <v>0.38298655665037862</v>
      </c>
      <c r="F27">
        <v>0.3580938471936691</v>
      </c>
      <c r="G27">
        <v>0.4128907538713103</v>
      </c>
      <c r="H27">
        <v>5.7616975135416357</v>
      </c>
      <c r="I27">
        <v>4.9887131855100968</v>
      </c>
      <c r="J27">
        <v>6.4678090405209518</v>
      </c>
      <c r="K27">
        <v>0.72015099068484534</v>
      </c>
      <c r="L27">
        <v>0.70265437280038778</v>
      </c>
      <c r="M27">
        <v>0.74073230731359307</v>
      </c>
      <c r="N27">
        <v>0.30109445007010083</v>
      </c>
      <c r="O27">
        <v>0.22799797706269129</v>
      </c>
      <c r="P27">
        <v>0.34408823315399267</v>
      </c>
      <c r="Q27">
        <v>0.36527689228650079</v>
      </c>
      <c r="R27">
        <v>0.33786952231791811</v>
      </c>
      <c r="S27">
        <v>0.3971855682195326</v>
      </c>
      <c r="T27">
        <v>0.41445827306884092</v>
      </c>
      <c r="U27">
        <v>0.24704678328398519</v>
      </c>
      <c r="V27">
        <v>0.52477856526282318</v>
      </c>
      <c r="W27">
        <v>0.4889230769230769</v>
      </c>
      <c r="X27">
        <v>0.35262271062271061</v>
      </c>
      <c r="Y27">
        <v>0.71109401709401721</v>
      </c>
    </row>
    <row r="28" spans="1:25">
      <c r="A28" t="s">
        <v>91</v>
      </c>
      <c r="B28" t="s">
        <v>87</v>
      </c>
      <c r="C28" t="s">
        <v>77</v>
      </c>
      <c r="D28" t="s">
        <v>84</v>
      </c>
      <c r="E28">
        <v>0.31500766152182419</v>
      </c>
      <c r="F28">
        <v>0.30628712941648728</v>
      </c>
      <c r="G28">
        <v>0.32676114308421073</v>
      </c>
      <c r="H28">
        <v>3.477483631507956</v>
      </c>
      <c r="I28">
        <v>3.2772385105550228</v>
      </c>
      <c r="J28">
        <v>3.7233211987625521</v>
      </c>
      <c r="K28">
        <v>0.71451485126557768</v>
      </c>
      <c r="L28">
        <v>0.68194201526300779</v>
      </c>
      <c r="M28">
        <v>0.74233470238158616</v>
      </c>
      <c r="N28">
        <v>0.23326881632635549</v>
      </c>
      <c r="O28">
        <v>0.17256606367332339</v>
      </c>
      <c r="P28">
        <v>0.2843601373712768</v>
      </c>
      <c r="Q28">
        <v>0.36249617017317071</v>
      </c>
      <c r="R28">
        <v>0.27375521062787828</v>
      </c>
      <c r="S28">
        <v>0.42047242675797808</v>
      </c>
      <c r="T28">
        <v>0.24066764273680449</v>
      </c>
      <c r="U28">
        <v>0.1849180768126131</v>
      </c>
      <c r="V28">
        <v>0.34354936876540648</v>
      </c>
      <c r="W28">
        <v>0.5494505494505495</v>
      </c>
      <c r="X28">
        <v>0.35142246642246638</v>
      </c>
      <c r="Y28">
        <v>0.76623931623931629</v>
      </c>
    </row>
    <row r="29" spans="1:25">
      <c r="A29" t="s">
        <v>91</v>
      </c>
      <c r="B29" t="s">
        <v>79</v>
      </c>
      <c r="C29" t="s">
        <v>78</v>
      </c>
      <c r="D29" t="s">
        <v>80</v>
      </c>
      <c r="E29">
        <v>0.1955692179877416</v>
      </c>
      <c r="F29">
        <v>0.15722689560500419</v>
      </c>
      <c r="G29">
        <v>0.22263536671424339</v>
      </c>
      <c r="H29">
        <v>2.312481722333902</v>
      </c>
      <c r="I29">
        <v>1.845068865939824</v>
      </c>
      <c r="J29">
        <v>2.9933412565167359</v>
      </c>
      <c r="K29">
        <v>0.67237141611228413</v>
      </c>
      <c r="L29">
        <v>0.62631815486667219</v>
      </c>
      <c r="M29">
        <v>0.71506890776930565</v>
      </c>
      <c r="N29">
        <v>0.21344380885880149</v>
      </c>
      <c r="O29">
        <v>0.16046369947578709</v>
      </c>
      <c r="P29">
        <v>0.25589618361003491</v>
      </c>
      <c r="Q29">
        <v>0.3615676615162004</v>
      </c>
      <c r="R29">
        <v>0.30893050416572271</v>
      </c>
      <c r="S29">
        <v>0.39197971566756851</v>
      </c>
      <c r="T29">
        <v>0.1959969032937682</v>
      </c>
      <c r="U29">
        <v>0.159579952924566</v>
      </c>
      <c r="V29">
        <v>0.23317378390810889</v>
      </c>
      <c r="W29">
        <v>0.624957264957265</v>
      </c>
      <c r="X29">
        <v>0.50623076923076926</v>
      </c>
      <c r="Y29">
        <v>0.72575213675213668</v>
      </c>
    </row>
    <row r="30" spans="1:25">
      <c r="A30" t="s">
        <v>91</v>
      </c>
      <c r="B30" t="s">
        <v>79</v>
      </c>
      <c r="C30" t="s">
        <v>77</v>
      </c>
      <c r="D30" t="s">
        <v>76</v>
      </c>
      <c r="E30">
        <v>0.25159156027156498</v>
      </c>
      <c r="F30">
        <v>0.2363905685871297</v>
      </c>
      <c r="G30">
        <v>0.26832947163983228</v>
      </c>
      <c r="H30">
        <v>2.5933903926741801</v>
      </c>
      <c r="I30">
        <v>2.2529324248058442</v>
      </c>
      <c r="J30">
        <v>2.8070033641252601</v>
      </c>
      <c r="K30">
        <v>0.71122451179892998</v>
      </c>
      <c r="L30">
        <v>0.70074314764691925</v>
      </c>
      <c r="M30">
        <v>0.72114661972586414</v>
      </c>
      <c r="N30">
        <v>0.22471473832216199</v>
      </c>
      <c r="O30">
        <v>0.19672888455101889</v>
      </c>
      <c r="P30">
        <v>0.26185990086869249</v>
      </c>
      <c r="Q30">
        <v>0.36103517249956119</v>
      </c>
      <c r="R30">
        <v>0.34420027039854051</v>
      </c>
      <c r="S30">
        <v>0.37771631008000489</v>
      </c>
      <c r="T30">
        <v>0.2395325378164872</v>
      </c>
      <c r="U30">
        <v>0.1960492370031601</v>
      </c>
      <c r="V30">
        <v>0.2830405895988371</v>
      </c>
      <c r="W30">
        <v>0.61086691086691092</v>
      </c>
      <c r="X30">
        <v>0.51429792429792431</v>
      </c>
      <c r="Y30">
        <v>0.68125763125763128</v>
      </c>
    </row>
    <row r="31" spans="1:25">
      <c r="A31" t="s">
        <v>90</v>
      </c>
      <c r="B31" t="s">
        <v>88</v>
      </c>
      <c r="C31" t="s">
        <v>77</v>
      </c>
      <c r="D31" t="s">
        <v>76</v>
      </c>
      <c r="E31">
        <v>0.2244718451974595</v>
      </c>
      <c r="F31">
        <v>0.2052576876427161</v>
      </c>
      <c r="G31">
        <v>0.24908099541303011</v>
      </c>
      <c r="H31">
        <v>2.1144864379682291</v>
      </c>
      <c r="I31">
        <v>1.695660426314745</v>
      </c>
      <c r="J31">
        <v>2.8594104817276169</v>
      </c>
      <c r="K31">
        <v>0.6380490460186713</v>
      </c>
      <c r="L31">
        <v>0.59591822625198254</v>
      </c>
      <c r="M31">
        <v>0.67069363656548331</v>
      </c>
      <c r="N31">
        <v>0.18265340801366931</v>
      </c>
      <c r="O31">
        <v>0.14667505293685501</v>
      </c>
      <c r="P31">
        <v>0.2380664509892636</v>
      </c>
      <c r="Q31">
        <v>0.35964657600347277</v>
      </c>
      <c r="R31">
        <v>0.3185345785294485</v>
      </c>
      <c r="S31">
        <v>0.40364369124306632</v>
      </c>
      <c r="T31">
        <v>0.19582071555547789</v>
      </c>
      <c r="U31">
        <v>0.1802356535096602</v>
      </c>
      <c r="V31">
        <v>0.23268704275852739</v>
      </c>
      <c r="W31">
        <v>0.69557997557997564</v>
      </c>
      <c r="X31">
        <v>0.49874236874236882</v>
      </c>
      <c r="Y31">
        <v>0.80913308913308912</v>
      </c>
    </row>
    <row r="32" spans="1:25">
      <c r="A32" t="s">
        <v>91</v>
      </c>
      <c r="B32" t="s">
        <v>87</v>
      </c>
      <c r="C32" t="s">
        <v>65</v>
      </c>
      <c r="D32" t="s">
        <v>84</v>
      </c>
      <c r="E32">
        <v>0.25300607263915281</v>
      </c>
      <c r="F32">
        <v>0.2065374492962572</v>
      </c>
      <c r="G32">
        <v>0.30351304612543001</v>
      </c>
      <c r="H32">
        <v>3.279750935593007</v>
      </c>
      <c r="I32">
        <v>1.992396643653686</v>
      </c>
      <c r="J32">
        <v>4.5510810086275209</v>
      </c>
      <c r="K32">
        <v>0.68509766386661608</v>
      </c>
      <c r="L32">
        <v>0.65210946358127198</v>
      </c>
      <c r="M32">
        <v>0.72332901672104377</v>
      </c>
      <c r="N32">
        <v>0.18233760548898939</v>
      </c>
      <c r="O32">
        <v>0.16063094825369439</v>
      </c>
      <c r="P32">
        <v>0.2062091661350223</v>
      </c>
      <c r="Q32">
        <v>0.35679284080018098</v>
      </c>
      <c r="R32">
        <v>0.29850325349538132</v>
      </c>
      <c r="S32">
        <v>0.40788332488813162</v>
      </c>
      <c r="T32">
        <v>0.1805286814010614</v>
      </c>
      <c r="U32">
        <v>0.1614949808461818</v>
      </c>
      <c r="V32">
        <v>0.20790769473915161</v>
      </c>
      <c r="W32">
        <v>0.74820268620268615</v>
      </c>
      <c r="X32">
        <v>0.6905140415140415</v>
      </c>
      <c r="Y32">
        <v>0.83319169719169717</v>
      </c>
    </row>
    <row r="33" spans="1:25">
      <c r="A33" t="s">
        <v>91</v>
      </c>
      <c r="B33" t="s">
        <v>88</v>
      </c>
      <c r="C33" t="s">
        <v>77</v>
      </c>
      <c r="D33" t="s">
        <v>84</v>
      </c>
      <c r="E33">
        <v>0.25279231710011352</v>
      </c>
      <c r="F33">
        <v>0.20131886477713759</v>
      </c>
      <c r="G33">
        <v>0.30315953102376042</v>
      </c>
      <c r="H33">
        <v>2.6972122960423861</v>
      </c>
      <c r="I33">
        <v>1.8507112156801719</v>
      </c>
      <c r="J33">
        <v>4.0561506071382469</v>
      </c>
      <c r="K33">
        <v>0.68379319313049369</v>
      </c>
      <c r="L33">
        <v>0.6362730019792735</v>
      </c>
      <c r="M33">
        <v>0.70763648743665764</v>
      </c>
      <c r="N33">
        <v>0.2177103835967146</v>
      </c>
      <c r="O33">
        <v>0.16350268986651359</v>
      </c>
      <c r="P33">
        <v>0.23947153764413401</v>
      </c>
      <c r="Q33">
        <v>0.3565768828635848</v>
      </c>
      <c r="R33">
        <v>0.27925071595245032</v>
      </c>
      <c r="S33">
        <v>0.40629624094182859</v>
      </c>
      <c r="T33">
        <v>0.2180682480096941</v>
      </c>
      <c r="U33">
        <v>0.1895882260637691</v>
      </c>
      <c r="V33">
        <v>0.26640570871778679</v>
      </c>
      <c r="W33">
        <v>0.67289377289377295</v>
      </c>
      <c r="X33">
        <v>0.54429181929181936</v>
      </c>
      <c r="Y33">
        <v>0.780934065934066</v>
      </c>
    </row>
    <row r="34" spans="1:25">
      <c r="A34" t="s">
        <v>91</v>
      </c>
      <c r="B34" t="s">
        <v>87</v>
      </c>
      <c r="C34" t="s">
        <v>65</v>
      </c>
      <c r="D34" t="s">
        <v>80</v>
      </c>
      <c r="E34">
        <v>0.2072991893905147</v>
      </c>
      <c r="F34">
        <v>0.171708157564923</v>
      </c>
      <c r="G34">
        <v>0.23301569206966191</v>
      </c>
      <c r="H34">
        <v>2.9266221549035318</v>
      </c>
      <c r="I34">
        <v>1.8717125071537619</v>
      </c>
      <c r="J34">
        <v>3.8343416600494922</v>
      </c>
      <c r="K34">
        <v>0.64326930675298277</v>
      </c>
      <c r="L34">
        <v>0.62030842841782152</v>
      </c>
      <c r="M34">
        <v>0.70398755885989595</v>
      </c>
      <c r="N34">
        <v>0.15795022422563421</v>
      </c>
      <c r="O34">
        <v>0.1198066971944875</v>
      </c>
      <c r="P34">
        <v>0.2072264186689145</v>
      </c>
      <c r="Q34">
        <v>0.35612712000588542</v>
      </c>
      <c r="R34">
        <v>0.28584806278191049</v>
      </c>
      <c r="S34">
        <v>0.44112255912605158</v>
      </c>
      <c r="T34">
        <v>0.17381038082842851</v>
      </c>
      <c r="U34">
        <v>0.14185834195316949</v>
      </c>
      <c r="V34">
        <v>0.19814007972506731</v>
      </c>
      <c r="W34">
        <v>0.62604884004884009</v>
      </c>
      <c r="X34">
        <v>0.52216971916971922</v>
      </c>
      <c r="Y34">
        <v>0.82246764346764345</v>
      </c>
    </row>
    <row r="35" spans="1:25">
      <c r="A35" t="s">
        <v>91</v>
      </c>
      <c r="B35" t="s">
        <v>87</v>
      </c>
      <c r="C35" t="s">
        <v>77</v>
      </c>
      <c r="D35" t="s">
        <v>81</v>
      </c>
      <c r="E35">
        <v>0.27164719362405571</v>
      </c>
      <c r="F35">
        <v>0.24771776594417549</v>
      </c>
      <c r="G35">
        <v>0.29103584119634007</v>
      </c>
      <c r="H35">
        <v>3.5092707657840791</v>
      </c>
      <c r="I35">
        <v>3.2308132569101242</v>
      </c>
      <c r="J35">
        <v>3.6584889402305469</v>
      </c>
      <c r="K35">
        <v>0.68758774381588716</v>
      </c>
      <c r="L35">
        <v>0.68308895374784129</v>
      </c>
      <c r="M35">
        <v>0.69797815662820839</v>
      </c>
      <c r="N35">
        <v>0.2166578842045577</v>
      </c>
      <c r="O35">
        <v>0.13968802322531601</v>
      </c>
      <c r="P35">
        <v>0.29798607920260972</v>
      </c>
      <c r="Q35">
        <v>0.35422104235978419</v>
      </c>
      <c r="R35">
        <v>0.31185249983814001</v>
      </c>
      <c r="S35">
        <v>0.39245518455585632</v>
      </c>
      <c r="T35">
        <v>0.26100240417721388</v>
      </c>
      <c r="U35">
        <v>0.1581890732218601</v>
      </c>
      <c r="V35">
        <v>0.38414865779381902</v>
      </c>
      <c r="W35">
        <v>0.57025641025641027</v>
      </c>
      <c r="X35">
        <v>0.35945054945054938</v>
      </c>
      <c r="Y35">
        <v>0.89726495726495714</v>
      </c>
    </row>
    <row r="36" spans="1:25">
      <c r="A36" t="s">
        <v>91</v>
      </c>
      <c r="B36" t="s">
        <v>87</v>
      </c>
      <c r="C36" t="s">
        <v>78</v>
      </c>
      <c r="D36" t="s">
        <v>81</v>
      </c>
      <c r="E36">
        <v>0.25452834240167588</v>
      </c>
      <c r="F36">
        <v>0.244339376504321</v>
      </c>
      <c r="G36">
        <v>0.26472402232971248</v>
      </c>
      <c r="H36">
        <v>3.2631191337208998</v>
      </c>
      <c r="I36">
        <v>3.2101175938978259</v>
      </c>
      <c r="J36">
        <v>3.3166945278015141</v>
      </c>
      <c r="K36">
        <v>0.67552832431588994</v>
      </c>
      <c r="L36">
        <v>0.6691154581935459</v>
      </c>
      <c r="M36">
        <v>0.68692007703323255</v>
      </c>
      <c r="N36">
        <v>0.22787344505263279</v>
      </c>
      <c r="O36">
        <v>0.179001433196423</v>
      </c>
      <c r="P36">
        <v>0.26783454552438452</v>
      </c>
      <c r="Q36">
        <v>0.35306102701725611</v>
      </c>
      <c r="R36">
        <v>0.32446723729768567</v>
      </c>
      <c r="S36">
        <v>0.39179352292531361</v>
      </c>
      <c r="T36">
        <v>0.2734863625697419</v>
      </c>
      <c r="U36">
        <v>0.2064118500959749</v>
      </c>
      <c r="V36">
        <v>0.34386999022482889</v>
      </c>
      <c r="W36">
        <v>0.5294945054945055</v>
      </c>
      <c r="X36">
        <v>0.3476007326007326</v>
      </c>
      <c r="Y36">
        <v>0.72833455433455441</v>
      </c>
    </row>
    <row r="37" spans="1:25">
      <c r="A37" t="s">
        <v>90</v>
      </c>
      <c r="B37" t="s">
        <v>88</v>
      </c>
      <c r="C37" t="s">
        <v>78</v>
      </c>
      <c r="D37" t="s">
        <v>76</v>
      </c>
      <c r="E37">
        <v>0.2224196210386645</v>
      </c>
      <c r="F37">
        <v>0.2044864335414508</v>
      </c>
      <c r="G37">
        <v>0.25423860625573191</v>
      </c>
      <c r="H37">
        <v>2.1682090184014058</v>
      </c>
      <c r="I37">
        <v>1.741651075814501</v>
      </c>
      <c r="J37">
        <v>3.0411145399584689</v>
      </c>
      <c r="K37">
        <v>0.60415747764338246</v>
      </c>
      <c r="L37">
        <v>0.58551543187465604</v>
      </c>
      <c r="M37">
        <v>0.62785302027323686</v>
      </c>
      <c r="N37">
        <v>0.16074536714731999</v>
      </c>
      <c r="O37">
        <v>0.1240280276796252</v>
      </c>
      <c r="P37">
        <v>0.187850643663451</v>
      </c>
      <c r="Q37">
        <v>0.35100844629862787</v>
      </c>
      <c r="R37">
        <v>0.29286076164742769</v>
      </c>
      <c r="S37">
        <v>0.38760993229536311</v>
      </c>
      <c r="T37">
        <v>0.1997409928499021</v>
      </c>
      <c r="U37">
        <v>0.18494946033733611</v>
      </c>
      <c r="V37">
        <v>0.2364735671374692</v>
      </c>
      <c r="W37">
        <v>0.72896947496947495</v>
      </c>
      <c r="X37">
        <v>0.63474481074481071</v>
      </c>
      <c r="Y37">
        <v>0.83560683760683763</v>
      </c>
    </row>
    <row r="38" spans="1:25">
      <c r="A38" t="s">
        <v>91</v>
      </c>
      <c r="B38" t="s">
        <v>88</v>
      </c>
      <c r="C38" t="s">
        <v>77</v>
      </c>
      <c r="D38" t="s">
        <v>80</v>
      </c>
      <c r="E38">
        <v>0.30785576194296349</v>
      </c>
      <c r="F38">
        <v>0.27610730415342621</v>
      </c>
      <c r="G38">
        <v>0.34226949596785911</v>
      </c>
      <c r="H38">
        <v>4.9132311614561814</v>
      </c>
      <c r="I38">
        <v>4.4713709832233119</v>
      </c>
      <c r="J38">
        <v>5.2645905768700034</v>
      </c>
      <c r="K38">
        <v>0.6894650101132026</v>
      </c>
      <c r="L38">
        <v>0.67123898618641242</v>
      </c>
      <c r="M38">
        <v>0.70739449953215305</v>
      </c>
      <c r="N38">
        <v>0.2437508908355096</v>
      </c>
      <c r="O38">
        <v>0.19371097864632619</v>
      </c>
      <c r="P38">
        <v>0.34077976221610662</v>
      </c>
      <c r="Q38">
        <v>0.34933991974793188</v>
      </c>
      <c r="R38">
        <v>0.24481300269571121</v>
      </c>
      <c r="S38">
        <v>0.4330643517413354</v>
      </c>
      <c r="T38">
        <v>0.28865400028110538</v>
      </c>
      <c r="U38">
        <v>0.1966870672764818</v>
      </c>
      <c r="V38">
        <v>0.4300396825396825</v>
      </c>
      <c r="W38">
        <v>0.4631623931623931</v>
      </c>
      <c r="X38">
        <v>0.28474358974358971</v>
      </c>
      <c r="Y38">
        <v>0.66169108669108667</v>
      </c>
    </row>
    <row r="39" spans="1:25">
      <c r="A39" t="s">
        <v>91</v>
      </c>
      <c r="B39" t="s">
        <v>87</v>
      </c>
      <c r="C39" t="s">
        <v>65</v>
      </c>
      <c r="D39" t="s">
        <v>76</v>
      </c>
      <c r="E39">
        <v>0.21638672257484989</v>
      </c>
      <c r="F39">
        <v>0.19312062520121101</v>
      </c>
      <c r="G39">
        <v>0.22853782218195379</v>
      </c>
      <c r="H39">
        <v>2.3703611556855919</v>
      </c>
      <c r="I39">
        <v>1.9472898908984959</v>
      </c>
      <c r="J39">
        <v>2.7165557581049682</v>
      </c>
      <c r="K39">
        <v>0.67626564362712216</v>
      </c>
      <c r="L39">
        <v>0.66001751069794823</v>
      </c>
      <c r="M39">
        <v>0.70677681543681015</v>
      </c>
      <c r="N39">
        <v>0.16655915805135721</v>
      </c>
      <c r="O39">
        <v>0.14161159779089841</v>
      </c>
      <c r="P39">
        <v>0.20517758073464951</v>
      </c>
      <c r="Q39">
        <v>0.34724291997193202</v>
      </c>
      <c r="R39">
        <v>0.3334754585101955</v>
      </c>
      <c r="S39">
        <v>0.36298049342572902</v>
      </c>
      <c r="T39">
        <v>0.1832607979914892</v>
      </c>
      <c r="U39">
        <v>0.1667856714159138</v>
      </c>
      <c r="V39">
        <v>0.20174488090145981</v>
      </c>
      <c r="W39">
        <v>0.60002197802197799</v>
      </c>
      <c r="X39">
        <v>0.48117094017094009</v>
      </c>
      <c r="Y39">
        <v>0.66850671550671537</v>
      </c>
    </row>
    <row r="40" spans="1:25">
      <c r="A40" t="s">
        <v>90</v>
      </c>
      <c r="B40" t="s">
        <v>88</v>
      </c>
      <c r="C40" t="s">
        <v>78</v>
      </c>
      <c r="D40" t="s">
        <v>75</v>
      </c>
      <c r="E40">
        <v>0.2364399428858899</v>
      </c>
      <c r="F40">
        <v>0.20504208090814291</v>
      </c>
      <c r="G40">
        <v>0.27550672039909241</v>
      </c>
      <c r="H40">
        <v>2.081398674557839</v>
      </c>
      <c r="I40">
        <v>1.746736005122538</v>
      </c>
      <c r="J40">
        <v>2.3355522294650441</v>
      </c>
      <c r="K40">
        <v>0.63274993617011543</v>
      </c>
      <c r="L40">
        <v>0.60815311994630572</v>
      </c>
      <c r="M40">
        <v>0.66270844777055571</v>
      </c>
      <c r="N40">
        <v>0.1933355657372085</v>
      </c>
      <c r="O40">
        <v>0.1623496845581627</v>
      </c>
      <c r="P40">
        <v>0.21888526170430969</v>
      </c>
      <c r="Q40">
        <v>0.34409403661465432</v>
      </c>
      <c r="R40">
        <v>0.30018663790368799</v>
      </c>
      <c r="S40">
        <v>0.39914026769497202</v>
      </c>
      <c r="T40">
        <v>0.19596893081762251</v>
      </c>
      <c r="U40">
        <v>0.16739852991232629</v>
      </c>
      <c r="V40">
        <v>0.24126397114874529</v>
      </c>
      <c r="W40">
        <v>0.61369963369963376</v>
      </c>
      <c r="X40">
        <v>0.44736263736263732</v>
      </c>
      <c r="Y40">
        <v>0.73325396825396827</v>
      </c>
    </row>
    <row r="41" spans="1:25">
      <c r="A41" t="s">
        <v>91</v>
      </c>
      <c r="B41" t="s">
        <v>79</v>
      </c>
      <c r="C41" t="s">
        <v>77</v>
      </c>
      <c r="D41" t="s">
        <v>81</v>
      </c>
      <c r="E41">
        <v>0.2152495581160348</v>
      </c>
      <c r="F41">
        <v>0.17367599773089901</v>
      </c>
      <c r="G41">
        <v>0.28336274213557228</v>
      </c>
      <c r="H41">
        <v>3.097599267807789</v>
      </c>
      <c r="I41">
        <v>1.7741212775709461</v>
      </c>
      <c r="J41">
        <v>5.2523278601359351</v>
      </c>
      <c r="K41">
        <v>0.62677412742764993</v>
      </c>
      <c r="L41">
        <v>0.61538536526734799</v>
      </c>
      <c r="M41">
        <v>0.64252529685989213</v>
      </c>
      <c r="N41">
        <v>0.15886951669905219</v>
      </c>
      <c r="O41">
        <v>0.1198054591879965</v>
      </c>
      <c r="P41">
        <v>0.21268594133490451</v>
      </c>
      <c r="Q41">
        <v>0.34300442864749942</v>
      </c>
      <c r="R41">
        <v>0.2817318724508574</v>
      </c>
      <c r="S41">
        <v>0.3996464918104472</v>
      </c>
      <c r="T41">
        <v>0.19060596090600249</v>
      </c>
      <c r="U41">
        <v>0.16367494475428809</v>
      </c>
      <c r="V41">
        <v>0.25264336533032178</v>
      </c>
      <c r="W41">
        <v>0.73816849816849817</v>
      </c>
      <c r="X41">
        <v>0.52890109890109893</v>
      </c>
      <c r="Y41">
        <v>0.86472527472527483</v>
      </c>
    </row>
    <row r="42" spans="1:25">
      <c r="A42" t="s">
        <v>91</v>
      </c>
      <c r="B42" t="s">
        <v>87</v>
      </c>
      <c r="C42" t="s">
        <v>78</v>
      </c>
      <c r="D42" t="s">
        <v>84</v>
      </c>
      <c r="E42">
        <v>0.28779085758273859</v>
      </c>
      <c r="F42">
        <v>0.27008497004627841</v>
      </c>
      <c r="G42">
        <v>0.30430281024597888</v>
      </c>
      <c r="H42">
        <v>3.187027301347944</v>
      </c>
      <c r="I42">
        <v>2.7598071234370498</v>
      </c>
      <c r="J42">
        <v>3.477596397375196</v>
      </c>
      <c r="K42">
        <v>0.69060143901468152</v>
      </c>
      <c r="L42">
        <v>0.6742239193910865</v>
      </c>
      <c r="M42">
        <v>0.71516959994672669</v>
      </c>
      <c r="N42">
        <v>0.2246727266171375</v>
      </c>
      <c r="O42">
        <v>0.1743916476069135</v>
      </c>
      <c r="P42">
        <v>0.2639976070638626</v>
      </c>
      <c r="Q42">
        <v>0.3390648910356987</v>
      </c>
      <c r="R42">
        <v>0.28509255646536469</v>
      </c>
      <c r="S42">
        <v>0.4185030869685365</v>
      </c>
      <c r="T42">
        <v>0.26421355359857279</v>
      </c>
      <c r="U42">
        <v>0.19508999181003581</v>
      </c>
      <c r="V42">
        <v>0.3820797311560023</v>
      </c>
      <c r="W42">
        <v>0.56606105006105012</v>
      </c>
      <c r="X42">
        <v>0.33661416361416358</v>
      </c>
      <c r="Y42">
        <v>0.86074969474969487</v>
      </c>
    </row>
    <row r="43" spans="1:25">
      <c r="A43" t="s">
        <v>91</v>
      </c>
      <c r="B43" t="s">
        <v>88</v>
      </c>
      <c r="C43" t="s">
        <v>78</v>
      </c>
      <c r="D43" t="s">
        <v>80</v>
      </c>
      <c r="E43">
        <v>0.3028832585760235</v>
      </c>
      <c r="F43">
        <v>0.26968826329422368</v>
      </c>
      <c r="G43">
        <v>0.33801149692456223</v>
      </c>
      <c r="H43">
        <v>4.6041101465737277</v>
      </c>
      <c r="I43">
        <v>3.7449859140976409</v>
      </c>
      <c r="J43">
        <v>5.2002345288122394</v>
      </c>
      <c r="K43">
        <v>0.70339920004839662</v>
      </c>
      <c r="L43">
        <v>0.68438740353427741</v>
      </c>
      <c r="M43">
        <v>0.71752159076959443</v>
      </c>
      <c r="N43">
        <v>0.23483272334064309</v>
      </c>
      <c r="O43">
        <v>0.18329559148603039</v>
      </c>
      <c r="P43">
        <v>0.2773668022303169</v>
      </c>
      <c r="Q43">
        <v>0.3383341017720719</v>
      </c>
      <c r="R43">
        <v>0.2505329394593912</v>
      </c>
      <c r="S43">
        <v>0.40944373881650697</v>
      </c>
      <c r="T43">
        <v>0.30870175696310731</v>
      </c>
      <c r="U43">
        <v>0.19281465162777731</v>
      </c>
      <c r="V43">
        <v>0.45939246119733912</v>
      </c>
      <c r="W43">
        <v>0.45586324786324789</v>
      </c>
      <c r="X43">
        <v>0.26995604395604389</v>
      </c>
      <c r="Y43">
        <v>0.62772161172161178</v>
      </c>
    </row>
    <row r="44" spans="1:25">
      <c r="A44" t="s">
        <v>90</v>
      </c>
      <c r="B44" t="s">
        <v>88</v>
      </c>
      <c r="C44" t="s">
        <v>65</v>
      </c>
      <c r="D44" t="s">
        <v>75</v>
      </c>
      <c r="E44">
        <v>0.1813519354990184</v>
      </c>
      <c r="F44">
        <v>0.1531245214711178</v>
      </c>
      <c r="G44">
        <v>0.20716026252376379</v>
      </c>
      <c r="H44">
        <v>1.5851214129011431</v>
      </c>
      <c r="I44">
        <v>1.342293839461816</v>
      </c>
      <c r="J44">
        <v>1.781948462166498</v>
      </c>
      <c r="K44">
        <v>0.58195093478587068</v>
      </c>
      <c r="L44">
        <v>0.54364014411980799</v>
      </c>
      <c r="M44">
        <v>0.62092319353614933</v>
      </c>
      <c r="N44">
        <v>0.12863730321828709</v>
      </c>
      <c r="O44">
        <v>0.10796980361034079</v>
      </c>
      <c r="P44">
        <v>0.16052361099227699</v>
      </c>
      <c r="Q44">
        <v>0.33686583510508578</v>
      </c>
      <c r="R44">
        <v>0.31624522322762388</v>
      </c>
      <c r="S44">
        <v>0.36427368750471062</v>
      </c>
      <c r="T44">
        <v>0.16847055562406921</v>
      </c>
      <c r="U44">
        <v>0.154610667580978</v>
      </c>
      <c r="V44">
        <v>0.190516819073973</v>
      </c>
      <c r="W44">
        <v>0.72052503052503059</v>
      </c>
      <c r="X44">
        <v>0.59308058608058611</v>
      </c>
      <c r="Y44">
        <v>0.7805592185592185</v>
      </c>
    </row>
    <row r="45" spans="1:25">
      <c r="A45" t="s">
        <v>90</v>
      </c>
      <c r="B45" t="s">
        <v>88</v>
      </c>
      <c r="C45" t="s">
        <v>78</v>
      </c>
      <c r="D45" t="s">
        <v>66</v>
      </c>
      <c r="E45">
        <v>0.2408312614175821</v>
      </c>
      <c r="F45">
        <v>0.20856960954555809</v>
      </c>
      <c r="G45">
        <v>0.2751729267923938</v>
      </c>
      <c r="H45">
        <v>2.0339252458444368</v>
      </c>
      <c r="I45">
        <v>1.851504679978982</v>
      </c>
      <c r="J45">
        <v>2.3381702813666809</v>
      </c>
      <c r="K45">
        <v>0.64199368053635575</v>
      </c>
      <c r="L45">
        <v>0.61463491429086559</v>
      </c>
      <c r="M45">
        <v>0.6809756811897324</v>
      </c>
      <c r="N45">
        <v>0.18262557778263441</v>
      </c>
      <c r="O45">
        <v>0.13607254819593231</v>
      </c>
      <c r="P45">
        <v>0.21659003414515801</v>
      </c>
      <c r="Q45">
        <v>0.33409170550594819</v>
      </c>
      <c r="R45">
        <v>0.28617865958459432</v>
      </c>
      <c r="S45">
        <v>0.38608488527779039</v>
      </c>
      <c r="T45">
        <v>0.18945343079076499</v>
      </c>
      <c r="U45">
        <v>0.1756621623734585</v>
      </c>
      <c r="V45">
        <v>0.20558940306108869</v>
      </c>
      <c r="W45">
        <v>0.65638095238095229</v>
      </c>
      <c r="X45">
        <v>0.57206593406593409</v>
      </c>
      <c r="Y45">
        <v>0.78382417582417574</v>
      </c>
    </row>
    <row r="46" spans="1:25">
      <c r="A46" t="s">
        <v>91</v>
      </c>
      <c r="B46" t="s">
        <v>79</v>
      </c>
      <c r="C46" t="s">
        <v>78</v>
      </c>
      <c r="D46" t="s">
        <v>84</v>
      </c>
      <c r="E46">
        <v>0.24829173143328359</v>
      </c>
      <c r="F46">
        <v>0.23394406450965261</v>
      </c>
      <c r="G46">
        <v>0.25871138110914049</v>
      </c>
      <c r="H46">
        <v>2.1939421938985491</v>
      </c>
      <c r="I46">
        <v>2.1378891009557748</v>
      </c>
      <c r="J46">
        <v>2.2529007009335782</v>
      </c>
      <c r="K46">
        <v>0.69177727185931004</v>
      </c>
      <c r="L46">
        <v>0.66847366147263809</v>
      </c>
      <c r="M46">
        <v>0.72461153157611802</v>
      </c>
      <c r="N46">
        <v>0.19007001747859439</v>
      </c>
      <c r="O46">
        <v>0.14912431515844751</v>
      </c>
      <c r="P46">
        <v>0.23207239245732109</v>
      </c>
      <c r="Q46">
        <v>0.3332407157991526</v>
      </c>
      <c r="R46">
        <v>0.29964393428453678</v>
      </c>
      <c r="S46">
        <v>0.38656884890566379</v>
      </c>
      <c r="T46">
        <v>0.2210181113999119</v>
      </c>
      <c r="U46">
        <v>0.17390427792143051</v>
      </c>
      <c r="V46">
        <v>0.26977137639978388</v>
      </c>
      <c r="W46">
        <v>0.60064957264957264</v>
      </c>
      <c r="X46">
        <v>0.4646117216117216</v>
      </c>
      <c r="Y46">
        <v>0.73977655677655685</v>
      </c>
    </row>
    <row r="47" spans="1:25">
      <c r="A47" t="s">
        <v>91</v>
      </c>
      <c r="B47" t="s">
        <v>86</v>
      </c>
      <c r="C47" t="s">
        <v>77</v>
      </c>
      <c r="D47" t="s">
        <v>81</v>
      </c>
      <c r="E47">
        <v>0.2455454603672908</v>
      </c>
      <c r="F47">
        <v>0.21871208920883201</v>
      </c>
      <c r="G47">
        <v>0.29046436573130657</v>
      </c>
      <c r="H47">
        <v>3.1997541991813159</v>
      </c>
      <c r="I47">
        <v>2.3996607658056401</v>
      </c>
      <c r="J47">
        <v>4.4891287784122804</v>
      </c>
      <c r="K47">
        <v>0.66146676547482319</v>
      </c>
      <c r="L47">
        <v>0.64252472907526892</v>
      </c>
      <c r="M47">
        <v>0.6781572297576508</v>
      </c>
      <c r="N47">
        <v>0.1771897487422302</v>
      </c>
      <c r="O47">
        <v>0.14493057435455681</v>
      </c>
      <c r="P47">
        <v>0.2120217341295958</v>
      </c>
      <c r="Q47">
        <v>0.33165405401262171</v>
      </c>
      <c r="R47">
        <v>0.25168427063780108</v>
      </c>
      <c r="S47">
        <v>0.3792860803418725</v>
      </c>
      <c r="T47">
        <v>0.2150105466688465</v>
      </c>
      <c r="U47">
        <v>0.17248247487609189</v>
      </c>
      <c r="V47">
        <v>0.26658811637862689</v>
      </c>
      <c r="W47">
        <v>0.63103785103785115</v>
      </c>
      <c r="X47">
        <v>0.4281318681318681</v>
      </c>
      <c r="Y47">
        <v>0.74942612942612952</v>
      </c>
    </row>
    <row r="48" spans="1:25">
      <c r="A48" t="s">
        <v>91</v>
      </c>
      <c r="B48" t="s">
        <v>79</v>
      </c>
      <c r="C48" t="s">
        <v>78</v>
      </c>
      <c r="D48" t="s">
        <v>83</v>
      </c>
      <c r="E48">
        <v>0.2140530880317453</v>
      </c>
      <c r="F48">
        <v>0.1677140597437923</v>
      </c>
      <c r="G48">
        <v>0.26544286206770201</v>
      </c>
      <c r="H48">
        <v>2.0673873915798788</v>
      </c>
      <c r="I48">
        <v>1.3751664853069061</v>
      </c>
      <c r="J48">
        <v>3.3499334012665352</v>
      </c>
      <c r="K48">
        <v>0.5730511552626758</v>
      </c>
      <c r="L48">
        <v>0.51175058833442488</v>
      </c>
      <c r="M48">
        <v>0.61281612700313448</v>
      </c>
      <c r="N48">
        <v>0.1686551711048801</v>
      </c>
      <c r="O48">
        <v>0.15133419692633099</v>
      </c>
      <c r="P48">
        <v>0.186005931428223</v>
      </c>
      <c r="Q48">
        <v>0.33150087307585452</v>
      </c>
      <c r="R48">
        <v>0.30204890068887752</v>
      </c>
      <c r="S48">
        <v>0.35237655780721638</v>
      </c>
      <c r="T48">
        <v>0.20955156877614431</v>
      </c>
      <c r="U48">
        <v>0.1953674621492463</v>
      </c>
      <c r="V48">
        <v>0.2187933046974358</v>
      </c>
      <c r="W48">
        <v>0.70201953601953604</v>
      </c>
      <c r="X48">
        <v>0.64513797313797305</v>
      </c>
      <c r="Y48">
        <v>0.79815140415140406</v>
      </c>
    </row>
    <row r="49" spans="1:25">
      <c r="A49" t="s">
        <v>91</v>
      </c>
      <c r="B49" t="s">
        <v>88</v>
      </c>
      <c r="C49" t="s">
        <v>65</v>
      </c>
      <c r="D49" t="s">
        <v>80</v>
      </c>
      <c r="E49">
        <v>0.17712485949882489</v>
      </c>
      <c r="F49">
        <v>0.15275679302977571</v>
      </c>
      <c r="G49">
        <v>0.2243995237577496</v>
      </c>
      <c r="H49">
        <v>2.624222970430599</v>
      </c>
      <c r="I49">
        <v>1.8764667915662721</v>
      </c>
      <c r="J49">
        <v>3.9521339325180702</v>
      </c>
      <c r="K49">
        <v>0.62011992082479495</v>
      </c>
      <c r="L49">
        <v>0.59090031837167745</v>
      </c>
      <c r="M49">
        <v>0.64434821977719381</v>
      </c>
      <c r="N49">
        <v>0.1226064128039555</v>
      </c>
      <c r="O49">
        <v>6.9890102296887399E-2</v>
      </c>
      <c r="P49">
        <v>0.166358252509375</v>
      </c>
      <c r="Q49">
        <v>0.33085488127030588</v>
      </c>
      <c r="R49">
        <v>0.30865521066989038</v>
      </c>
      <c r="S49">
        <v>0.36937005189336641</v>
      </c>
      <c r="T49">
        <v>0.16454230701548439</v>
      </c>
      <c r="U49">
        <v>0.14761191344788899</v>
      </c>
      <c r="V49">
        <v>0.18740488081482209</v>
      </c>
      <c r="W49">
        <v>0.63422466422466428</v>
      </c>
      <c r="X49">
        <v>0.48903785103785108</v>
      </c>
      <c r="Y49">
        <v>0.78498901098901108</v>
      </c>
    </row>
    <row r="50" spans="1:25">
      <c r="A50" t="s">
        <v>91</v>
      </c>
      <c r="B50" t="s">
        <v>85</v>
      </c>
      <c r="C50" t="s">
        <v>78</v>
      </c>
      <c r="D50" t="s">
        <v>80</v>
      </c>
      <c r="E50">
        <v>0.2498931085933514</v>
      </c>
      <c r="F50">
        <v>0.21706522630858599</v>
      </c>
      <c r="G50">
        <v>0.27187226551480309</v>
      </c>
      <c r="H50">
        <v>3.1197670440244241</v>
      </c>
      <c r="I50">
        <v>2.6194143555761791</v>
      </c>
      <c r="J50">
        <v>3.4878287539777211</v>
      </c>
      <c r="K50">
        <v>0.72397625981949632</v>
      </c>
      <c r="L50">
        <v>0.66325938985110933</v>
      </c>
      <c r="M50">
        <v>0.76158315611703453</v>
      </c>
      <c r="N50">
        <v>0.1970599850434212</v>
      </c>
      <c r="O50">
        <v>0.1555625280731624</v>
      </c>
      <c r="P50">
        <v>0.24657559605795601</v>
      </c>
      <c r="Q50">
        <v>0.33017653991677848</v>
      </c>
      <c r="R50">
        <v>0.27254141245130692</v>
      </c>
      <c r="S50">
        <v>0.37850104229019432</v>
      </c>
      <c r="T50">
        <v>0.21010587695743749</v>
      </c>
      <c r="U50">
        <v>0.18049885674679431</v>
      </c>
      <c r="V50">
        <v>0.28863709413292299</v>
      </c>
      <c r="W50">
        <v>0.550075702075702</v>
      </c>
      <c r="X50">
        <v>0.4177741147741148</v>
      </c>
      <c r="Y50">
        <v>0.70001587301587298</v>
      </c>
    </row>
    <row r="51" spans="1:25">
      <c r="A51" t="s">
        <v>91</v>
      </c>
      <c r="B51" t="s">
        <v>88</v>
      </c>
      <c r="C51" t="s">
        <v>65</v>
      </c>
      <c r="D51" t="s">
        <v>76</v>
      </c>
      <c r="E51">
        <v>0.21245274177407</v>
      </c>
      <c r="F51">
        <v>0.19196883828916059</v>
      </c>
      <c r="G51">
        <v>0.22791738569580891</v>
      </c>
      <c r="H51">
        <v>2.1737967223458501</v>
      </c>
      <c r="I51">
        <v>1.7691175225934139</v>
      </c>
      <c r="J51">
        <v>2.6985107848709342</v>
      </c>
      <c r="K51">
        <v>0.65837540564647234</v>
      </c>
      <c r="L51">
        <v>0.59876259901405615</v>
      </c>
      <c r="M51">
        <v>0.69890703537426069</v>
      </c>
      <c r="N51">
        <v>0.15139220802182049</v>
      </c>
      <c r="O51">
        <v>0.1035219448031459</v>
      </c>
      <c r="P51">
        <v>0.19377078597008821</v>
      </c>
      <c r="Q51">
        <v>0.32798252298557268</v>
      </c>
      <c r="R51">
        <v>0.28449392434612358</v>
      </c>
      <c r="S51">
        <v>0.36616278224939708</v>
      </c>
      <c r="T51">
        <v>0.18337236645857699</v>
      </c>
      <c r="U51">
        <v>0.1568549586181118</v>
      </c>
      <c r="V51">
        <v>0.20376737109384191</v>
      </c>
      <c r="W51">
        <v>0.64368986568986575</v>
      </c>
      <c r="X51">
        <v>0.53117216117216115</v>
      </c>
      <c r="Y51">
        <v>0.75894505494505493</v>
      </c>
    </row>
    <row r="52" spans="1:25">
      <c r="A52" t="s">
        <v>90</v>
      </c>
      <c r="B52" t="s">
        <v>88</v>
      </c>
      <c r="C52" t="s">
        <v>65</v>
      </c>
      <c r="D52" t="s">
        <v>74</v>
      </c>
      <c r="E52">
        <v>0.1856189714882038</v>
      </c>
      <c r="F52">
        <v>0.17994884454502699</v>
      </c>
      <c r="G52">
        <v>0.19031825519461559</v>
      </c>
      <c r="H52">
        <v>1.68390561925884</v>
      </c>
      <c r="I52">
        <v>1.587295762404807</v>
      </c>
      <c r="J52">
        <v>1.797507409803522</v>
      </c>
      <c r="K52">
        <v>0.62761442435820525</v>
      </c>
      <c r="L52">
        <v>0.59133094172480849</v>
      </c>
      <c r="M52">
        <v>0.66192508860446364</v>
      </c>
      <c r="N52">
        <v>0.14995261153912179</v>
      </c>
      <c r="O52">
        <v>8.5996533498715E-2</v>
      </c>
      <c r="P52">
        <v>0.20392394246212289</v>
      </c>
      <c r="Q52">
        <v>0.32593155845014748</v>
      </c>
      <c r="R52">
        <v>0.25993840694611797</v>
      </c>
      <c r="S52">
        <v>0.37758531292370823</v>
      </c>
      <c r="T52">
        <v>0.17523670232650931</v>
      </c>
      <c r="U52">
        <v>0.1373459189505864</v>
      </c>
      <c r="V52">
        <v>0.20328762070908291</v>
      </c>
      <c r="W52">
        <v>0.68932356532356531</v>
      </c>
      <c r="X52">
        <v>0.6487643467643468</v>
      </c>
      <c r="Y52">
        <v>0.80022832722832726</v>
      </c>
    </row>
    <row r="53" spans="1:25">
      <c r="A53" t="s">
        <v>91</v>
      </c>
      <c r="B53" t="s">
        <v>88</v>
      </c>
      <c r="C53" t="s">
        <v>78</v>
      </c>
      <c r="D53" t="s">
        <v>84</v>
      </c>
      <c r="E53">
        <v>0.2279043801117849</v>
      </c>
      <c r="F53">
        <v>0.21156077949930771</v>
      </c>
      <c r="G53">
        <v>0.2487794200124355</v>
      </c>
      <c r="H53">
        <v>2.1714152907085018</v>
      </c>
      <c r="I53">
        <v>1.832478363244896</v>
      </c>
      <c r="J53">
        <v>2.6640023094096552</v>
      </c>
      <c r="K53">
        <v>0.65686285044948323</v>
      </c>
      <c r="L53">
        <v>0.645547548928598</v>
      </c>
      <c r="M53">
        <v>0.66789347070737171</v>
      </c>
      <c r="N53">
        <v>0.18223170762660329</v>
      </c>
      <c r="O53">
        <v>0.1628879375905613</v>
      </c>
      <c r="P53">
        <v>0.20644960663430389</v>
      </c>
      <c r="Q53">
        <v>0.32522954737626131</v>
      </c>
      <c r="R53">
        <v>0.28055466521110189</v>
      </c>
      <c r="S53">
        <v>0.3711171561250865</v>
      </c>
      <c r="T53">
        <v>0.1987228310658947</v>
      </c>
      <c r="U53">
        <v>0.18829726300260341</v>
      </c>
      <c r="V53">
        <v>0.20865371444817599</v>
      </c>
      <c r="W53">
        <v>0.59755799755799766</v>
      </c>
      <c r="X53">
        <v>0.46423076923076928</v>
      </c>
      <c r="Y53">
        <v>0.73089743589743594</v>
      </c>
    </row>
    <row r="54" spans="1:25">
      <c r="A54" t="s">
        <v>90</v>
      </c>
      <c r="B54" t="s">
        <v>88</v>
      </c>
      <c r="C54" t="s">
        <v>78</v>
      </c>
      <c r="D54" t="s">
        <v>72</v>
      </c>
      <c r="E54">
        <v>0.21827960008304259</v>
      </c>
      <c r="F54">
        <v>0.17317241523427759</v>
      </c>
      <c r="G54">
        <v>0.28324141318525897</v>
      </c>
      <c r="H54">
        <v>2.6521590100049441</v>
      </c>
      <c r="I54">
        <v>1.849427388711095</v>
      </c>
      <c r="J54">
        <v>3.6551246558430259</v>
      </c>
      <c r="K54">
        <v>0.67918523115817009</v>
      </c>
      <c r="L54">
        <v>0.60066145736422649</v>
      </c>
      <c r="M54">
        <v>0.73264547097699095</v>
      </c>
      <c r="N54">
        <v>0.15606878581180089</v>
      </c>
      <c r="O54">
        <v>0.1222701505490304</v>
      </c>
      <c r="P54">
        <v>0.2028475670467548</v>
      </c>
      <c r="Q54">
        <v>0.32402598299907542</v>
      </c>
      <c r="R54">
        <v>0.26973161665354273</v>
      </c>
      <c r="S54">
        <v>0.39992289798678471</v>
      </c>
      <c r="T54">
        <v>0.17006991411003539</v>
      </c>
      <c r="U54">
        <v>0.15675219734739609</v>
      </c>
      <c r="V54">
        <v>0.17886482801413969</v>
      </c>
      <c r="W54">
        <v>0.4915897435897435</v>
      </c>
      <c r="X54">
        <v>0.33774114774114772</v>
      </c>
      <c r="Y54">
        <v>0.73130158730158734</v>
      </c>
    </row>
    <row r="55" spans="1:25">
      <c r="A55" t="s">
        <v>91</v>
      </c>
      <c r="B55" t="s">
        <v>86</v>
      </c>
      <c r="C55" t="s">
        <v>65</v>
      </c>
      <c r="D55" t="s">
        <v>80</v>
      </c>
      <c r="E55">
        <v>0.16067562429636001</v>
      </c>
      <c r="F55">
        <v>0.1519148839045083</v>
      </c>
      <c r="G55">
        <v>0.16871580092316879</v>
      </c>
      <c r="H55">
        <v>1.454143558771624</v>
      </c>
      <c r="I55">
        <v>1.4248380162679879</v>
      </c>
      <c r="J55">
        <v>1.4867903256275681</v>
      </c>
      <c r="K55">
        <v>0.55804547925504477</v>
      </c>
      <c r="L55">
        <v>0.52801358894884043</v>
      </c>
      <c r="M55">
        <v>0.58992362697910239</v>
      </c>
      <c r="N55">
        <v>0.12559213642879671</v>
      </c>
      <c r="O55">
        <v>7.1075740739813403E-2</v>
      </c>
      <c r="P55">
        <v>0.1617666014827126</v>
      </c>
      <c r="Q55">
        <v>0.32380378899855639</v>
      </c>
      <c r="R55">
        <v>0.29022888646868888</v>
      </c>
      <c r="S55">
        <v>0.3508540113165875</v>
      </c>
      <c r="T55">
        <v>0.159267627749861</v>
      </c>
      <c r="U55">
        <v>0.14783010663600779</v>
      </c>
      <c r="V55">
        <v>0.1677078786947192</v>
      </c>
      <c r="W55">
        <v>0.70268376068376059</v>
      </c>
      <c r="X55">
        <v>0.55824297924297916</v>
      </c>
      <c r="Y55">
        <v>0.83820879120879122</v>
      </c>
    </row>
    <row r="56" spans="1:25">
      <c r="A56" t="s">
        <v>91</v>
      </c>
      <c r="B56" t="s">
        <v>85</v>
      </c>
      <c r="C56" t="s">
        <v>77</v>
      </c>
      <c r="D56" t="s">
        <v>80</v>
      </c>
      <c r="E56">
        <v>0.26969680081496988</v>
      </c>
      <c r="F56">
        <v>0.24361882490174269</v>
      </c>
      <c r="G56">
        <v>0.2883087021964415</v>
      </c>
      <c r="H56">
        <v>3.5824371814623421</v>
      </c>
      <c r="I56">
        <v>3.0087819081199769</v>
      </c>
      <c r="J56">
        <v>4.7215487323935088</v>
      </c>
      <c r="K56">
        <v>0.73961985191723767</v>
      </c>
      <c r="L56">
        <v>0.68607659275555155</v>
      </c>
      <c r="M56">
        <v>0.7672368818807308</v>
      </c>
      <c r="N56">
        <v>0.19620846381842841</v>
      </c>
      <c r="O56">
        <v>0.1532409982645245</v>
      </c>
      <c r="P56">
        <v>0.22921157456636559</v>
      </c>
      <c r="Q56">
        <v>0.32353634281028232</v>
      </c>
      <c r="R56">
        <v>0.26090725378628959</v>
      </c>
      <c r="S56">
        <v>0.3932885297663854</v>
      </c>
      <c r="T56">
        <v>0.20939248875704419</v>
      </c>
      <c r="U56">
        <v>0.1913852883644733</v>
      </c>
      <c r="V56">
        <v>0.2260015335997769</v>
      </c>
      <c r="W56">
        <v>0.52573870573870574</v>
      </c>
      <c r="X56">
        <v>0.29493894993894992</v>
      </c>
      <c r="Y56">
        <v>0.7482478632478633</v>
      </c>
    </row>
    <row r="57" spans="1:25">
      <c r="A57" t="s">
        <v>91</v>
      </c>
      <c r="B57" t="s">
        <v>79</v>
      </c>
      <c r="C57" t="s">
        <v>65</v>
      </c>
      <c r="D57" t="s">
        <v>80</v>
      </c>
      <c r="E57">
        <v>0.1695688968684875</v>
      </c>
      <c r="F57">
        <v>0.1517659207342914</v>
      </c>
      <c r="G57">
        <v>0.1885523742594723</v>
      </c>
      <c r="H57">
        <v>1.64610204107753</v>
      </c>
      <c r="I57">
        <v>1.5008257240105241</v>
      </c>
      <c r="J57">
        <v>1.7513692726633521</v>
      </c>
      <c r="K57">
        <v>0.60791696172591314</v>
      </c>
      <c r="L57">
        <v>0.5835962476446771</v>
      </c>
      <c r="M57">
        <v>0.62322084272252021</v>
      </c>
      <c r="N57">
        <v>0.14489458666997321</v>
      </c>
      <c r="O57">
        <v>0.1095954870591145</v>
      </c>
      <c r="P57">
        <v>0.17753836140748541</v>
      </c>
      <c r="Q57">
        <v>0.32048055717248569</v>
      </c>
      <c r="R57">
        <v>0.29216355290020529</v>
      </c>
      <c r="S57">
        <v>0.35050467795093171</v>
      </c>
      <c r="T57">
        <v>0.176802352076913</v>
      </c>
      <c r="U57">
        <v>0.16274700132807099</v>
      </c>
      <c r="V57">
        <v>0.1884480245601291</v>
      </c>
      <c r="W57">
        <v>0.63007081807081811</v>
      </c>
      <c r="X57">
        <v>0.49931013431013438</v>
      </c>
      <c r="Y57">
        <v>0.81477899877899873</v>
      </c>
    </row>
    <row r="58" spans="1:25">
      <c r="A58" t="s">
        <v>90</v>
      </c>
      <c r="B58" t="s">
        <v>88</v>
      </c>
      <c r="C58" t="s">
        <v>65</v>
      </c>
      <c r="D58" t="s">
        <v>76</v>
      </c>
      <c r="E58">
        <v>0.20932504673586949</v>
      </c>
      <c r="F58">
        <v>0.17092051058296459</v>
      </c>
      <c r="G58">
        <v>0.2261163757313899</v>
      </c>
      <c r="H58">
        <v>2.1740125433096611</v>
      </c>
      <c r="I58">
        <v>1.8303866377327209</v>
      </c>
      <c r="J58">
        <v>2.5569807517412859</v>
      </c>
      <c r="K58">
        <v>0.62799846704692874</v>
      </c>
      <c r="L58">
        <v>0.6135184987539799</v>
      </c>
      <c r="M58">
        <v>0.64590215726893174</v>
      </c>
      <c r="N58">
        <v>0.12760189719421719</v>
      </c>
      <c r="O58">
        <v>5.8876979724766902E-2</v>
      </c>
      <c r="P58">
        <v>0.1915792745944907</v>
      </c>
      <c r="Q58">
        <v>0.31983798357256499</v>
      </c>
      <c r="R58">
        <v>0.28235046610663439</v>
      </c>
      <c r="S58">
        <v>0.3713561837127608</v>
      </c>
      <c r="T58">
        <v>0.1894979476349119</v>
      </c>
      <c r="U58">
        <v>0.15326241887319381</v>
      </c>
      <c r="V58">
        <v>0.21399505350718639</v>
      </c>
      <c r="W58">
        <v>0.62011965811965819</v>
      </c>
      <c r="X58">
        <v>0.48310989010989008</v>
      </c>
      <c r="Y58">
        <v>0.74335775335775334</v>
      </c>
    </row>
    <row r="59" spans="1:25">
      <c r="A59" t="s">
        <v>90</v>
      </c>
      <c r="B59" t="s">
        <v>88</v>
      </c>
      <c r="C59" t="s">
        <v>77</v>
      </c>
      <c r="D59" t="s">
        <v>75</v>
      </c>
      <c r="E59">
        <v>0.2307953389017964</v>
      </c>
      <c r="F59">
        <v>0.19480607290949409</v>
      </c>
      <c r="G59">
        <v>0.26204414879193422</v>
      </c>
      <c r="H59">
        <v>2.078149596213001</v>
      </c>
      <c r="I59">
        <v>1.7916458785788241</v>
      </c>
      <c r="J59">
        <v>2.3516284656444291</v>
      </c>
      <c r="K59">
        <v>0.61226326832512112</v>
      </c>
      <c r="L59">
        <v>0.57564698901369316</v>
      </c>
      <c r="M59">
        <v>0.63214189522993214</v>
      </c>
      <c r="N59">
        <v>0.17409725891304731</v>
      </c>
      <c r="O59">
        <v>0.1248439023028597</v>
      </c>
      <c r="P59">
        <v>0.205341134103355</v>
      </c>
      <c r="Q59">
        <v>0.31857637002713429</v>
      </c>
      <c r="R59">
        <v>0.29118389049680621</v>
      </c>
      <c r="S59">
        <v>0.3799794965001731</v>
      </c>
      <c r="T59">
        <v>0.2212126045007837</v>
      </c>
      <c r="U59">
        <v>0.17441106394356881</v>
      </c>
      <c r="V59">
        <v>0.27373314287478878</v>
      </c>
      <c r="W59">
        <v>0.61758241758241761</v>
      </c>
      <c r="X59">
        <v>0.49260683760683749</v>
      </c>
      <c r="Y59">
        <v>0.72467032967032974</v>
      </c>
    </row>
    <row r="60" spans="1:25">
      <c r="A60" t="s">
        <v>91</v>
      </c>
      <c r="B60" t="s">
        <v>88</v>
      </c>
      <c r="C60" t="s">
        <v>78</v>
      </c>
      <c r="D60" t="s">
        <v>81</v>
      </c>
      <c r="E60">
        <v>0.23882095525391139</v>
      </c>
      <c r="F60">
        <v>0.2091146606956559</v>
      </c>
      <c r="G60">
        <v>0.26767313715779101</v>
      </c>
      <c r="H60">
        <v>2.8271523923326418</v>
      </c>
      <c r="I60">
        <v>2.2496631209147542</v>
      </c>
      <c r="J60">
        <v>3.330814496814321</v>
      </c>
      <c r="K60">
        <v>0.63642313093118885</v>
      </c>
      <c r="L60">
        <v>0.62033006170083982</v>
      </c>
      <c r="M60">
        <v>0.66560478317899618</v>
      </c>
      <c r="N60">
        <v>0.17649735770383959</v>
      </c>
      <c r="O60">
        <v>8.5729015058002997E-2</v>
      </c>
      <c r="P60">
        <v>0.25120110538242818</v>
      </c>
      <c r="Q60">
        <v>0.31849713188208661</v>
      </c>
      <c r="R60">
        <v>0.25324758953071169</v>
      </c>
      <c r="S60">
        <v>0.38070235172446198</v>
      </c>
      <c r="T60">
        <v>0.22359409349570711</v>
      </c>
      <c r="U60">
        <v>0.14406573729860331</v>
      </c>
      <c r="V60">
        <v>0.31525511293669861</v>
      </c>
      <c r="W60">
        <v>0.5679120879120878</v>
      </c>
      <c r="X60">
        <v>0.49387545787545789</v>
      </c>
      <c r="Y60">
        <v>0.61969474969474969</v>
      </c>
    </row>
    <row r="61" spans="1:25">
      <c r="A61" t="s">
        <v>91</v>
      </c>
      <c r="B61" t="s">
        <v>86</v>
      </c>
      <c r="C61" t="s">
        <v>78</v>
      </c>
      <c r="D61" t="s">
        <v>81</v>
      </c>
      <c r="E61">
        <v>0.22589024366361771</v>
      </c>
      <c r="F61">
        <v>0.17655311386469619</v>
      </c>
      <c r="G61">
        <v>0.2725279654173165</v>
      </c>
      <c r="H61">
        <v>3.0199174493865661</v>
      </c>
      <c r="I61">
        <v>1.905092833865657</v>
      </c>
      <c r="J61">
        <v>4.3901167549915936</v>
      </c>
      <c r="K61">
        <v>0.65038637390012655</v>
      </c>
      <c r="L61">
        <v>0.62221109434908672</v>
      </c>
      <c r="M61">
        <v>0.6647772981054707</v>
      </c>
      <c r="N61">
        <v>0.15718674081890199</v>
      </c>
      <c r="O61">
        <v>7.90408085768015E-2</v>
      </c>
      <c r="P61">
        <v>0.23548095482862499</v>
      </c>
      <c r="Q61">
        <v>0.31722221843168008</v>
      </c>
      <c r="R61">
        <v>0.1653278373432488</v>
      </c>
      <c r="S61">
        <v>0.39716551581230541</v>
      </c>
      <c r="T61">
        <v>0.1927784965668653</v>
      </c>
      <c r="U61">
        <v>0.16618733917864351</v>
      </c>
      <c r="V61">
        <v>0.256176134306843</v>
      </c>
      <c r="W61">
        <v>0.62032967032967035</v>
      </c>
      <c r="X61">
        <v>0.343076923076923</v>
      </c>
      <c r="Y61">
        <v>0.80113675213675206</v>
      </c>
    </row>
    <row r="62" spans="1:25">
      <c r="A62" t="s">
        <v>91</v>
      </c>
      <c r="B62" t="s">
        <v>86</v>
      </c>
      <c r="C62" t="s">
        <v>78</v>
      </c>
      <c r="D62" t="s">
        <v>83</v>
      </c>
      <c r="E62">
        <v>0.22624753955049259</v>
      </c>
      <c r="F62">
        <v>0.18470484879635349</v>
      </c>
      <c r="G62">
        <v>0.2525647251009791</v>
      </c>
      <c r="H62">
        <v>2.2177115117384218</v>
      </c>
      <c r="I62">
        <v>1.5423613263405489</v>
      </c>
      <c r="J62">
        <v>3.1482093302560772</v>
      </c>
      <c r="K62">
        <v>0.5439400460075362</v>
      </c>
      <c r="L62">
        <v>0.49824165293268069</v>
      </c>
      <c r="M62">
        <v>0.58470655530277127</v>
      </c>
      <c r="N62">
        <v>0.15524598541439871</v>
      </c>
      <c r="O62">
        <v>9.6860746710502807E-2</v>
      </c>
      <c r="P62">
        <v>0.19143903939380469</v>
      </c>
      <c r="Q62">
        <v>0.31188631580711562</v>
      </c>
      <c r="R62">
        <v>0.2676787173257783</v>
      </c>
      <c r="S62">
        <v>0.34976397122260472</v>
      </c>
      <c r="T62">
        <v>0.19130321971122549</v>
      </c>
      <c r="U62">
        <v>0.14691251492065999</v>
      </c>
      <c r="V62">
        <v>0.22704397328260961</v>
      </c>
      <c r="W62">
        <v>0.59439560439560446</v>
      </c>
      <c r="X62">
        <v>0.48573626373626377</v>
      </c>
      <c r="Y62">
        <v>0.72478632478632476</v>
      </c>
    </row>
    <row r="63" spans="1:25">
      <c r="A63" t="s">
        <v>91</v>
      </c>
      <c r="B63" t="s">
        <v>87</v>
      </c>
      <c r="C63" t="s">
        <v>78</v>
      </c>
      <c r="D63" t="s">
        <v>83</v>
      </c>
      <c r="E63">
        <v>0.1960837926750269</v>
      </c>
      <c r="F63">
        <v>0.18578937685351221</v>
      </c>
      <c r="G63">
        <v>0.2057980839918066</v>
      </c>
      <c r="H63">
        <v>1.576354639572018</v>
      </c>
      <c r="I63">
        <v>1.455802877622582</v>
      </c>
      <c r="J63">
        <v>1.6497292159070029</v>
      </c>
      <c r="K63">
        <v>0.50553113455611487</v>
      </c>
      <c r="L63">
        <v>0.4885947406221034</v>
      </c>
      <c r="M63">
        <v>0.53431908189629418</v>
      </c>
      <c r="N63">
        <v>9.0260173238651598E-2</v>
      </c>
      <c r="O63">
        <v>-5.8290474511317001E-3</v>
      </c>
      <c r="P63">
        <v>0.1546380929186785</v>
      </c>
      <c r="Q63">
        <v>0.31164715777552188</v>
      </c>
      <c r="R63">
        <v>0.29168905613337542</v>
      </c>
      <c r="S63">
        <v>0.32797796632443599</v>
      </c>
      <c r="T63">
        <v>0.18456553666179859</v>
      </c>
      <c r="U63">
        <v>0.16044763544197499</v>
      </c>
      <c r="V63">
        <v>0.2086323658564494</v>
      </c>
      <c r="W63">
        <v>0.68152380952380953</v>
      </c>
      <c r="X63">
        <v>0.60629059829059828</v>
      </c>
      <c r="Y63">
        <v>0.76043956043956051</v>
      </c>
    </row>
    <row r="64" spans="1:25">
      <c r="A64" t="s">
        <v>90</v>
      </c>
      <c r="B64" t="s">
        <v>88</v>
      </c>
      <c r="C64" t="s">
        <v>77</v>
      </c>
      <c r="D64" t="s">
        <v>72</v>
      </c>
      <c r="E64">
        <v>0.18037591688233309</v>
      </c>
      <c r="F64">
        <v>0.15284457398271839</v>
      </c>
      <c r="G64">
        <v>0.20648614008691751</v>
      </c>
      <c r="H64">
        <v>1.6807667179950949</v>
      </c>
      <c r="I64">
        <v>1.4276491193229901</v>
      </c>
      <c r="J64">
        <v>1.8138595030051829</v>
      </c>
      <c r="K64">
        <v>0.64704349281769546</v>
      </c>
      <c r="L64">
        <v>0.59855211624213511</v>
      </c>
      <c r="M64">
        <v>0.69688243900567304</v>
      </c>
      <c r="N64">
        <v>0.14876424109172401</v>
      </c>
      <c r="O64">
        <v>0.1194845787360054</v>
      </c>
      <c r="P64">
        <v>0.18081671732614699</v>
      </c>
      <c r="Q64">
        <v>0.3112090842637133</v>
      </c>
      <c r="R64">
        <v>0.2228810304473571</v>
      </c>
      <c r="S64">
        <v>0.35511032308593388</v>
      </c>
      <c r="T64">
        <v>0.17547044735201431</v>
      </c>
      <c r="U64">
        <v>0.1116837188654948</v>
      </c>
      <c r="V64">
        <v>0.2788447047539992</v>
      </c>
      <c r="W64">
        <v>0.62796092796092784</v>
      </c>
      <c r="X64">
        <v>0.42912698412698408</v>
      </c>
      <c r="Y64">
        <v>0.76691086691086696</v>
      </c>
    </row>
    <row r="65" spans="1:25">
      <c r="A65" t="s">
        <v>91</v>
      </c>
      <c r="B65" t="s">
        <v>85</v>
      </c>
      <c r="C65" t="s">
        <v>65</v>
      </c>
      <c r="D65" t="s">
        <v>83</v>
      </c>
      <c r="E65">
        <v>0.1855549485721702</v>
      </c>
      <c r="F65">
        <v>0.16777765123772559</v>
      </c>
      <c r="G65">
        <v>0.19463507262533261</v>
      </c>
      <c r="H65">
        <v>1.8478395115792581</v>
      </c>
      <c r="I65">
        <v>1.578573841666169</v>
      </c>
      <c r="J65">
        <v>2.201740071180236</v>
      </c>
      <c r="K65">
        <v>0.57294720639051067</v>
      </c>
      <c r="L65">
        <v>0.55388390626808603</v>
      </c>
      <c r="M65">
        <v>0.61166476400861625</v>
      </c>
      <c r="N65">
        <v>0.13696423026028001</v>
      </c>
      <c r="O65">
        <v>0.10197556485233129</v>
      </c>
      <c r="P65">
        <v>0.168292841855368</v>
      </c>
      <c r="Q65">
        <v>0.30806793474302901</v>
      </c>
      <c r="R65">
        <v>0.27319550884417781</v>
      </c>
      <c r="S65">
        <v>0.3249467600759261</v>
      </c>
      <c r="T65">
        <v>0.17506352905504821</v>
      </c>
      <c r="U65">
        <v>0.16306201403832229</v>
      </c>
      <c r="V65">
        <v>0.18215100369253931</v>
      </c>
      <c r="W65">
        <v>0.65136752136752141</v>
      </c>
      <c r="X65">
        <v>0.4602930402930403</v>
      </c>
      <c r="Y65">
        <v>0.78859829059829067</v>
      </c>
    </row>
    <row r="66" spans="1:25">
      <c r="A66" t="s">
        <v>91</v>
      </c>
      <c r="B66" t="s">
        <v>85</v>
      </c>
      <c r="C66" t="s">
        <v>65</v>
      </c>
      <c r="D66" t="s">
        <v>80</v>
      </c>
      <c r="E66">
        <v>0.1587618352004275</v>
      </c>
      <c r="F66">
        <v>0.1505930267334783</v>
      </c>
      <c r="G66">
        <v>0.17007800752824731</v>
      </c>
      <c r="H66">
        <v>1.427674307653376</v>
      </c>
      <c r="I66">
        <v>1.3614552556380439</v>
      </c>
      <c r="J66">
        <v>1.4742519461224981</v>
      </c>
      <c r="K66">
        <v>0.54706792230291246</v>
      </c>
      <c r="L66">
        <v>0.51040374597154758</v>
      </c>
      <c r="M66">
        <v>0.58401546532997317</v>
      </c>
      <c r="N66">
        <v>0.1066313877635694</v>
      </c>
      <c r="O66">
        <v>5.1195260364432199E-2</v>
      </c>
      <c r="P66">
        <v>0.15492684601088241</v>
      </c>
      <c r="Q66">
        <v>0.30778256228874629</v>
      </c>
      <c r="R66">
        <v>0.2554377581128297</v>
      </c>
      <c r="S66">
        <v>0.3507069508165902</v>
      </c>
      <c r="T66">
        <v>0.1533301331168738</v>
      </c>
      <c r="U66">
        <v>0.1397785616759229</v>
      </c>
      <c r="V66">
        <v>0.16775673496413129</v>
      </c>
      <c r="W66">
        <v>0.66457387057387052</v>
      </c>
      <c r="X66">
        <v>0.47910012210012209</v>
      </c>
      <c r="Y66">
        <v>0.83258241758241758</v>
      </c>
    </row>
    <row r="67" spans="1:25">
      <c r="A67" t="s">
        <v>91</v>
      </c>
      <c r="B67" t="s">
        <v>86</v>
      </c>
      <c r="C67" t="s">
        <v>65</v>
      </c>
      <c r="D67" t="s">
        <v>83</v>
      </c>
      <c r="E67">
        <v>0.18737057020819201</v>
      </c>
      <c r="F67">
        <v>0.1729157704026775</v>
      </c>
      <c r="G67">
        <v>0.19901058219068729</v>
      </c>
      <c r="H67">
        <v>1.865376050918224</v>
      </c>
      <c r="I67">
        <v>1.6119607055572731</v>
      </c>
      <c r="J67">
        <v>2.2030670088323752</v>
      </c>
      <c r="K67">
        <v>0.57104772023277106</v>
      </c>
      <c r="L67">
        <v>0.55816479144176268</v>
      </c>
      <c r="M67">
        <v>0.60160677760988035</v>
      </c>
      <c r="N67">
        <v>0.13289862933838609</v>
      </c>
      <c r="O67">
        <v>8.0822036872968503E-2</v>
      </c>
      <c r="P67">
        <v>0.15724569436791799</v>
      </c>
      <c r="Q67">
        <v>0.30473587000369479</v>
      </c>
      <c r="R67">
        <v>0.26233362824778528</v>
      </c>
      <c r="S67">
        <v>0.32410491375160499</v>
      </c>
      <c r="T67">
        <v>0.17163401961662911</v>
      </c>
      <c r="U67">
        <v>0.1568979790128722</v>
      </c>
      <c r="V67">
        <v>0.1822145912379895</v>
      </c>
      <c r="W67">
        <v>0.67838339438339434</v>
      </c>
      <c r="X67">
        <v>0.55415018315018305</v>
      </c>
      <c r="Y67">
        <v>0.78759829059829067</v>
      </c>
    </row>
    <row r="68" spans="1:25">
      <c r="A68" t="s">
        <v>91</v>
      </c>
      <c r="B68" t="s">
        <v>79</v>
      </c>
      <c r="C68" t="s">
        <v>77</v>
      </c>
      <c r="D68" t="s">
        <v>83</v>
      </c>
      <c r="E68">
        <v>0.22171414143402521</v>
      </c>
      <c r="F68">
        <v>0.16716660530001931</v>
      </c>
      <c r="G68">
        <v>0.26215897477189509</v>
      </c>
      <c r="H68">
        <v>2.134194165375511</v>
      </c>
      <c r="I68">
        <v>1.3357096084150459</v>
      </c>
      <c r="J68">
        <v>3.309762328650105</v>
      </c>
      <c r="K68">
        <v>0.54835119885124783</v>
      </c>
      <c r="L68">
        <v>0.4695702712300216</v>
      </c>
      <c r="M68">
        <v>0.62389912663255276</v>
      </c>
      <c r="N68">
        <v>0.12598590770214979</v>
      </c>
      <c r="O68">
        <v>7.6926940476020694E-2</v>
      </c>
      <c r="P68">
        <v>0.17172544718969129</v>
      </c>
      <c r="Q68">
        <v>0.30414194087352558</v>
      </c>
      <c r="R68">
        <v>0.27300846158494418</v>
      </c>
      <c r="S68">
        <v>0.34352929467341697</v>
      </c>
      <c r="T68">
        <v>0.1920003518462991</v>
      </c>
      <c r="U68">
        <v>0.1665077784470666</v>
      </c>
      <c r="V68">
        <v>0.21291320732485261</v>
      </c>
      <c r="W68">
        <v>0.54571428571428571</v>
      </c>
      <c r="X68">
        <v>0.4237912087912088</v>
      </c>
      <c r="Y68">
        <v>0.77463369963369966</v>
      </c>
    </row>
    <row r="69" spans="1:25">
      <c r="A69" t="s">
        <v>91</v>
      </c>
      <c r="B69" t="s">
        <v>85</v>
      </c>
      <c r="C69" t="s">
        <v>78</v>
      </c>
      <c r="D69" t="s">
        <v>83</v>
      </c>
      <c r="E69">
        <v>0.21941233758323639</v>
      </c>
      <c r="F69">
        <v>0.17680042402222951</v>
      </c>
      <c r="G69">
        <v>0.26061286091089542</v>
      </c>
      <c r="H69">
        <v>2.3068517050517938</v>
      </c>
      <c r="I69">
        <v>1.5835714671633969</v>
      </c>
      <c r="J69">
        <v>3.3552355526934901</v>
      </c>
      <c r="K69">
        <v>0.58064020691481377</v>
      </c>
      <c r="L69">
        <v>0.52356195309682496</v>
      </c>
      <c r="M69">
        <v>0.61979560777505138</v>
      </c>
      <c r="N69">
        <v>0.1580345302664059</v>
      </c>
      <c r="O69">
        <v>0.1020185421869293</v>
      </c>
      <c r="P69">
        <v>0.2398342716107309</v>
      </c>
      <c r="Q69">
        <v>0.30112567914530558</v>
      </c>
      <c r="R69">
        <v>0.2644171835805042</v>
      </c>
      <c r="S69">
        <v>0.38149929289566969</v>
      </c>
      <c r="T69">
        <v>0.20980047456291029</v>
      </c>
      <c r="U69">
        <v>0.1698581254354323</v>
      </c>
      <c r="V69">
        <v>0.28103243361256708</v>
      </c>
      <c r="W69">
        <v>0.5749963369963369</v>
      </c>
      <c r="X69">
        <v>0.37428815628815632</v>
      </c>
      <c r="Y69">
        <v>0.66435409035409032</v>
      </c>
    </row>
    <row r="70" spans="1:25">
      <c r="A70" t="s">
        <v>91</v>
      </c>
      <c r="B70" t="s">
        <v>85</v>
      </c>
      <c r="C70" t="s">
        <v>77</v>
      </c>
      <c r="D70" t="s">
        <v>83</v>
      </c>
      <c r="E70">
        <v>0.2120816377832308</v>
      </c>
      <c r="F70">
        <v>0.17144258731449219</v>
      </c>
      <c r="G70">
        <v>0.23711691651398659</v>
      </c>
      <c r="H70">
        <v>1.740139506798831</v>
      </c>
      <c r="I70">
        <v>1.4141431766451871</v>
      </c>
      <c r="J70">
        <v>1.942872833660124</v>
      </c>
      <c r="K70">
        <v>0.54001383037685202</v>
      </c>
      <c r="L70">
        <v>0.50063691780500141</v>
      </c>
      <c r="M70">
        <v>0.57350265604073114</v>
      </c>
      <c r="N70">
        <v>0.1295191107315542</v>
      </c>
      <c r="O70">
        <v>9.4630969339661697E-2</v>
      </c>
      <c r="P70">
        <v>0.143609247217339</v>
      </c>
      <c r="Q70">
        <v>0.30019605497089619</v>
      </c>
      <c r="R70">
        <v>0.27157517451398111</v>
      </c>
      <c r="S70">
        <v>0.3545176950820893</v>
      </c>
      <c r="T70">
        <v>0.1985020421217783</v>
      </c>
      <c r="U70">
        <v>0.18044955550837641</v>
      </c>
      <c r="V70">
        <v>0.22232585913620739</v>
      </c>
      <c r="W70">
        <v>0.55244200244200248</v>
      </c>
      <c r="X70">
        <v>0.33865079365079359</v>
      </c>
      <c r="Y70">
        <v>0.71540903540903533</v>
      </c>
    </row>
    <row r="71" spans="1:25">
      <c r="A71" t="s">
        <v>91</v>
      </c>
      <c r="B71" t="s">
        <v>86</v>
      </c>
      <c r="C71" t="s">
        <v>65</v>
      </c>
      <c r="D71" t="s">
        <v>76</v>
      </c>
      <c r="E71">
        <v>0.1888351384704467</v>
      </c>
      <c r="F71">
        <v>0.17759018876171781</v>
      </c>
      <c r="G71">
        <v>0.20069371341388109</v>
      </c>
      <c r="H71">
        <v>1.5860982137114781</v>
      </c>
      <c r="I71">
        <v>1.5374487921904441</v>
      </c>
      <c r="J71">
        <v>1.6397636935421669</v>
      </c>
      <c r="K71">
        <v>0.57149670916646111</v>
      </c>
      <c r="L71">
        <v>0.55685770214057984</v>
      </c>
      <c r="M71">
        <v>0.59333082073583165</v>
      </c>
      <c r="N71">
        <v>0.13881711962756799</v>
      </c>
      <c r="O71">
        <v>0.11985053227293301</v>
      </c>
      <c r="P71">
        <v>0.15632274558924411</v>
      </c>
      <c r="Q71">
        <v>0.29962535237565541</v>
      </c>
      <c r="R71">
        <v>0.2426755551448006</v>
      </c>
      <c r="S71">
        <v>0.34863536592671468</v>
      </c>
      <c r="T71">
        <v>0.18173942224762701</v>
      </c>
      <c r="U71">
        <v>0.16498030310249409</v>
      </c>
      <c r="V71">
        <v>0.2085142242309089</v>
      </c>
      <c r="W71">
        <v>0.67722832722832726</v>
      </c>
      <c r="X71">
        <v>0.56869230769230761</v>
      </c>
      <c r="Y71">
        <v>0.75889865689865688</v>
      </c>
    </row>
    <row r="72" spans="1:25">
      <c r="A72" t="s">
        <v>91</v>
      </c>
      <c r="B72" t="s">
        <v>79</v>
      </c>
      <c r="C72" t="s">
        <v>65</v>
      </c>
      <c r="D72" t="s">
        <v>81</v>
      </c>
      <c r="E72">
        <v>0.18513656210924689</v>
      </c>
      <c r="F72">
        <v>0.16427766931009319</v>
      </c>
      <c r="G72">
        <v>0.22544911525113789</v>
      </c>
      <c r="H72">
        <v>1.5340004466881001</v>
      </c>
      <c r="I72">
        <v>1.412470355296886</v>
      </c>
      <c r="J72">
        <v>1.7493064919012049</v>
      </c>
      <c r="K72">
        <v>0.56275502020364265</v>
      </c>
      <c r="L72">
        <v>0.55842966806156935</v>
      </c>
      <c r="M72">
        <v>0.56938605485249016</v>
      </c>
      <c r="N72">
        <v>0.11621244897090729</v>
      </c>
      <c r="O72">
        <v>9.2173705508748205E-2</v>
      </c>
      <c r="P72">
        <v>0.15528924299268199</v>
      </c>
      <c r="Q72">
        <v>0.29901410221301972</v>
      </c>
      <c r="R72">
        <v>0.28029881942135959</v>
      </c>
      <c r="S72">
        <v>0.34402034433630868</v>
      </c>
      <c r="T72">
        <v>0.1803680151742158</v>
      </c>
      <c r="U72">
        <v>0.15551660772484571</v>
      </c>
      <c r="V72">
        <v>0.20977774093232859</v>
      </c>
      <c r="W72">
        <v>0.79338461538461535</v>
      </c>
      <c r="X72">
        <v>0.76376923076923076</v>
      </c>
      <c r="Y72">
        <v>0.8478461538461538</v>
      </c>
    </row>
    <row r="73" spans="1:25">
      <c r="A73" t="s">
        <v>91</v>
      </c>
      <c r="B73" t="s">
        <v>88</v>
      </c>
      <c r="C73" t="s">
        <v>77</v>
      </c>
      <c r="D73" t="s">
        <v>81</v>
      </c>
      <c r="E73">
        <v>0.23712245001713991</v>
      </c>
      <c r="F73">
        <v>0.19434374654278219</v>
      </c>
      <c r="G73">
        <v>0.27125739957751338</v>
      </c>
      <c r="H73">
        <v>2.8924967302207758</v>
      </c>
      <c r="I73">
        <v>2.1688021724144839</v>
      </c>
      <c r="J73">
        <v>3.4849035286939838</v>
      </c>
      <c r="K73">
        <v>0.63917190998691409</v>
      </c>
      <c r="L73">
        <v>0.61581293237283374</v>
      </c>
      <c r="M73">
        <v>0.66719789732475698</v>
      </c>
      <c r="N73">
        <v>0.18506348681196</v>
      </c>
      <c r="O73">
        <v>0.14492881181908451</v>
      </c>
      <c r="P73">
        <v>0.23921389372728419</v>
      </c>
      <c r="Q73">
        <v>0.29761572803638148</v>
      </c>
      <c r="R73">
        <v>0.22973532142499131</v>
      </c>
      <c r="S73">
        <v>0.38242266946906811</v>
      </c>
      <c r="T73">
        <v>0.24479927472954799</v>
      </c>
      <c r="U73">
        <v>0.19021226142278769</v>
      </c>
      <c r="V73">
        <v>0.29078374225944559</v>
      </c>
      <c r="W73">
        <v>0.52945054945054948</v>
      </c>
      <c r="X73">
        <v>0.39835164835164838</v>
      </c>
      <c r="Y73">
        <v>0.63437118437118445</v>
      </c>
    </row>
    <row r="74" spans="1:25">
      <c r="A74" t="s">
        <v>91</v>
      </c>
      <c r="B74" t="s">
        <v>87</v>
      </c>
      <c r="C74" t="s">
        <v>65</v>
      </c>
      <c r="D74" t="s">
        <v>81</v>
      </c>
      <c r="E74">
        <v>0.2312880279678077</v>
      </c>
      <c r="F74">
        <v>0.19324793536690429</v>
      </c>
      <c r="G74">
        <v>0.27461771878180091</v>
      </c>
      <c r="H74">
        <v>2.9166469633250749</v>
      </c>
      <c r="I74">
        <v>2.0492839359632309</v>
      </c>
      <c r="J74">
        <v>4.1312344507352474</v>
      </c>
      <c r="K74">
        <v>0.67126234820025077</v>
      </c>
      <c r="L74">
        <v>0.66028926669630272</v>
      </c>
      <c r="M74">
        <v>0.69466638128042946</v>
      </c>
      <c r="N74">
        <v>0.14429927112743129</v>
      </c>
      <c r="O74">
        <v>9.2828318743050003E-2</v>
      </c>
      <c r="P74">
        <v>0.25136106808485831</v>
      </c>
      <c r="Q74">
        <v>0.29716943035674848</v>
      </c>
      <c r="R74">
        <v>0.24583506027545191</v>
      </c>
      <c r="S74">
        <v>0.39209553213011228</v>
      </c>
      <c r="T74">
        <v>0.20137620688537691</v>
      </c>
      <c r="U74">
        <v>0.1594531420228098</v>
      </c>
      <c r="V74">
        <v>0.28012333718912669</v>
      </c>
      <c r="W74">
        <v>0.62785347985347983</v>
      </c>
      <c r="X74">
        <v>0.5935054945054945</v>
      </c>
      <c r="Y74">
        <v>0.70149450549450554</v>
      </c>
    </row>
    <row r="75" spans="1:25">
      <c r="A75" t="s">
        <v>91</v>
      </c>
      <c r="B75" t="s">
        <v>85</v>
      </c>
      <c r="C75" t="s">
        <v>78</v>
      </c>
      <c r="D75" t="s">
        <v>82</v>
      </c>
      <c r="E75">
        <v>0.19707588629615719</v>
      </c>
      <c r="F75">
        <v>0.18429412728939609</v>
      </c>
      <c r="G75">
        <v>0.21061351216034499</v>
      </c>
      <c r="H75">
        <v>1.750597346360742</v>
      </c>
      <c r="I75">
        <v>1.60961104445868</v>
      </c>
      <c r="J75">
        <v>1.9371566803995071</v>
      </c>
      <c r="K75">
        <v>0.5977941858052761</v>
      </c>
      <c r="L75">
        <v>0.57923634400406432</v>
      </c>
      <c r="M75">
        <v>0.61645005692795396</v>
      </c>
      <c r="N75">
        <v>0.1237692271044291</v>
      </c>
      <c r="O75">
        <v>9.9123304286766994E-2</v>
      </c>
      <c r="P75">
        <v>0.14324831516025821</v>
      </c>
      <c r="Q75">
        <v>0.29691287145985767</v>
      </c>
      <c r="R75">
        <v>0.2275852269306575</v>
      </c>
      <c r="S75">
        <v>0.33319456820147619</v>
      </c>
      <c r="T75">
        <v>0.15569056789352689</v>
      </c>
      <c r="U75">
        <v>0.14934892307127581</v>
      </c>
      <c r="V75">
        <v>0.16473356308775849</v>
      </c>
      <c r="W75">
        <v>0.54024908424908424</v>
      </c>
      <c r="X75">
        <v>0.30082905982905978</v>
      </c>
      <c r="Y75">
        <v>0.6907692307692308</v>
      </c>
    </row>
    <row r="76" spans="1:25">
      <c r="A76" t="s">
        <v>91</v>
      </c>
      <c r="B76" t="s">
        <v>85</v>
      </c>
      <c r="C76" t="s">
        <v>78</v>
      </c>
      <c r="D76" t="s">
        <v>81</v>
      </c>
      <c r="E76">
        <v>0.220964734543459</v>
      </c>
      <c r="F76">
        <v>0.20302019882816119</v>
      </c>
      <c r="G76">
        <v>0.25105111670330321</v>
      </c>
      <c r="H76">
        <v>2.7536380139470951</v>
      </c>
      <c r="I76">
        <v>2.0000891412557862</v>
      </c>
      <c r="J76">
        <v>3.6330134514266441</v>
      </c>
      <c r="K76">
        <v>0.66964350036175246</v>
      </c>
      <c r="L76">
        <v>0.63300272298846272</v>
      </c>
      <c r="M76">
        <v>0.70303997741252444</v>
      </c>
      <c r="N76">
        <v>0.14969173510589909</v>
      </c>
      <c r="O76">
        <v>0.1173306409028719</v>
      </c>
      <c r="P76">
        <v>0.1840350954910269</v>
      </c>
      <c r="Q76">
        <v>0.29671878646534611</v>
      </c>
      <c r="R76">
        <v>0.22446419090791969</v>
      </c>
      <c r="S76">
        <v>0.33663055255517721</v>
      </c>
      <c r="T76">
        <v>0.1782924890448688</v>
      </c>
      <c r="U76">
        <v>0.16477566526273399</v>
      </c>
      <c r="V76">
        <v>0.19278932640757321</v>
      </c>
      <c r="W76">
        <v>0.52817826617826624</v>
      </c>
      <c r="X76">
        <v>0.41989010989010989</v>
      </c>
      <c r="Y76">
        <v>0.67021367521367525</v>
      </c>
    </row>
    <row r="77" spans="1:25">
      <c r="A77" t="s">
        <v>91</v>
      </c>
      <c r="B77" t="s">
        <v>79</v>
      </c>
      <c r="C77" t="s">
        <v>78</v>
      </c>
      <c r="D77" t="s">
        <v>82</v>
      </c>
      <c r="E77">
        <v>0.1582341109181519</v>
      </c>
      <c r="F77">
        <v>0.1402386505204874</v>
      </c>
      <c r="G77">
        <v>0.1691476531138148</v>
      </c>
      <c r="H77">
        <v>1.4208776467075159</v>
      </c>
      <c r="I77">
        <v>1.2871027092855061</v>
      </c>
      <c r="J77">
        <v>1.5474948955311369</v>
      </c>
      <c r="K77">
        <v>0.54039947505417985</v>
      </c>
      <c r="L77">
        <v>0.5076766593295472</v>
      </c>
      <c r="M77">
        <v>0.56835932718107385</v>
      </c>
      <c r="N77">
        <v>0.12838330765609399</v>
      </c>
      <c r="O77">
        <v>0.1103868765733188</v>
      </c>
      <c r="P77">
        <v>0.1466576280767109</v>
      </c>
      <c r="Q77">
        <v>0.29292072424650761</v>
      </c>
      <c r="R77">
        <v>0.2266525926392762</v>
      </c>
      <c r="S77">
        <v>0.32121299019376393</v>
      </c>
      <c r="T77">
        <v>0.16998873948134649</v>
      </c>
      <c r="U77">
        <v>0.14057351236218321</v>
      </c>
      <c r="V77">
        <v>0.19778496676924989</v>
      </c>
      <c r="W77">
        <v>0.58920146520146521</v>
      </c>
      <c r="X77">
        <v>0.4450146520146519</v>
      </c>
      <c r="Y77">
        <v>0.67360683760683759</v>
      </c>
    </row>
    <row r="78" spans="1:25">
      <c r="A78" t="s">
        <v>91</v>
      </c>
      <c r="B78" t="s">
        <v>86</v>
      </c>
      <c r="C78" t="s">
        <v>77</v>
      </c>
      <c r="D78" t="s">
        <v>83</v>
      </c>
      <c r="E78">
        <v>0.2189550069596807</v>
      </c>
      <c r="F78">
        <v>0.181755389183198</v>
      </c>
      <c r="G78">
        <v>0.25961475348464219</v>
      </c>
      <c r="H78">
        <v>1.7528867626867579</v>
      </c>
      <c r="I78">
        <v>1.4142809965552381</v>
      </c>
      <c r="J78">
        <v>2.21853651720612</v>
      </c>
      <c r="K78">
        <v>0.51948454916884501</v>
      </c>
      <c r="L78">
        <v>0.48262726846463772</v>
      </c>
      <c r="M78">
        <v>0.58499981836694248</v>
      </c>
      <c r="N78">
        <v>0.1229713814967752</v>
      </c>
      <c r="O78">
        <v>0.1022364951849981</v>
      </c>
      <c r="P78">
        <v>0.14652803186813509</v>
      </c>
      <c r="Q78">
        <v>0.29200219792070869</v>
      </c>
      <c r="R78">
        <v>0.25645483108711559</v>
      </c>
      <c r="S78">
        <v>0.37596056696475139</v>
      </c>
      <c r="T78">
        <v>0.18536272100238599</v>
      </c>
      <c r="U78">
        <v>0.1482111634567021</v>
      </c>
      <c r="V78">
        <v>0.216348075305869</v>
      </c>
      <c r="W78">
        <v>0.50990231990231982</v>
      </c>
      <c r="X78">
        <v>0.31186813186813178</v>
      </c>
      <c r="Y78">
        <v>0.80318681318681318</v>
      </c>
    </row>
    <row r="79" spans="1:25">
      <c r="A79" t="s">
        <v>91</v>
      </c>
      <c r="B79" t="s">
        <v>87</v>
      </c>
      <c r="C79" t="s">
        <v>77</v>
      </c>
      <c r="D79" t="s">
        <v>83</v>
      </c>
      <c r="E79">
        <v>0.19997948461919959</v>
      </c>
      <c r="F79">
        <v>0.1859183901687097</v>
      </c>
      <c r="G79">
        <v>0.2141331751125668</v>
      </c>
      <c r="H79">
        <v>1.567187707420939</v>
      </c>
      <c r="I79">
        <v>1.4454570477864921</v>
      </c>
      <c r="J79">
        <v>1.6753773576244879</v>
      </c>
      <c r="K79">
        <v>0.51011936441603867</v>
      </c>
      <c r="L79">
        <v>0.47125325918707972</v>
      </c>
      <c r="M79">
        <v>0.53917946392998162</v>
      </c>
      <c r="N79">
        <v>0.1121768140458843</v>
      </c>
      <c r="O79">
        <v>7.4329898585886206E-2</v>
      </c>
      <c r="P79">
        <v>0.14812914198454841</v>
      </c>
      <c r="Q79">
        <v>0.29108328869338318</v>
      </c>
      <c r="R79">
        <v>0.23770929168057089</v>
      </c>
      <c r="S79">
        <v>0.33413851804570199</v>
      </c>
      <c r="T79">
        <v>0.18842682463849539</v>
      </c>
      <c r="U79">
        <v>0.1699949286019164</v>
      </c>
      <c r="V79">
        <v>0.2004230983319768</v>
      </c>
      <c r="W79">
        <v>0.6368009768009768</v>
      </c>
      <c r="X79">
        <v>0.42700244200244197</v>
      </c>
      <c r="Y79">
        <v>0.8452075702075702</v>
      </c>
    </row>
    <row r="80" spans="1:25">
      <c r="A80" t="s">
        <v>91</v>
      </c>
      <c r="B80" t="s">
        <v>87</v>
      </c>
      <c r="C80" t="s">
        <v>65</v>
      </c>
      <c r="D80" t="s">
        <v>83</v>
      </c>
      <c r="E80">
        <v>0.2159035196194739</v>
      </c>
      <c r="F80">
        <v>0.17931989169306081</v>
      </c>
      <c r="G80">
        <v>0.28526379780528949</v>
      </c>
      <c r="H80">
        <v>2.5834755719414311</v>
      </c>
      <c r="I80">
        <v>1.726699158414486</v>
      </c>
      <c r="J80">
        <v>4.0687767392275598</v>
      </c>
      <c r="K80">
        <v>0.6168886258433155</v>
      </c>
      <c r="L80">
        <v>0.56022561009842997</v>
      </c>
      <c r="M80">
        <v>0.67186175010500715</v>
      </c>
      <c r="N80">
        <v>0.1632669578498574</v>
      </c>
      <c r="O80">
        <v>8.6348107419991701E-2</v>
      </c>
      <c r="P80">
        <v>0.24940965311179539</v>
      </c>
      <c r="Q80">
        <v>0.29054553005756317</v>
      </c>
      <c r="R80">
        <v>0.23699487125238389</v>
      </c>
      <c r="S80">
        <v>0.33746713655126398</v>
      </c>
      <c r="T80">
        <v>0.21066927029227689</v>
      </c>
      <c r="U80">
        <v>0.1615722836868847</v>
      </c>
      <c r="V80">
        <v>0.3425482105747808</v>
      </c>
      <c r="W80">
        <v>0.564039072039072</v>
      </c>
      <c r="X80">
        <v>0.4494358974358974</v>
      </c>
      <c r="Y80">
        <v>0.70315384615384602</v>
      </c>
    </row>
    <row r="81" spans="1:25">
      <c r="A81" t="s">
        <v>91</v>
      </c>
      <c r="B81" t="s">
        <v>86</v>
      </c>
      <c r="C81" t="s">
        <v>65</v>
      </c>
      <c r="D81" t="s">
        <v>84</v>
      </c>
      <c r="E81">
        <v>0.20423565323215409</v>
      </c>
      <c r="F81">
        <v>0.19117140689227841</v>
      </c>
      <c r="G81">
        <v>0.2306537178927002</v>
      </c>
      <c r="H81">
        <v>1.6620554472461091</v>
      </c>
      <c r="I81">
        <v>1.5889426903237209</v>
      </c>
      <c r="J81">
        <v>1.8157687832201299</v>
      </c>
      <c r="K81">
        <v>0.56176137982753949</v>
      </c>
      <c r="L81">
        <v>0.54624332200616077</v>
      </c>
      <c r="M81">
        <v>0.57751178248851553</v>
      </c>
      <c r="N81">
        <v>0.1045942946852991</v>
      </c>
      <c r="O81">
        <v>6.7208287597759805E-2</v>
      </c>
      <c r="P81">
        <v>0.13388416574099971</v>
      </c>
      <c r="Q81">
        <v>0.29005696746826198</v>
      </c>
      <c r="R81">
        <v>0.24827714504945089</v>
      </c>
      <c r="S81">
        <v>0.31578907189087613</v>
      </c>
      <c r="T81">
        <v>0.1894424988407841</v>
      </c>
      <c r="U81">
        <v>0.16631725548381329</v>
      </c>
      <c r="V81">
        <v>0.23476837676794199</v>
      </c>
      <c r="W81">
        <v>0.62619291819291822</v>
      </c>
      <c r="X81">
        <v>0.41695726495726487</v>
      </c>
      <c r="Y81">
        <v>0.74855311355311349</v>
      </c>
    </row>
    <row r="82" spans="1:25">
      <c r="A82" t="s">
        <v>91</v>
      </c>
      <c r="B82" t="s">
        <v>85</v>
      </c>
      <c r="C82" t="s">
        <v>65</v>
      </c>
      <c r="D82" t="s">
        <v>76</v>
      </c>
      <c r="E82">
        <v>0.1891217283459708</v>
      </c>
      <c r="F82">
        <v>0.1811495103823248</v>
      </c>
      <c r="G82">
        <v>0.2005365841951402</v>
      </c>
      <c r="H82">
        <v>1.6126350920302781</v>
      </c>
      <c r="I82">
        <v>1.547642932264427</v>
      </c>
      <c r="J82">
        <v>1.6633650478528079</v>
      </c>
      <c r="K82">
        <v>0.58100961561779452</v>
      </c>
      <c r="L82">
        <v>0.55749730177233192</v>
      </c>
      <c r="M82">
        <v>0.59499475603322471</v>
      </c>
      <c r="N82">
        <v>0.1152844196998887</v>
      </c>
      <c r="O82">
        <v>8.7569317069839295E-2</v>
      </c>
      <c r="P82">
        <v>0.1562001314527024</v>
      </c>
      <c r="Q82">
        <v>0.28928996717768918</v>
      </c>
      <c r="R82">
        <v>0.2165915844694907</v>
      </c>
      <c r="S82">
        <v>0.33330626427831828</v>
      </c>
      <c r="T82">
        <v>0.17553453400167079</v>
      </c>
      <c r="U82">
        <v>0.1569320484118483</v>
      </c>
      <c r="V82">
        <v>0.2002066683872932</v>
      </c>
      <c r="W82">
        <v>0.68120634920634926</v>
      </c>
      <c r="X82">
        <v>0.50098412698412709</v>
      </c>
      <c r="Y82">
        <v>0.80414896214896214</v>
      </c>
    </row>
    <row r="83" spans="1:25">
      <c r="A83" t="s">
        <v>91</v>
      </c>
      <c r="B83" t="s">
        <v>86</v>
      </c>
      <c r="C83" t="s">
        <v>65</v>
      </c>
      <c r="D83" t="s">
        <v>82</v>
      </c>
      <c r="E83">
        <v>0.13507314112349281</v>
      </c>
      <c r="F83">
        <v>0.12997417276679099</v>
      </c>
      <c r="G83">
        <v>0.13828382238520651</v>
      </c>
      <c r="H83">
        <v>1.36591506233336</v>
      </c>
      <c r="I83">
        <v>1.2738644001484309</v>
      </c>
      <c r="J83">
        <v>1.4306131323041129</v>
      </c>
      <c r="K83">
        <v>0.54672196058223022</v>
      </c>
      <c r="L83">
        <v>0.50212225264602917</v>
      </c>
      <c r="M83">
        <v>0.56906816977769559</v>
      </c>
      <c r="N83">
        <v>5.4414366446959003E-2</v>
      </c>
      <c r="O83">
        <v>1.829155413043E-3</v>
      </c>
      <c r="P83">
        <v>8.86214968158026E-2</v>
      </c>
      <c r="Q83">
        <v>0.28910324901226159</v>
      </c>
      <c r="R83">
        <v>0.25135127770379828</v>
      </c>
      <c r="S83">
        <v>0.31183717844867531</v>
      </c>
      <c r="T83">
        <v>0.12121472534702429</v>
      </c>
      <c r="U83">
        <v>9.72918979789478E-2</v>
      </c>
      <c r="V83">
        <v>0.143205749807747</v>
      </c>
      <c r="W83">
        <v>0.7043150183150183</v>
      </c>
      <c r="X83">
        <v>0.571017094017094</v>
      </c>
      <c r="Y83">
        <v>0.86442857142857155</v>
      </c>
    </row>
    <row r="84" spans="1:25">
      <c r="A84" t="s">
        <v>91</v>
      </c>
      <c r="B84" t="s">
        <v>85</v>
      </c>
      <c r="C84" t="s">
        <v>65</v>
      </c>
      <c r="D84" t="s">
        <v>81</v>
      </c>
      <c r="E84">
        <v>0.18586914517074329</v>
      </c>
      <c r="F84">
        <v>0.17224219214924091</v>
      </c>
      <c r="G84">
        <v>0.20275833211946909</v>
      </c>
      <c r="H84">
        <v>1.747911615318207</v>
      </c>
      <c r="I84">
        <v>1.5538843808155689</v>
      </c>
      <c r="J84">
        <v>1.917527187343478</v>
      </c>
      <c r="K84">
        <v>0.58275038448731897</v>
      </c>
      <c r="L84">
        <v>0.56664883816149791</v>
      </c>
      <c r="M84">
        <v>0.60288517428512856</v>
      </c>
      <c r="N84">
        <v>0.1190862854501845</v>
      </c>
      <c r="O84">
        <v>7.7762536514985894E-2</v>
      </c>
      <c r="P84">
        <v>0.15447757174121099</v>
      </c>
      <c r="Q84">
        <v>0.28850827794486761</v>
      </c>
      <c r="R84">
        <v>0.22242803666687311</v>
      </c>
      <c r="S84">
        <v>0.35122343117111221</v>
      </c>
      <c r="T84">
        <v>0.18854186118892</v>
      </c>
      <c r="U84">
        <v>0.1642867494824016</v>
      </c>
      <c r="V84">
        <v>0.2262303008159785</v>
      </c>
      <c r="W84">
        <v>0.72076923076923083</v>
      </c>
      <c r="X84">
        <v>0.59530769230769232</v>
      </c>
      <c r="Y84">
        <v>0.85623076923076924</v>
      </c>
    </row>
    <row r="85" spans="1:25">
      <c r="A85" t="s">
        <v>91</v>
      </c>
      <c r="B85" t="s">
        <v>86</v>
      </c>
      <c r="C85" t="s">
        <v>65</v>
      </c>
      <c r="D85" t="s">
        <v>81</v>
      </c>
      <c r="E85">
        <v>0.1851497632397282</v>
      </c>
      <c r="F85">
        <v>0.17229773295893661</v>
      </c>
      <c r="G85">
        <v>0.2012939252495356</v>
      </c>
      <c r="H85">
        <v>1.743422585098245</v>
      </c>
      <c r="I85">
        <v>1.5529941470642099</v>
      </c>
      <c r="J85">
        <v>1.907030541735117</v>
      </c>
      <c r="K85">
        <v>0.58613900182436474</v>
      </c>
      <c r="L85">
        <v>0.56746710191837757</v>
      </c>
      <c r="M85">
        <v>0.60451849627084275</v>
      </c>
      <c r="N85">
        <v>0.1179179232277391</v>
      </c>
      <c r="O85">
        <v>7.7762536514985894E-2</v>
      </c>
      <c r="P85">
        <v>0.15259351747044531</v>
      </c>
      <c r="Q85">
        <v>0.28804902513919578</v>
      </c>
      <c r="R85">
        <v>0.22242803666687311</v>
      </c>
      <c r="S85">
        <v>0.35040209246948167</v>
      </c>
      <c r="T85">
        <v>0.18742204346765881</v>
      </c>
      <c r="U85">
        <v>0.16409848813134961</v>
      </c>
      <c r="V85">
        <v>0.2260556976413754</v>
      </c>
      <c r="W85">
        <v>0.72076923076923083</v>
      </c>
      <c r="X85">
        <v>0.59530769230769232</v>
      </c>
      <c r="Y85">
        <v>0.85623076923076924</v>
      </c>
    </row>
    <row r="86" spans="1:25">
      <c r="A86" t="s">
        <v>91</v>
      </c>
      <c r="B86" t="s">
        <v>85</v>
      </c>
      <c r="C86" t="s">
        <v>77</v>
      </c>
      <c r="D86" t="s">
        <v>81</v>
      </c>
      <c r="E86">
        <v>0.23835621787980149</v>
      </c>
      <c r="F86">
        <v>0.1942380980111873</v>
      </c>
      <c r="G86">
        <v>0.27434086842030481</v>
      </c>
      <c r="H86">
        <v>3.4284319257580131</v>
      </c>
      <c r="I86">
        <v>2.0403656743163281</v>
      </c>
      <c r="J86">
        <v>4.2509177597933441</v>
      </c>
      <c r="K86">
        <v>0.69287150430012634</v>
      </c>
      <c r="L86">
        <v>0.6695096269428954</v>
      </c>
      <c r="M86">
        <v>0.71955011547556669</v>
      </c>
      <c r="N86">
        <v>0.15913900843033929</v>
      </c>
      <c r="O86">
        <v>0.1213868321925861</v>
      </c>
      <c r="P86">
        <v>0.21433978878923479</v>
      </c>
      <c r="Q86">
        <v>0.2873876188101474</v>
      </c>
      <c r="R86">
        <v>0.24727257478843609</v>
      </c>
      <c r="S86">
        <v>0.36985012929100819</v>
      </c>
      <c r="T86">
        <v>0.20579222465414371</v>
      </c>
      <c r="U86">
        <v>0.1584262404262404</v>
      </c>
      <c r="V86">
        <v>0.24848455020498339</v>
      </c>
      <c r="W86">
        <v>0.49532356532356531</v>
      </c>
      <c r="X86">
        <v>0.31753968253968251</v>
      </c>
      <c r="Y86">
        <v>0.650976800976801</v>
      </c>
    </row>
    <row r="87" spans="1:25">
      <c r="A87" t="s">
        <v>91</v>
      </c>
      <c r="B87" t="s">
        <v>79</v>
      </c>
      <c r="C87" t="s">
        <v>65</v>
      </c>
      <c r="D87" t="s">
        <v>76</v>
      </c>
      <c r="E87">
        <v>0.2005767920775488</v>
      </c>
      <c r="F87">
        <v>0.18773964948332461</v>
      </c>
      <c r="G87">
        <v>0.2176449230145574</v>
      </c>
      <c r="H87">
        <v>1.65879103064891</v>
      </c>
      <c r="I87">
        <v>1.574086855063547</v>
      </c>
      <c r="J87">
        <v>1.7307860935178021</v>
      </c>
      <c r="K87">
        <v>0.5741844170189323</v>
      </c>
      <c r="L87">
        <v>0.54229286273930688</v>
      </c>
      <c r="M87">
        <v>0.58848948876936646</v>
      </c>
      <c r="N87">
        <v>0.13592406226254311</v>
      </c>
      <c r="O87">
        <v>9.9324209614977593E-2</v>
      </c>
      <c r="P87">
        <v>0.15906056154353029</v>
      </c>
      <c r="Q87">
        <v>0.28227876369549287</v>
      </c>
      <c r="R87">
        <v>0.23191988991269569</v>
      </c>
      <c r="S87">
        <v>0.30932972563353012</v>
      </c>
      <c r="T87">
        <v>0.1941662478652916</v>
      </c>
      <c r="U87">
        <v>0.1616189101325711</v>
      </c>
      <c r="V87">
        <v>0.23197954222822659</v>
      </c>
      <c r="W87">
        <v>0.67092063492063492</v>
      </c>
      <c r="X87">
        <v>0.54656410256410259</v>
      </c>
      <c r="Y87">
        <v>0.75664835164835165</v>
      </c>
    </row>
    <row r="88" spans="1:25">
      <c r="A88" t="s">
        <v>91</v>
      </c>
      <c r="B88" t="s">
        <v>79</v>
      </c>
      <c r="C88" t="s">
        <v>78</v>
      </c>
      <c r="D88" t="s">
        <v>81</v>
      </c>
      <c r="E88">
        <v>0.19446994800669579</v>
      </c>
      <c r="F88">
        <v>0.17359696738841859</v>
      </c>
      <c r="G88">
        <v>0.20988745323741259</v>
      </c>
      <c r="H88">
        <v>1.8800389100532171</v>
      </c>
      <c r="I88">
        <v>1.625094990605388</v>
      </c>
      <c r="J88">
        <v>2.2123423093540882</v>
      </c>
      <c r="K88">
        <v>0.62089937642807569</v>
      </c>
      <c r="L88">
        <v>0.59544510183252841</v>
      </c>
      <c r="M88">
        <v>0.64487752641966811</v>
      </c>
      <c r="N88">
        <v>0.1236877897459501</v>
      </c>
      <c r="O88">
        <v>0.1002559887170405</v>
      </c>
      <c r="P88">
        <v>0.15837302302105041</v>
      </c>
      <c r="Q88">
        <v>0.27529177669627058</v>
      </c>
      <c r="R88">
        <v>0.23375791281534961</v>
      </c>
      <c r="S88">
        <v>0.34900765337176831</v>
      </c>
      <c r="T88">
        <v>0.16537681621111419</v>
      </c>
      <c r="U88">
        <v>0.13829507272016359</v>
      </c>
      <c r="V88">
        <v>0.18285455380084531</v>
      </c>
      <c r="W88">
        <v>0.60288888888888892</v>
      </c>
      <c r="X88">
        <v>0.46398290598290598</v>
      </c>
      <c r="Y88">
        <v>0.70915384615384613</v>
      </c>
    </row>
    <row r="89" spans="1:25">
      <c r="A89" t="s">
        <v>91</v>
      </c>
      <c r="B89" t="s">
        <v>79</v>
      </c>
      <c r="C89" t="s">
        <v>65</v>
      </c>
      <c r="D89" t="s">
        <v>84</v>
      </c>
      <c r="E89">
        <v>0.21404569228079279</v>
      </c>
      <c r="F89">
        <v>0.20361619747689</v>
      </c>
      <c r="G89">
        <v>0.2284252510926838</v>
      </c>
      <c r="H89">
        <v>1.780572278248377</v>
      </c>
      <c r="I89">
        <v>1.654014011340138</v>
      </c>
      <c r="J89">
        <v>1.8977203362799311</v>
      </c>
      <c r="K89">
        <v>0.59643655202351553</v>
      </c>
      <c r="L89">
        <v>0.56884247446159764</v>
      </c>
      <c r="M89">
        <v>0.62614592805055713</v>
      </c>
      <c r="N89">
        <v>0.1089111330740031</v>
      </c>
      <c r="O89">
        <v>6.9689365265906494E-2</v>
      </c>
      <c r="P89">
        <v>0.1323252200676783</v>
      </c>
      <c r="Q89">
        <v>0.27308067295658089</v>
      </c>
      <c r="R89">
        <v>0.2498750474028805</v>
      </c>
      <c r="S89">
        <v>0.30683048968264448</v>
      </c>
      <c r="T89">
        <v>0.18448280642872231</v>
      </c>
      <c r="U89">
        <v>0.15827826155523941</v>
      </c>
      <c r="V89">
        <v>0.21411432330755051</v>
      </c>
      <c r="W89">
        <v>0.60392429792429791</v>
      </c>
      <c r="X89">
        <v>0.55470818070818073</v>
      </c>
      <c r="Y89">
        <v>0.68161294261294259</v>
      </c>
    </row>
    <row r="90" spans="1:25">
      <c r="A90" t="s">
        <v>91</v>
      </c>
      <c r="B90" t="s">
        <v>85</v>
      </c>
      <c r="C90" t="s">
        <v>65</v>
      </c>
      <c r="D90" t="s">
        <v>84</v>
      </c>
      <c r="E90">
        <v>0.2030353548897709</v>
      </c>
      <c r="F90">
        <v>0.19594862447223391</v>
      </c>
      <c r="G90">
        <v>0.22408313144588701</v>
      </c>
      <c r="H90">
        <v>1.6534634563998361</v>
      </c>
      <c r="I90">
        <v>1.593671621484668</v>
      </c>
      <c r="J90">
        <v>1.7910036190557801</v>
      </c>
      <c r="K90">
        <v>0.55397443556929016</v>
      </c>
      <c r="L90">
        <v>0.53231868803799243</v>
      </c>
      <c r="M90">
        <v>0.57205804901546953</v>
      </c>
      <c r="N90">
        <v>0.1123363220327213</v>
      </c>
      <c r="O90">
        <v>9.01845493029792E-2</v>
      </c>
      <c r="P90">
        <v>0.13902119798432039</v>
      </c>
      <c r="Q90">
        <v>0.27261649648419373</v>
      </c>
      <c r="R90">
        <v>0.22916662549575631</v>
      </c>
      <c r="S90">
        <v>0.32277585416923738</v>
      </c>
      <c r="T90">
        <v>0.17996632455080361</v>
      </c>
      <c r="U90">
        <v>0.16999864079688601</v>
      </c>
      <c r="V90">
        <v>0.19398469323430739</v>
      </c>
      <c r="W90">
        <v>0.51979975579975579</v>
      </c>
      <c r="X90">
        <v>0.4053284493284493</v>
      </c>
      <c r="Y90">
        <v>0.59571062271062269</v>
      </c>
    </row>
    <row r="91" spans="1:25">
      <c r="A91" t="s">
        <v>91</v>
      </c>
      <c r="B91" t="s">
        <v>85</v>
      </c>
      <c r="C91" t="s">
        <v>77</v>
      </c>
      <c r="D91" t="s">
        <v>82</v>
      </c>
      <c r="E91">
        <v>0.12995493325494839</v>
      </c>
      <c r="F91">
        <v>0.11640877361241241</v>
      </c>
      <c r="G91">
        <v>0.1444745140868112</v>
      </c>
      <c r="H91">
        <v>1.353106448787567</v>
      </c>
      <c r="I91">
        <v>1.1646210003635831</v>
      </c>
      <c r="J91">
        <v>1.4997546610847989</v>
      </c>
      <c r="K91">
        <v>0.49524957199350161</v>
      </c>
      <c r="L91">
        <v>0.4689964773085632</v>
      </c>
      <c r="M91">
        <v>0.523100066419105</v>
      </c>
      <c r="N91">
        <v>3.82426614803765E-2</v>
      </c>
      <c r="O91">
        <v>2.0092334486085901E-2</v>
      </c>
      <c r="P91">
        <v>5.4818612440534403E-2</v>
      </c>
      <c r="Q91">
        <v>0.26905753866779331</v>
      </c>
      <c r="R91">
        <v>0.20639112063477111</v>
      </c>
      <c r="S91">
        <v>0.31588151382752239</v>
      </c>
      <c r="T91">
        <v>0.1232455328344972</v>
      </c>
      <c r="U91">
        <v>8.1011763315512006E-2</v>
      </c>
      <c r="V91">
        <v>0.18369290490003751</v>
      </c>
      <c r="W91">
        <v>0.6032844932844933</v>
      </c>
      <c r="X91">
        <v>0.38917582417582419</v>
      </c>
      <c r="Y91">
        <v>0.75583028083028092</v>
      </c>
    </row>
    <row r="92" spans="1:25">
      <c r="A92" t="s">
        <v>91</v>
      </c>
      <c r="B92" t="s">
        <v>79</v>
      </c>
      <c r="C92" t="s">
        <v>77</v>
      </c>
      <c r="D92" t="s">
        <v>82</v>
      </c>
      <c r="E92">
        <v>0.1265026444841004</v>
      </c>
      <c r="F92">
        <v>0.10885215261049461</v>
      </c>
      <c r="G92">
        <v>0.14885610145908409</v>
      </c>
      <c r="H92">
        <v>1.273111723524458</v>
      </c>
      <c r="I92">
        <v>1.1136894090766729</v>
      </c>
      <c r="J92">
        <v>1.497833975481887</v>
      </c>
      <c r="K92">
        <v>0.50738721359298111</v>
      </c>
      <c r="L92">
        <v>0.47464500068449461</v>
      </c>
      <c r="M92">
        <v>0.54241850792505597</v>
      </c>
      <c r="N92">
        <v>5.2406647641976001E-2</v>
      </c>
      <c r="O92">
        <v>3.1313683083176197E-2</v>
      </c>
      <c r="P92">
        <v>8.29477576660754E-2</v>
      </c>
      <c r="Q92">
        <v>0.26902611087239081</v>
      </c>
      <c r="R92">
        <v>0.20156993812226909</v>
      </c>
      <c r="S92">
        <v>0.32039085783589899</v>
      </c>
      <c r="T92">
        <v>0.1143384724519361</v>
      </c>
      <c r="U92">
        <v>0.108890562773536</v>
      </c>
      <c r="V92">
        <v>0.12137407527156351</v>
      </c>
      <c r="W92">
        <v>0.61997557997557995</v>
      </c>
      <c r="X92">
        <v>0.44255799755799752</v>
      </c>
      <c r="Y92">
        <v>0.8794749694749695</v>
      </c>
    </row>
    <row r="93" spans="1:25">
      <c r="A93" t="s">
        <v>91</v>
      </c>
      <c r="B93" t="s">
        <v>88</v>
      </c>
      <c r="C93" t="s">
        <v>65</v>
      </c>
      <c r="D93" t="s">
        <v>83</v>
      </c>
      <c r="E93">
        <v>0.19267854750773611</v>
      </c>
      <c r="F93">
        <v>0.17750338463847309</v>
      </c>
      <c r="G93">
        <v>0.21274133076881691</v>
      </c>
      <c r="H93">
        <v>1.6074457032694069</v>
      </c>
      <c r="I93">
        <v>1.45656890259051</v>
      </c>
      <c r="J93">
        <v>1.8955351210027029</v>
      </c>
      <c r="K93">
        <v>0.53901774058992613</v>
      </c>
      <c r="L93">
        <v>0.51653547181306214</v>
      </c>
      <c r="M93">
        <v>0.59967627245068678</v>
      </c>
      <c r="N93">
        <v>0.1058407625700338</v>
      </c>
      <c r="O93">
        <v>7.7504171715286799E-2</v>
      </c>
      <c r="P93">
        <v>0.15693346408245171</v>
      </c>
      <c r="Q93">
        <v>0.26638211188411021</v>
      </c>
      <c r="R93">
        <v>0.19134543462491321</v>
      </c>
      <c r="S93">
        <v>0.31601761409803342</v>
      </c>
      <c r="T93">
        <v>0.1755959824917645</v>
      </c>
      <c r="U93">
        <v>0.12832262890971349</v>
      </c>
      <c r="V93">
        <v>0.213518046564313</v>
      </c>
      <c r="W93">
        <v>0.64916727716727718</v>
      </c>
      <c r="X93">
        <v>0.47541880341880338</v>
      </c>
      <c r="Y93">
        <v>0.73574725274725272</v>
      </c>
    </row>
    <row r="94" spans="1:25">
      <c r="A94" t="s">
        <v>90</v>
      </c>
      <c r="B94" t="s">
        <v>88</v>
      </c>
      <c r="C94" t="s">
        <v>65</v>
      </c>
      <c r="D94" t="s">
        <v>66</v>
      </c>
      <c r="E94">
        <v>0.1588892737774007</v>
      </c>
      <c r="F94">
        <v>0.13956085021475609</v>
      </c>
      <c r="G94">
        <v>0.19648267261500379</v>
      </c>
      <c r="H94">
        <v>1.585627908698849</v>
      </c>
      <c r="I94">
        <v>1.2994582863052511</v>
      </c>
      <c r="J94">
        <v>2.360484632718133</v>
      </c>
      <c r="K94">
        <v>0.52998430404074026</v>
      </c>
      <c r="L94">
        <v>0.48500437741862329</v>
      </c>
      <c r="M94">
        <v>0.60503663974403954</v>
      </c>
      <c r="N94">
        <v>5.1511803820463699E-2</v>
      </c>
      <c r="O94">
        <v>2.7254105577549599E-2</v>
      </c>
      <c r="P94">
        <v>7.6712795230922198E-2</v>
      </c>
      <c r="Q94">
        <v>0.26589765213263172</v>
      </c>
      <c r="R94">
        <v>0.18707888184061791</v>
      </c>
      <c r="S94">
        <v>0.3571242018013337</v>
      </c>
      <c r="T94">
        <v>0.1354339364472936</v>
      </c>
      <c r="U94">
        <v>0.1068785133012683</v>
      </c>
      <c r="V94">
        <v>0.1650688500655294</v>
      </c>
      <c r="W94">
        <v>0.6641318681318682</v>
      </c>
      <c r="X94">
        <v>0.47672283272283261</v>
      </c>
      <c r="Y94">
        <v>0.85057387057387068</v>
      </c>
    </row>
    <row r="95" spans="1:25">
      <c r="A95" t="s">
        <v>91</v>
      </c>
      <c r="B95" t="s">
        <v>87</v>
      </c>
      <c r="C95" t="s">
        <v>78</v>
      </c>
      <c r="D95" t="s">
        <v>82</v>
      </c>
      <c r="E95">
        <v>0.16073903022534869</v>
      </c>
      <c r="F95">
        <v>0.150889849995725</v>
      </c>
      <c r="G95">
        <v>0.1796176510104073</v>
      </c>
      <c r="H95">
        <v>1.8104088924161781</v>
      </c>
      <c r="I95">
        <v>1.624551319425269</v>
      </c>
      <c r="J95">
        <v>2.0642353763168222</v>
      </c>
      <c r="K95">
        <v>0.531895636817594</v>
      </c>
      <c r="L95">
        <v>0.47205463800175662</v>
      </c>
      <c r="M95">
        <v>0.57810179350979696</v>
      </c>
      <c r="N95">
        <v>0.1170641599691626</v>
      </c>
      <c r="O95">
        <v>0.1006014210601035</v>
      </c>
      <c r="P95">
        <v>0.1339543518041095</v>
      </c>
      <c r="Q95">
        <v>0.25711557210236857</v>
      </c>
      <c r="R95">
        <v>0.2047579157847631</v>
      </c>
      <c r="S95">
        <v>0.31604698682275939</v>
      </c>
      <c r="T95">
        <v>0.18795622021003791</v>
      </c>
      <c r="U95">
        <v>0.12632290477016</v>
      </c>
      <c r="V95">
        <v>0.26298729284298039</v>
      </c>
      <c r="W95">
        <v>0.52190964590964595</v>
      </c>
      <c r="X95">
        <v>0.38747741147741149</v>
      </c>
      <c r="Y95">
        <v>0.66000244200244207</v>
      </c>
    </row>
    <row r="96" spans="1:25">
      <c r="A96" t="s">
        <v>91</v>
      </c>
      <c r="B96" t="s">
        <v>88</v>
      </c>
      <c r="C96" t="s">
        <v>65</v>
      </c>
      <c r="D96" t="s">
        <v>81</v>
      </c>
      <c r="E96">
        <v>0.1843572380271771</v>
      </c>
      <c r="F96">
        <v>0.16388121468977229</v>
      </c>
      <c r="G96">
        <v>0.21169590155128321</v>
      </c>
      <c r="H96">
        <v>1.7161177544663899</v>
      </c>
      <c r="I96">
        <v>1.3786632677065811</v>
      </c>
      <c r="J96">
        <v>2.079811310711249</v>
      </c>
      <c r="K96">
        <v>0.57460412320167586</v>
      </c>
      <c r="L96">
        <v>0.5466385057550478</v>
      </c>
      <c r="M96">
        <v>0.59669372387658948</v>
      </c>
      <c r="N96">
        <v>9.9166793268109593E-2</v>
      </c>
      <c r="O96">
        <v>8.9298168712426698E-2</v>
      </c>
      <c r="P96">
        <v>0.107382981689744</v>
      </c>
      <c r="Q96">
        <v>0.25194456194633558</v>
      </c>
      <c r="R96">
        <v>0.2318780687600622</v>
      </c>
      <c r="S96">
        <v>0.27941070160360099</v>
      </c>
      <c r="T96">
        <v>0.15720545550905371</v>
      </c>
      <c r="U96">
        <v>0.14639180409795099</v>
      </c>
      <c r="V96">
        <v>0.1788294723294723</v>
      </c>
      <c r="W96">
        <v>0.60088888888888881</v>
      </c>
      <c r="X96">
        <v>0.44852991452991448</v>
      </c>
      <c r="Y96">
        <v>0.77530769230769225</v>
      </c>
    </row>
    <row r="97" spans="1:25">
      <c r="A97" t="s">
        <v>91</v>
      </c>
      <c r="B97" t="s">
        <v>79</v>
      </c>
      <c r="C97" t="s">
        <v>65</v>
      </c>
      <c r="D97" t="s">
        <v>83</v>
      </c>
      <c r="E97">
        <v>0.19009387822257409</v>
      </c>
      <c r="F97">
        <v>0.16467390437718901</v>
      </c>
      <c r="G97">
        <v>0.21193131431458209</v>
      </c>
      <c r="H97">
        <v>1.722820879544168</v>
      </c>
      <c r="I97">
        <v>1.53333655457047</v>
      </c>
      <c r="J97">
        <v>1.9615225273279771</v>
      </c>
      <c r="K97">
        <v>0.57834579479579262</v>
      </c>
      <c r="L97">
        <v>0.54312394917050777</v>
      </c>
      <c r="M97">
        <v>0.60710162142540047</v>
      </c>
      <c r="N97">
        <v>0.1072543784711238</v>
      </c>
      <c r="O97">
        <v>7.7468800419786002E-2</v>
      </c>
      <c r="P97">
        <v>0.14490310989027499</v>
      </c>
      <c r="Q97">
        <v>0.25034775760394468</v>
      </c>
      <c r="R97">
        <v>0.2351171965954901</v>
      </c>
      <c r="S97">
        <v>0.27488439387928781</v>
      </c>
      <c r="T97">
        <v>0.1659885602645422</v>
      </c>
      <c r="U97">
        <v>0.14818342599213</v>
      </c>
      <c r="V97">
        <v>0.20006164120457151</v>
      </c>
      <c r="W97">
        <v>0.48712820512820509</v>
      </c>
      <c r="X97">
        <v>0.3775958485958486</v>
      </c>
      <c r="Y97">
        <v>0.59646153846153838</v>
      </c>
    </row>
    <row r="98" spans="1:25">
      <c r="A98" t="s">
        <v>91</v>
      </c>
      <c r="B98" t="s">
        <v>79</v>
      </c>
      <c r="C98" t="s">
        <v>65</v>
      </c>
      <c r="D98" t="s">
        <v>82</v>
      </c>
      <c r="E98">
        <v>0.14244278314378489</v>
      </c>
      <c r="F98">
        <v>0.1217793578259056</v>
      </c>
      <c r="G98">
        <v>0.1637745740615581</v>
      </c>
      <c r="H98">
        <v>1.3033432970253269</v>
      </c>
      <c r="I98">
        <v>1.1301197822563041</v>
      </c>
      <c r="J98">
        <v>1.4533057982226021</v>
      </c>
      <c r="K98">
        <v>0.4959526535937997</v>
      </c>
      <c r="L98">
        <v>0.47920319195293021</v>
      </c>
      <c r="M98">
        <v>0.51679362113739202</v>
      </c>
      <c r="N98">
        <v>5.2812250185460298E-2</v>
      </c>
      <c r="O98">
        <v>2.3296345806866899E-2</v>
      </c>
      <c r="P98">
        <v>8.3432080909096706E-2</v>
      </c>
      <c r="Q98">
        <v>0.24466830017154581</v>
      </c>
      <c r="R98">
        <v>0.23083954282974339</v>
      </c>
      <c r="S98">
        <v>0.25922720451690301</v>
      </c>
      <c r="T98">
        <v>0.1431921102547753</v>
      </c>
      <c r="U98">
        <v>0.1103210899016529</v>
      </c>
      <c r="V98">
        <v>0.17253016408611169</v>
      </c>
      <c r="W98">
        <v>0.5012136752136751</v>
      </c>
      <c r="X98">
        <v>0.42315995115995109</v>
      </c>
      <c r="Y98">
        <v>0.63437851037851023</v>
      </c>
    </row>
    <row r="99" spans="1:25">
      <c r="A99" t="s">
        <v>91</v>
      </c>
      <c r="B99" t="s">
        <v>88</v>
      </c>
      <c r="C99" t="s">
        <v>78</v>
      </c>
      <c r="D99" t="s">
        <v>83</v>
      </c>
      <c r="E99">
        <v>0.16698047854288159</v>
      </c>
      <c r="F99">
        <v>0.15811052840977211</v>
      </c>
      <c r="G99">
        <v>0.1798504702205907</v>
      </c>
      <c r="H99">
        <v>1.457348174247928</v>
      </c>
      <c r="I99">
        <v>1.33366097438013</v>
      </c>
      <c r="J99">
        <v>1.53241113208864</v>
      </c>
      <c r="K99">
        <v>0.4912001469238228</v>
      </c>
      <c r="L99">
        <v>0.47148597119637331</v>
      </c>
      <c r="M99">
        <v>0.51673823023141174</v>
      </c>
      <c r="N99">
        <v>6.5425689735214995E-2</v>
      </c>
      <c r="O99">
        <v>2.9174001291409599E-2</v>
      </c>
      <c r="P99">
        <v>0.1104665806601544</v>
      </c>
      <c r="Q99">
        <v>0.2403168008061306</v>
      </c>
      <c r="R99">
        <v>0.23139390849785541</v>
      </c>
      <c r="S99">
        <v>0.25112533684232141</v>
      </c>
      <c r="T99">
        <v>0.16888828337921591</v>
      </c>
      <c r="U99">
        <v>0.1337158259184455</v>
      </c>
      <c r="V99">
        <v>0.21178683055256359</v>
      </c>
      <c r="W99">
        <v>0.54751648351648363</v>
      </c>
      <c r="X99">
        <v>0.53191697191697196</v>
      </c>
      <c r="Y99">
        <v>0.57766422466422473</v>
      </c>
    </row>
    <row r="100" spans="1:25">
      <c r="A100" t="s">
        <v>91</v>
      </c>
      <c r="B100" t="s">
        <v>87</v>
      </c>
      <c r="C100" t="s">
        <v>65</v>
      </c>
      <c r="D100" t="s">
        <v>82</v>
      </c>
      <c r="E100">
        <v>0.11155224189905789</v>
      </c>
      <c r="F100">
        <v>9.6993609675892295E-2</v>
      </c>
      <c r="G100">
        <v>0.12656579461080081</v>
      </c>
      <c r="H100">
        <v>1.1887420668365121</v>
      </c>
      <c r="I100">
        <v>0.98530302437425676</v>
      </c>
      <c r="J100">
        <v>1.4692441151632929</v>
      </c>
      <c r="K100">
        <v>0.45048899520183699</v>
      </c>
      <c r="L100">
        <v>0.42135687399529348</v>
      </c>
      <c r="M100">
        <v>0.49036695293960941</v>
      </c>
      <c r="N100">
        <v>1.09433913352732E-2</v>
      </c>
      <c r="O100">
        <v>-3.7591940663567698E-2</v>
      </c>
      <c r="P100">
        <v>5.2688547750650197E-2</v>
      </c>
      <c r="Q100">
        <v>0.23585308547984729</v>
      </c>
      <c r="R100">
        <v>0.14200988489307939</v>
      </c>
      <c r="S100">
        <v>0.28074915130367978</v>
      </c>
      <c r="T100">
        <v>0.1098170570098386</v>
      </c>
      <c r="U100">
        <v>8.2640382317801603E-2</v>
      </c>
      <c r="V100">
        <v>0.1332050162494722</v>
      </c>
      <c r="W100">
        <v>0.48914041514041512</v>
      </c>
      <c r="X100">
        <v>0.24733333333333329</v>
      </c>
      <c r="Y100">
        <v>0.58308058608058599</v>
      </c>
    </row>
    <row r="101" spans="1:25">
      <c r="A101" t="s">
        <v>91</v>
      </c>
      <c r="B101" t="s">
        <v>85</v>
      </c>
      <c r="C101" t="s">
        <v>65</v>
      </c>
      <c r="D101" t="s">
        <v>82</v>
      </c>
      <c r="E101">
        <v>0.1057007758062878</v>
      </c>
      <c r="F101">
        <v>0.10002080664406959</v>
      </c>
      <c r="G101">
        <v>0.1121858378971036</v>
      </c>
      <c r="H101">
        <v>1.082228288590027</v>
      </c>
      <c r="I101">
        <v>1.0151827126649591</v>
      </c>
      <c r="J101">
        <v>1.1333566595346261</v>
      </c>
      <c r="K101">
        <v>0.46229213520189921</v>
      </c>
      <c r="L101">
        <v>0.4365532727566106</v>
      </c>
      <c r="M101">
        <v>0.49933244767581481</v>
      </c>
      <c r="N101">
        <v>-8.6331804603329999E-3</v>
      </c>
      <c r="O101">
        <v>-6.3329276793017295E-2</v>
      </c>
      <c r="P101">
        <v>5.6480403754639898E-2</v>
      </c>
      <c r="Q101">
        <v>0.22940442680239151</v>
      </c>
      <c r="R101">
        <v>0.1508228315289136</v>
      </c>
      <c r="S101">
        <v>0.2953086509433091</v>
      </c>
      <c r="T101">
        <v>8.8258301455151997E-2</v>
      </c>
      <c r="U101">
        <v>6.5002978625750496E-2</v>
      </c>
      <c r="V101">
        <v>0.1067551399340791</v>
      </c>
      <c r="W101">
        <v>0.59628327228327227</v>
      </c>
      <c r="X101">
        <v>0.3885311355311355</v>
      </c>
      <c r="Y101">
        <v>0.80141758241758254</v>
      </c>
    </row>
    <row r="102" spans="1:25">
      <c r="A102" t="s">
        <v>91</v>
      </c>
      <c r="B102" t="s">
        <v>88</v>
      </c>
      <c r="C102" t="s">
        <v>77</v>
      </c>
      <c r="D102" t="s">
        <v>83</v>
      </c>
      <c r="E102">
        <v>0.17956006702630961</v>
      </c>
      <c r="F102">
        <v>0.16865558834507621</v>
      </c>
      <c r="G102">
        <v>0.19190976351055</v>
      </c>
      <c r="H102">
        <v>1.552715525038848</v>
      </c>
      <c r="I102">
        <v>1.4366059300002469</v>
      </c>
      <c r="J102">
        <v>1.7121916492637981</v>
      </c>
      <c r="K102">
        <v>0.51138766157172133</v>
      </c>
      <c r="L102">
        <v>0.47199322986063103</v>
      </c>
      <c r="M102">
        <v>0.56705015361884348</v>
      </c>
      <c r="N102">
        <v>9.4860412361781193E-2</v>
      </c>
      <c r="O102">
        <v>5.4761534395405501E-2</v>
      </c>
      <c r="P102">
        <v>0.1399339550462895</v>
      </c>
      <c r="Q102">
        <v>0.22307124980031709</v>
      </c>
      <c r="R102">
        <v>0.19242022537223061</v>
      </c>
      <c r="S102">
        <v>0.25059605754236758</v>
      </c>
      <c r="T102">
        <v>0.1935611276251035</v>
      </c>
      <c r="U102">
        <v>0.13501798294538059</v>
      </c>
      <c r="V102">
        <v>0.26933830491058219</v>
      </c>
      <c r="W102">
        <v>0.5036874236874237</v>
      </c>
      <c r="X102">
        <v>0.4551587301587301</v>
      </c>
      <c r="Y102">
        <v>0.56384615384615377</v>
      </c>
    </row>
    <row r="103" spans="1:25">
      <c r="A103" t="s">
        <v>91</v>
      </c>
      <c r="B103" t="s">
        <v>87</v>
      </c>
      <c r="C103" t="s">
        <v>77</v>
      </c>
      <c r="D103" t="s">
        <v>82</v>
      </c>
      <c r="E103">
        <v>0.14966850320819369</v>
      </c>
      <c r="F103">
        <v>0.13661956992619601</v>
      </c>
      <c r="G103">
        <v>0.1633179243358405</v>
      </c>
      <c r="H103">
        <v>1.4121776453839101</v>
      </c>
      <c r="I103">
        <v>1.3273131130491651</v>
      </c>
      <c r="J103">
        <v>1.503189174108521</v>
      </c>
      <c r="K103">
        <v>0.47069471195365881</v>
      </c>
      <c r="L103">
        <v>0.43190773459150328</v>
      </c>
      <c r="M103">
        <v>0.50864401940015946</v>
      </c>
      <c r="N103">
        <v>6.6684538491194198E-2</v>
      </c>
      <c r="O103">
        <v>-3.146704673780143E-5</v>
      </c>
      <c r="P103">
        <v>0.1354436120330107</v>
      </c>
      <c r="Q103">
        <v>0.22302233154771089</v>
      </c>
      <c r="R103">
        <v>0.1377951999283914</v>
      </c>
      <c r="S103">
        <v>0.27660629654763669</v>
      </c>
      <c r="T103">
        <v>0.13968977912278019</v>
      </c>
      <c r="U103">
        <v>9.9092791438686698E-2</v>
      </c>
      <c r="V103">
        <v>0.16944919154072469</v>
      </c>
      <c r="W103">
        <v>0.44609279609279612</v>
      </c>
      <c r="X103">
        <v>0.28449328449328448</v>
      </c>
      <c r="Y103">
        <v>0.53460927960927973</v>
      </c>
    </row>
    <row r="104" spans="1:25">
      <c r="A104" t="s">
        <v>91</v>
      </c>
      <c r="B104" t="s">
        <v>86</v>
      </c>
      <c r="C104" t="s">
        <v>78</v>
      </c>
      <c r="D104" t="s">
        <v>82</v>
      </c>
      <c r="E104">
        <v>0.15862869659664389</v>
      </c>
      <c r="F104">
        <v>0.131956793896054</v>
      </c>
      <c r="G104">
        <v>0.18595753011263511</v>
      </c>
      <c r="H104">
        <v>1.624317027992908</v>
      </c>
      <c r="I104">
        <v>1.3045854508413759</v>
      </c>
      <c r="J104">
        <v>1.905891909852734</v>
      </c>
      <c r="K104">
        <v>0.5705673361423248</v>
      </c>
      <c r="L104">
        <v>0.54056864758040279</v>
      </c>
      <c r="M104">
        <v>0.60077106540141145</v>
      </c>
      <c r="N104">
        <v>5.9958341436711797E-2</v>
      </c>
      <c r="O104">
        <v>2.5378614793170599E-2</v>
      </c>
      <c r="P104">
        <v>0.1323694448889331</v>
      </c>
      <c r="Q104">
        <v>0.22183613941824681</v>
      </c>
      <c r="R104">
        <v>0.12925530988198941</v>
      </c>
      <c r="S104">
        <v>0.30173816590083358</v>
      </c>
      <c r="T104">
        <v>0.12892555933174199</v>
      </c>
      <c r="U104">
        <v>0.11468346018735361</v>
      </c>
      <c r="V104">
        <v>0.16738914437386529</v>
      </c>
      <c r="W104">
        <v>0.39735775335775331</v>
      </c>
      <c r="X104">
        <v>0.2160024420024419</v>
      </c>
      <c r="Y104">
        <v>0.58415384615384602</v>
      </c>
    </row>
    <row r="105" spans="1:25">
      <c r="A105" t="s">
        <v>91</v>
      </c>
      <c r="B105" t="s">
        <v>86</v>
      </c>
      <c r="C105" t="s">
        <v>77</v>
      </c>
      <c r="D105" t="s">
        <v>82</v>
      </c>
      <c r="E105">
        <v>0.17734916170344039</v>
      </c>
      <c r="F105">
        <v>0.15798922609865601</v>
      </c>
      <c r="G105">
        <v>0.19514730148995521</v>
      </c>
      <c r="H105">
        <v>1.7328868316382231</v>
      </c>
      <c r="I105">
        <v>1.4453710843920791</v>
      </c>
      <c r="J105">
        <v>2.027836374761228</v>
      </c>
      <c r="K105">
        <v>0.53677876170505079</v>
      </c>
      <c r="L105">
        <v>0.51301877477510771</v>
      </c>
      <c r="M105">
        <v>0.56142989648136443</v>
      </c>
      <c r="N105">
        <v>7.5745154035334397E-2</v>
      </c>
      <c r="O105">
        <v>2.3114969930907302E-2</v>
      </c>
      <c r="P105">
        <v>0.12697760437170741</v>
      </c>
      <c r="Q105">
        <v>0.21665267831565219</v>
      </c>
      <c r="R105">
        <v>0.16517325155990201</v>
      </c>
      <c r="S105">
        <v>0.26274273008747218</v>
      </c>
      <c r="T105">
        <v>0.17128297146054919</v>
      </c>
      <c r="U105">
        <v>0.12822364970752059</v>
      </c>
      <c r="V105">
        <v>0.2275604575163398</v>
      </c>
      <c r="W105">
        <v>0.40846153846153838</v>
      </c>
      <c r="X105">
        <v>0.3273687423687423</v>
      </c>
      <c r="Y105">
        <v>0.52172161172161169</v>
      </c>
    </row>
    <row r="106" spans="1:25">
      <c r="A106" t="s">
        <v>91</v>
      </c>
      <c r="B106" t="s">
        <v>88</v>
      </c>
      <c r="C106" t="s">
        <v>78</v>
      </c>
      <c r="D106" t="s">
        <v>82</v>
      </c>
      <c r="E106">
        <v>0.12549132609793029</v>
      </c>
      <c r="F106">
        <v>0.1154944920397437</v>
      </c>
      <c r="G106">
        <v>0.14191254749711019</v>
      </c>
      <c r="H106">
        <v>1.347755541855358</v>
      </c>
      <c r="I106">
        <v>1.0568443147349349</v>
      </c>
      <c r="J106">
        <v>1.7291313046099239</v>
      </c>
      <c r="K106">
        <v>0.4351625980314256</v>
      </c>
      <c r="L106">
        <v>0.39919738618825601</v>
      </c>
      <c r="M106">
        <v>0.46603218296644161</v>
      </c>
      <c r="N106">
        <v>-8.8708454642673004E-3</v>
      </c>
      <c r="O106">
        <v>-5.8985612523525403E-2</v>
      </c>
      <c r="P106">
        <v>3.7422767171116901E-2</v>
      </c>
      <c r="Q106">
        <v>0.2097392538806617</v>
      </c>
      <c r="R106">
        <v>0.16464931639770519</v>
      </c>
      <c r="S106">
        <v>0.27608541751982052</v>
      </c>
      <c r="T106">
        <v>0.1133994788535755</v>
      </c>
      <c r="U106">
        <v>9.1048349590800895E-2</v>
      </c>
      <c r="V106">
        <v>0.16568285598692739</v>
      </c>
      <c r="W106">
        <v>0.44082783882783882</v>
      </c>
      <c r="X106">
        <v>0.2862527472527473</v>
      </c>
      <c r="Y106">
        <v>0.6995702075702076</v>
      </c>
    </row>
    <row r="107" spans="1:25">
      <c r="A107" t="s">
        <v>90</v>
      </c>
      <c r="B107" t="s">
        <v>88</v>
      </c>
      <c r="C107" t="s">
        <v>65</v>
      </c>
      <c r="D107" t="s">
        <v>72</v>
      </c>
      <c r="E107">
        <v>0.11540152565928211</v>
      </c>
      <c r="F107">
        <v>0.10863115326937239</v>
      </c>
      <c r="G107">
        <v>0.123012221167954</v>
      </c>
      <c r="H107">
        <v>1.098949132649355</v>
      </c>
      <c r="I107">
        <v>1.0019234079848369</v>
      </c>
      <c r="J107">
        <v>1.2019010090507749</v>
      </c>
      <c r="K107">
        <v>0.477382673036783</v>
      </c>
      <c r="L107">
        <v>0.41316432601901931</v>
      </c>
      <c r="M107">
        <v>0.53081301624856592</v>
      </c>
      <c r="N107">
        <v>1.6522011173699599E-2</v>
      </c>
      <c r="O107">
        <v>-3.6662108960760401E-2</v>
      </c>
      <c r="P107">
        <v>6.6944090324063302E-2</v>
      </c>
      <c r="Q107">
        <v>0.2097012645771634</v>
      </c>
      <c r="R107">
        <v>0.1053704966696694</v>
      </c>
      <c r="S107">
        <v>0.27276593943956678</v>
      </c>
      <c r="T107">
        <v>0.1204967158949823</v>
      </c>
      <c r="U107">
        <v>9.9116179652847497E-2</v>
      </c>
      <c r="V107">
        <v>0.14879867948400979</v>
      </c>
      <c r="W107">
        <v>0.50204639804639817</v>
      </c>
      <c r="X107">
        <v>0.19159584859584861</v>
      </c>
      <c r="Y107">
        <v>0.73557387057387047</v>
      </c>
    </row>
    <row r="108" spans="1:25">
      <c r="A108" t="s">
        <v>91</v>
      </c>
      <c r="B108" t="s">
        <v>88</v>
      </c>
      <c r="C108" t="s">
        <v>77</v>
      </c>
      <c r="D108" t="s">
        <v>82</v>
      </c>
      <c r="E108">
        <v>0.1583252901000399</v>
      </c>
      <c r="F108">
        <v>0.1355070830635631</v>
      </c>
      <c r="G108">
        <v>0.18143921321656409</v>
      </c>
      <c r="H108">
        <v>1.936782339909713</v>
      </c>
      <c r="I108">
        <v>1.6016249462117791</v>
      </c>
      <c r="J108">
        <v>2.174768894798381</v>
      </c>
      <c r="K108">
        <v>0.40763260583874211</v>
      </c>
      <c r="L108">
        <v>0.38345841946249909</v>
      </c>
      <c r="M108">
        <v>0.44415945740567142</v>
      </c>
      <c r="N108">
        <v>2.3182911830869402E-2</v>
      </c>
      <c r="O108">
        <v>-6.8628664006959203E-2</v>
      </c>
      <c r="P108">
        <v>7.6276072747264098E-2</v>
      </c>
      <c r="Q108">
        <v>0.18987171984910881</v>
      </c>
      <c r="R108">
        <v>0.1423051853456648</v>
      </c>
      <c r="S108">
        <v>0.22466004749678861</v>
      </c>
      <c r="T108">
        <v>0.14495882585132891</v>
      </c>
      <c r="U108">
        <v>7.1903141489153805E-2</v>
      </c>
      <c r="V108">
        <v>0.18373051874149329</v>
      </c>
      <c r="W108">
        <v>0.36009768009768001</v>
      </c>
      <c r="X108">
        <v>0.23232600732600731</v>
      </c>
      <c r="Y108">
        <v>0.42805860805860801</v>
      </c>
    </row>
    <row r="109" spans="1:25">
      <c r="A109" t="s">
        <v>91</v>
      </c>
      <c r="B109" t="s">
        <v>88</v>
      </c>
      <c r="C109" t="s">
        <v>65</v>
      </c>
      <c r="D109" t="s">
        <v>82</v>
      </c>
      <c r="E109">
        <v>0.10931309228901639</v>
      </c>
      <c r="F109">
        <v>9.9421808569502307E-2</v>
      </c>
      <c r="G109">
        <v>0.1244278701904874</v>
      </c>
      <c r="H109">
        <v>1.0599812753488349</v>
      </c>
      <c r="I109">
        <v>0.96388426689862605</v>
      </c>
      <c r="J109">
        <v>1.2245033090397861</v>
      </c>
      <c r="K109">
        <v>0.36032224235273308</v>
      </c>
      <c r="L109">
        <v>0.33844281183434732</v>
      </c>
      <c r="M109">
        <v>0.37888224363635781</v>
      </c>
      <c r="N109">
        <v>-1.6892376373923101E-2</v>
      </c>
      <c r="O109">
        <v>-8.8828542269338603E-2</v>
      </c>
      <c r="P109">
        <v>6.3036398805173297E-2</v>
      </c>
      <c r="Q109">
        <v>0.13819813341392259</v>
      </c>
      <c r="R109">
        <v>8.3927952796860494E-2</v>
      </c>
      <c r="S109">
        <v>0.22279078653503209</v>
      </c>
      <c r="T109">
        <v>9.4053952213797906E-2</v>
      </c>
      <c r="U109">
        <v>4.3095084297068598E-2</v>
      </c>
      <c r="V109">
        <v>0.15146502483024221</v>
      </c>
      <c r="W109">
        <v>0.36478876678876671</v>
      </c>
      <c r="X109">
        <v>0.25900488400488397</v>
      </c>
      <c r="Y109">
        <v>0.4747716727716727</v>
      </c>
    </row>
  </sheetData>
  <sortState xmlns:xlrd2="http://schemas.microsoft.com/office/spreadsheetml/2017/richdata2" ref="A2:Y110">
    <sortCondition descending="1" ref="Q1:Q110"/>
  </sortState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0" customWidth="1"/>
    <col min="2" max="2" width="19" customWidth="1"/>
    <col min="3" max="3" width="15" customWidth="1"/>
    <col min="4" max="4" width="13" customWidth="1"/>
    <col min="5" max="5" width="10" customWidth="1"/>
  </cols>
  <sheetData>
    <row r="1" spans="1:5">
      <c r="A1" s="1" t="s">
        <v>24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>
      <c r="A2" t="s">
        <v>65</v>
      </c>
      <c r="B2" t="s">
        <v>67</v>
      </c>
      <c r="C2">
        <v>4</v>
      </c>
      <c r="D2">
        <v>3</v>
      </c>
      <c r="E2">
        <v>37</v>
      </c>
    </row>
    <row r="3" spans="1:5">
      <c r="A3" t="s">
        <v>65</v>
      </c>
      <c r="B3" t="s">
        <v>68</v>
      </c>
      <c r="C3">
        <v>20</v>
      </c>
      <c r="D3">
        <v>12</v>
      </c>
      <c r="E3">
        <v>37</v>
      </c>
    </row>
    <row r="4" spans="1:5">
      <c r="A4" t="s">
        <v>65</v>
      </c>
      <c r="B4" t="s">
        <v>69</v>
      </c>
      <c r="C4">
        <v>26</v>
      </c>
      <c r="D4">
        <v>11</v>
      </c>
      <c r="E4">
        <v>37</v>
      </c>
    </row>
    <row r="5" spans="1:5">
      <c r="A5" t="s">
        <v>65</v>
      </c>
      <c r="B5" t="s">
        <v>70</v>
      </c>
      <c r="C5">
        <v>7</v>
      </c>
      <c r="D5">
        <v>4</v>
      </c>
      <c r="E5">
        <v>37</v>
      </c>
    </row>
    <row r="6" spans="1:5">
      <c r="A6" t="s">
        <v>65</v>
      </c>
      <c r="B6" t="s">
        <v>71</v>
      </c>
      <c r="C6">
        <v>9</v>
      </c>
      <c r="D6">
        <v>6</v>
      </c>
      <c r="E6">
        <v>37</v>
      </c>
    </row>
    <row r="7" spans="1:5">
      <c r="A7" t="s">
        <v>77</v>
      </c>
      <c r="B7" t="s">
        <v>67</v>
      </c>
      <c r="C7">
        <v>4</v>
      </c>
      <c r="D7">
        <v>3</v>
      </c>
      <c r="E7">
        <v>37</v>
      </c>
    </row>
    <row r="8" spans="1:5">
      <c r="A8" t="s">
        <v>77</v>
      </c>
      <c r="B8" t="s">
        <v>68</v>
      </c>
      <c r="C8">
        <v>21</v>
      </c>
      <c r="D8">
        <v>12</v>
      </c>
      <c r="E8">
        <v>37</v>
      </c>
    </row>
    <row r="9" spans="1:5">
      <c r="A9" t="s">
        <v>77</v>
      </c>
      <c r="B9" t="s">
        <v>69</v>
      </c>
      <c r="C9">
        <v>26</v>
      </c>
      <c r="D9">
        <v>11</v>
      </c>
      <c r="E9">
        <v>37</v>
      </c>
    </row>
    <row r="10" spans="1:5">
      <c r="A10" t="s">
        <v>77</v>
      </c>
      <c r="B10" t="s">
        <v>70</v>
      </c>
      <c r="C10">
        <v>7</v>
      </c>
      <c r="D10">
        <v>4</v>
      </c>
      <c r="E10">
        <v>37</v>
      </c>
    </row>
    <row r="11" spans="1:5">
      <c r="A11" t="s">
        <v>77</v>
      </c>
      <c r="B11" t="s">
        <v>71</v>
      </c>
      <c r="C11">
        <v>9</v>
      </c>
      <c r="D11">
        <v>6</v>
      </c>
      <c r="E11">
        <v>37</v>
      </c>
    </row>
    <row r="12" spans="1:5">
      <c r="A12" t="s">
        <v>78</v>
      </c>
      <c r="B12" t="s">
        <v>67</v>
      </c>
      <c r="C12">
        <v>4</v>
      </c>
      <c r="D12">
        <v>3</v>
      </c>
      <c r="E12">
        <v>37</v>
      </c>
    </row>
    <row r="13" spans="1:5">
      <c r="A13" t="s">
        <v>78</v>
      </c>
      <c r="B13" t="s">
        <v>68</v>
      </c>
      <c r="C13">
        <v>20</v>
      </c>
      <c r="D13">
        <v>12</v>
      </c>
      <c r="E13">
        <v>37</v>
      </c>
    </row>
    <row r="14" spans="1:5">
      <c r="A14" t="s">
        <v>78</v>
      </c>
      <c r="B14" t="s">
        <v>69</v>
      </c>
      <c r="C14">
        <v>26</v>
      </c>
      <c r="D14">
        <v>11</v>
      </c>
      <c r="E14">
        <v>37</v>
      </c>
    </row>
    <row r="15" spans="1:5">
      <c r="A15" t="s">
        <v>78</v>
      </c>
      <c r="B15" t="s">
        <v>70</v>
      </c>
      <c r="C15">
        <v>7</v>
      </c>
      <c r="D15">
        <v>4</v>
      </c>
      <c r="E15">
        <v>37</v>
      </c>
    </row>
    <row r="16" spans="1:5">
      <c r="A16" t="s">
        <v>78</v>
      </c>
      <c r="B16" t="s">
        <v>71</v>
      </c>
      <c r="C16">
        <v>9</v>
      </c>
      <c r="D16">
        <v>6</v>
      </c>
      <c r="E16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README</vt:lpstr>
      <vt:lpstr>Summary</vt:lpstr>
      <vt:lpstr>Genus_PerFlag</vt:lpstr>
      <vt:lpstr>Genus_MacroAvg</vt:lpstr>
      <vt:lpstr>TaxLevel_PerFlag</vt:lpstr>
      <vt:lpstr>TaxLevel_MacroAvg</vt:lpstr>
      <vt:lpstr>Combined_MacroAvg</vt:lpstr>
      <vt:lpstr>Label_Support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최수진(환경공학부)</cp:lastModifiedBy>
  <dcterms:created xsi:type="dcterms:W3CDTF">2026-09-10T08:32:20Z</dcterms:created>
  <dcterms:modified xsi:type="dcterms:W3CDTF">2026-09-10T19:56:05Z</dcterms:modified>
</cp:coreProperties>
</file>