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stechackr-my.sharepoint.com/personal/sujineeda_postech_ac_kr/Documents/학회/2026/ICAE/paper/data/physicochemical/"/>
    </mc:Choice>
  </mc:AlternateContent>
  <xr:revisionPtr revIDLastSave="0" documentId="8_{B9C831D5-3F8A-4678-A5DB-57BC93D9FC4A}" xr6:coauthVersionLast="47" xr6:coauthVersionMax="47" xr10:uidLastSave="{00000000-0000-0000-0000-000000000000}"/>
  <bookViews>
    <workbookView xWindow="-120" yWindow="-120" windowWidth="38640" windowHeight="15840" activeTab="3" xr2:uid="{F6926E1B-A370-4C8F-A145-637832EB78CF}"/>
  </bookViews>
  <sheets>
    <sheet name="Si_4R" sheetId="6" r:id="rId1"/>
    <sheet name="Si_3R" sheetId="5" r:id="rId2"/>
    <sheet name="Si_2R" sheetId="4" r:id="rId3"/>
    <sheet name="Si_1R" sheetId="3" r:id="rId4"/>
    <sheet name="Se" sheetId="1" r:id="rId5"/>
    <sheet name="ADPs_140Si,Se,분석" sheetId="2" r:id="rId6"/>
  </sheets>
  <externalReferences>
    <externalReference r:id="rId7"/>
    <externalReference r:id="rId8"/>
  </externalReferences>
  <definedNames>
    <definedName name="_xlnm._FilterDatabase" localSheetId="3" hidden="1">Si_1R!$D$1:$D$175</definedName>
    <definedName name="_xlnm._FilterDatabase" localSheetId="2" hidden="1">Si_2R!$D$1:$D$172</definedName>
    <definedName name="_xlnm._FilterDatabase" localSheetId="1" hidden="1">Si_3R!$D$1:$D$173</definedName>
    <definedName name="_xlnm._FilterDatabase" localSheetId="0" hidden="1">Si_4R!$D$1:$D$173</definedName>
    <definedName name="Cha" localSheetId="3">#REF!</definedName>
    <definedName name="Cha" localSheetId="2">#REF!</definedName>
    <definedName name="Cha" localSheetId="1">#REF!</definedName>
    <definedName name="Cha" localSheetId="0">#REF!</definedName>
    <definedName name="Cha">#REF!</definedName>
    <definedName name="Characterization" localSheetId="3">#REF!</definedName>
    <definedName name="Characterization" localSheetId="2">#REF!</definedName>
    <definedName name="Characterization" localSheetId="1">#REF!</definedName>
    <definedName name="Characterization" localSheetId="0">#REF!</definedName>
    <definedName name="Characterization">#REF!</definedName>
    <definedName name="Cs" localSheetId="3">#REF!</definedName>
    <definedName name="Cs" localSheetId="2">#REF!</definedName>
    <definedName name="Cs" localSheetId="1">#REF!</definedName>
    <definedName name="Cs" localSheetId="0">#REF!</definedName>
    <definedName name="Cs">#REF!</definedName>
    <definedName name="Es" localSheetId="3">#REF!</definedName>
    <definedName name="Es" localSheetId="2">#REF!</definedName>
    <definedName name="Es" localSheetId="1">#REF!</definedName>
    <definedName name="Es" localSheetId="0">#REF!</definedName>
    <definedName name="Es">#REF!</definedName>
    <definedName name="Ev" localSheetId="3">#REF!</definedName>
    <definedName name="Ev" localSheetId="2">#REF!</definedName>
    <definedName name="Ev" localSheetId="1">#REF!</definedName>
    <definedName name="Ev" localSheetId="0">#REF!</definedName>
    <definedName name="Ev">#REF!</definedName>
    <definedName name="mo" localSheetId="3">#REF!</definedName>
    <definedName name="mo" localSheetId="2">#REF!</definedName>
    <definedName name="mo" localSheetId="1">#REF!</definedName>
    <definedName name="mo" localSheetId="0">#REF!</definedName>
    <definedName name="mo">#REF!</definedName>
    <definedName name="new" localSheetId="3">#REF!</definedName>
    <definedName name="new" localSheetId="2">#REF!</definedName>
    <definedName name="new" localSheetId="1">#REF!</definedName>
    <definedName name="new" localSheetId="0">#REF!</definedName>
    <definedName name="new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1" i="6" l="1"/>
  <c r="B60" i="5"/>
  <c r="B57" i="4"/>
  <c r="B66" i="3"/>
  <c r="L41" i="2"/>
  <c r="H40" i="2"/>
  <c r="G40" i="2"/>
  <c r="F40" i="2"/>
  <c r="E40" i="2"/>
  <c r="B40" i="2"/>
</calcChain>
</file>

<file path=xl/sharedStrings.xml><?xml version="1.0" encoding="utf-8"?>
<sst xmlns="http://schemas.openxmlformats.org/spreadsheetml/2006/main" count="2770" uniqueCount="330">
  <si>
    <t>Summary_140X_Chem._Se 집중 모니터링 시설: 13, 20, 27 (ALK: g CaCO3/L, pH: -, Others: g/L, CH4,CO2,O2: %, H2S: ppm)</t>
  </si>
  <si>
    <t>Se only</t>
    <phoneticPr fontId="2" type="noConversion"/>
  </si>
  <si>
    <t>S</t>
    <phoneticPr fontId="2" type="noConversion"/>
  </si>
  <si>
    <t>F</t>
    <phoneticPr fontId="2" type="noConversion"/>
  </si>
  <si>
    <t>W</t>
    <phoneticPr fontId="2" type="noConversion"/>
  </si>
  <si>
    <t>Sp</t>
    <phoneticPr fontId="2" type="noConversion"/>
  </si>
  <si>
    <r>
      <t>No.</t>
    </r>
    <r>
      <rPr>
        <sz val="10"/>
        <rFont val="맑은 고딕"/>
        <family val="3"/>
        <charset val="129"/>
      </rPr>
      <t>_5</t>
    </r>
  </si>
  <si>
    <r>
      <t>ADP</t>
    </r>
    <r>
      <rPr>
        <sz val="10"/>
        <rFont val="맑은 고딕"/>
        <family val="3"/>
        <charset val="129"/>
      </rPr>
      <t>_6</t>
    </r>
  </si>
  <si>
    <t>HRT (d)</t>
    <phoneticPr fontId="2" type="noConversion"/>
  </si>
  <si>
    <r>
      <t>T (</t>
    </r>
    <r>
      <rPr>
        <vertAlign val="superscript"/>
        <sz val="11"/>
        <rFont val="맑은 고딕"/>
        <family val="3"/>
        <charset val="129"/>
      </rPr>
      <t>o</t>
    </r>
    <r>
      <rPr>
        <sz val="11"/>
        <rFont val="맑은 고딕"/>
        <family val="3"/>
        <charset val="129"/>
      </rPr>
      <t>C)</t>
    </r>
  </si>
  <si>
    <t>pH</t>
    <phoneticPr fontId="10" type="noConversion"/>
  </si>
  <si>
    <t>ALK</t>
    <phoneticPr fontId="2" type="noConversion"/>
  </si>
  <si>
    <t>TS</t>
  </si>
  <si>
    <t>VS</t>
  </si>
  <si>
    <t>TSS</t>
  </si>
  <si>
    <t>VSS</t>
  </si>
  <si>
    <t>TC</t>
  </si>
  <si>
    <t>TKN</t>
  </si>
  <si>
    <t>TAN</t>
  </si>
  <si>
    <t>Lipid</t>
    <phoneticPr fontId="2" type="noConversion"/>
  </si>
  <si>
    <t>COD</t>
  </si>
  <si>
    <t>sCOD</t>
  </si>
  <si>
    <t>TVFAs</t>
  </si>
  <si>
    <t>TVFAs+EtOH</t>
  </si>
  <si>
    <t>EtOH</t>
  </si>
  <si>
    <t>HAc</t>
  </si>
  <si>
    <t>HPro</t>
  </si>
  <si>
    <t>i-HBut</t>
  </si>
  <si>
    <t>HBut</t>
  </si>
  <si>
    <t>i-HVal</t>
  </si>
  <si>
    <t>HVal</t>
  </si>
  <si>
    <t>i-HCap</t>
  </si>
  <si>
    <t>HCap</t>
  </si>
  <si>
    <t>Cation</t>
    <phoneticPr fontId="2" type="noConversion"/>
  </si>
  <si>
    <t>Anion</t>
    <phoneticPr fontId="2" type="noConversion"/>
  </si>
  <si>
    <t>CO2</t>
  </si>
  <si>
    <t>CH4</t>
  </si>
  <si>
    <t>H2S</t>
  </si>
  <si>
    <t>O2</t>
  </si>
  <si>
    <t>Pellet</t>
    <phoneticPr fontId="10" type="noConversion"/>
  </si>
  <si>
    <t>DNA</t>
    <phoneticPr fontId="10" type="noConversion"/>
  </si>
  <si>
    <t>NGS</t>
    <phoneticPr fontId="2" type="noConversion"/>
  </si>
  <si>
    <t>QPCR</t>
  </si>
  <si>
    <t>BSS</t>
  </si>
  <si>
    <t>o</t>
    <phoneticPr fontId="2" type="noConversion"/>
  </si>
  <si>
    <t>-</t>
    <phoneticPr fontId="2" type="noConversion"/>
  </si>
  <si>
    <t>-</t>
  </si>
  <si>
    <t>o</t>
  </si>
  <si>
    <t>BSN</t>
  </si>
  <si>
    <t>35~38</t>
  </si>
  <si>
    <t>BSI</t>
  </si>
  <si>
    <t>3b</t>
    <phoneticPr fontId="2" type="noConversion"/>
  </si>
  <si>
    <t>BSIb</t>
  </si>
  <si>
    <t>x</t>
  </si>
  <si>
    <t>BSO</t>
  </si>
  <si>
    <t>BSE</t>
  </si>
  <si>
    <t>DGG</t>
  </si>
  <si>
    <t>DGD</t>
  </si>
  <si>
    <t>DGJ</t>
  </si>
  <si>
    <t>DGB</t>
  </si>
  <si>
    <t>DGC</t>
  </si>
  <si>
    <t>DGY</t>
  </si>
  <si>
    <t>11b</t>
    <phoneticPr fontId="2" type="noConversion"/>
  </si>
  <si>
    <t>DGYb</t>
  </si>
  <si>
    <t>USO</t>
  </si>
  <si>
    <t>USY</t>
  </si>
  <si>
    <t>36~43</t>
  </si>
  <si>
    <t>USJ</t>
  </si>
  <si>
    <t>35~40</t>
  </si>
  <si>
    <t>GSG</t>
  </si>
  <si>
    <t>GCG</t>
  </si>
  <si>
    <t>Over range</t>
  </si>
  <si>
    <t>MGY</t>
  </si>
  <si>
    <t>ADA</t>
  </si>
  <si>
    <t>ADP</t>
  </si>
  <si>
    <t>37~39</t>
  </si>
  <si>
    <t>YCG</t>
  </si>
  <si>
    <t>YCD</t>
  </si>
  <si>
    <t>30~38</t>
  </si>
  <si>
    <t>UJG</t>
  </si>
  <si>
    <t>25-37</t>
  </si>
  <si>
    <t>CGS</t>
  </si>
  <si>
    <t>GHGa</t>
  </si>
  <si>
    <t>35~37</t>
  </si>
  <si>
    <t>GHGb</t>
  </si>
  <si>
    <t>GHH</t>
  </si>
  <si>
    <t>GHJ</t>
  </si>
  <si>
    <t>MYS</t>
  </si>
  <si>
    <t>SCH</t>
  </si>
  <si>
    <t>YSD</t>
  </si>
  <si>
    <t>35±2</t>
  </si>
  <si>
    <t>YSY</t>
  </si>
  <si>
    <t>JJN</t>
  </si>
  <si>
    <t>32'</t>
  </si>
  <si>
    <t>JJY</t>
  </si>
  <si>
    <t>25~34</t>
  </si>
  <si>
    <t>x</t>
    <phoneticPr fontId="2" type="noConversion"/>
  </si>
  <si>
    <t>CWM</t>
  </si>
  <si>
    <t>CWS</t>
  </si>
  <si>
    <r>
      <rPr>
        <sz val="11"/>
        <rFont val="맑은 고딕"/>
        <family val="3"/>
        <charset val="129"/>
      </rPr>
      <t>o: Si (기질별)/Se 완료 (S/F/W/Sp)</t>
    </r>
    <r>
      <rPr>
        <sz val="11"/>
        <color rgb="FF0000FF"/>
        <rFont val="맑은 고딕"/>
        <family val="3"/>
        <charset val="129"/>
      </rPr>
      <t xml:space="preserve">, </t>
    </r>
    <r>
      <rPr>
        <b/>
        <sz val="12"/>
        <color rgb="FF0000FF"/>
        <rFont val="맑은 고딕"/>
        <family val="3"/>
        <charset val="129"/>
      </rPr>
      <t>-</t>
    </r>
    <r>
      <rPr>
        <sz val="11"/>
        <color rgb="FF0000FF"/>
        <rFont val="맑은 고딕"/>
        <family val="3"/>
        <charset val="129"/>
      </rPr>
      <t xml:space="preserve">: 분석 가능, </t>
    </r>
    <r>
      <rPr>
        <sz val="11"/>
        <color rgb="FFFF0000"/>
        <rFont val="맑은 고딕"/>
        <family val="3"/>
        <charset val="129"/>
      </rPr>
      <t>x: (추가)분석 불가</t>
    </r>
  </si>
  <si>
    <r>
      <t>BG성상: o*: 탈황 후단 (</t>
    </r>
    <r>
      <rPr>
        <sz val="11"/>
        <color rgb="FFC00000"/>
        <rFont val="맑은 고딕"/>
        <family val="3"/>
        <charset val="129"/>
      </rPr>
      <t>분석 기기상, H</t>
    </r>
    <r>
      <rPr>
        <vertAlign val="subscript"/>
        <sz val="11"/>
        <color rgb="FFC00000"/>
        <rFont val="맑은 고딕"/>
        <family val="3"/>
        <charset val="129"/>
      </rPr>
      <t>2</t>
    </r>
    <r>
      <rPr>
        <sz val="11"/>
        <color rgb="FFC00000"/>
        <rFont val="맑은 고딕"/>
        <family val="3"/>
        <charset val="129"/>
      </rPr>
      <t>S는 측정은 됨</t>
    </r>
    <r>
      <rPr>
        <sz val="11"/>
        <rFont val="맑은 고딕"/>
        <family val="3"/>
        <charset val="129"/>
      </rPr>
      <t xml:space="preserve">), </t>
    </r>
    <r>
      <rPr>
        <sz val="11"/>
        <color rgb="FFC00000"/>
        <rFont val="맑은 고딕"/>
        <family val="3"/>
        <charset val="129"/>
      </rPr>
      <t>o'</t>
    </r>
    <r>
      <rPr>
        <sz val="11"/>
        <rFont val="맑은 고딕"/>
        <family val="3"/>
        <charset val="129"/>
      </rPr>
      <t>: 탈황 전단 (H</t>
    </r>
    <r>
      <rPr>
        <vertAlign val="subscript"/>
        <sz val="11"/>
        <rFont val="맑은 고딕"/>
        <family val="3"/>
        <charset val="129"/>
      </rPr>
      <t>2</t>
    </r>
    <r>
      <rPr>
        <sz val="11"/>
        <rFont val="맑은 고딕"/>
        <family val="3"/>
        <charset val="129"/>
      </rPr>
      <t>S 측정)</t>
    </r>
  </si>
  <si>
    <t>S: 15. GSGA, 21. YCDG: 설비 문제로 가스 샘플링/분석 불가</t>
    <phoneticPr fontId="18" type="noConversion"/>
  </si>
  <si>
    <t>가스성상 (CO2/CH4/H2S/O2 순서로 정리) 및 단위?</t>
    <phoneticPr fontId="2" type="noConversion"/>
  </si>
  <si>
    <r>
      <t>단위는 CH4, CO2, O2: %, H2S: 10</t>
    </r>
    <r>
      <rPr>
        <vertAlign val="superscript"/>
        <sz val="11"/>
        <color rgb="FFC00000"/>
        <rFont val="맑은 고딕"/>
        <family val="3"/>
        <charset val="129"/>
      </rPr>
      <t xml:space="preserve">3 </t>
    </r>
    <r>
      <rPr>
        <sz val="11"/>
        <color rgb="FFC00000"/>
        <rFont val="맑은 고딕"/>
        <family val="3"/>
        <charset val="129"/>
      </rPr>
      <t>ppm입니다.</t>
    </r>
  </si>
  <si>
    <t>Info_140 ADPs (240701~250411). 집중 모니터링 시설 (13, 20, 27). Ref: 최종보고서_바이오가스 생산목표제의 효율적 이행을 위한 운영방안 마련 (2025.05)</t>
    <phoneticPr fontId="2" type="noConversion"/>
  </si>
  <si>
    <t>BEST 표기법: NGS</t>
    <phoneticPr fontId="18" type="noConversion"/>
  </si>
  <si>
    <t>Inputs of ADPs</t>
    <phoneticPr fontId="2" type="noConversion"/>
  </si>
  <si>
    <t>No.</t>
  </si>
  <si>
    <r>
      <t>ADP</t>
    </r>
    <r>
      <rPr>
        <b/>
        <sz val="10"/>
        <rFont val="맑은 고딕"/>
        <family val="3"/>
        <charset val="129"/>
        <scheme val="minor"/>
      </rPr>
      <t>_6</t>
    </r>
    <phoneticPr fontId="2" type="noConversion"/>
  </si>
  <si>
    <r>
      <t>Si</t>
    </r>
    <r>
      <rPr>
        <b/>
        <sz val="10"/>
        <rFont val="맑은 고딕"/>
        <family val="3"/>
        <charset val="129"/>
      </rPr>
      <t>_25</t>
    </r>
    <phoneticPr fontId="2" type="noConversion"/>
  </si>
  <si>
    <r>
      <t>Sludge</t>
    </r>
    <r>
      <rPr>
        <b/>
        <sz val="10"/>
        <rFont val="맑은 고딕"/>
        <family val="3"/>
        <charset val="129"/>
        <scheme val="minor"/>
      </rPr>
      <t>_25</t>
    </r>
    <phoneticPr fontId="2" type="noConversion"/>
  </si>
  <si>
    <t>FW/Fww</t>
    <phoneticPr fontId="2" type="noConversion"/>
  </si>
  <si>
    <t>HM</t>
    <phoneticPr fontId="2" type="noConversion"/>
  </si>
  <si>
    <t>Aww</t>
    <phoneticPr fontId="2" type="noConversion"/>
  </si>
  <si>
    <r>
      <t xml:space="preserve">S </t>
    </r>
    <r>
      <rPr>
        <b/>
        <sz val="10"/>
        <rFont val="맑은 고딕"/>
        <family val="3"/>
        <charset val="129"/>
      </rPr>
      <t>(240701~22)</t>
    </r>
    <phoneticPr fontId="18" type="noConversion"/>
  </si>
  <si>
    <r>
      <t xml:space="preserve">F </t>
    </r>
    <r>
      <rPr>
        <b/>
        <sz val="10"/>
        <rFont val="맑은 고딕"/>
        <family val="3"/>
        <charset val="129"/>
      </rPr>
      <t>(241023~1104)</t>
    </r>
    <phoneticPr fontId="2" type="noConversion"/>
  </si>
  <si>
    <r>
      <t xml:space="preserve">W </t>
    </r>
    <r>
      <rPr>
        <b/>
        <sz val="10"/>
        <rFont val="맑은 고딕"/>
        <family val="3"/>
        <charset val="129"/>
      </rPr>
      <t>(250108~17)</t>
    </r>
    <phoneticPr fontId="18" type="noConversion"/>
  </si>
  <si>
    <r>
      <t xml:space="preserve">Sp </t>
    </r>
    <r>
      <rPr>
        <b/>
        <sz val="10"/>
        <rFont val="맑은 고딕"/>
        <family val="3"/>
        <charset val="129"/>
      </rPr>
      <t>(250331~0411)</t>
    </r>
    <phoneticPr fontId="2" type="noConversion"/>
  </si>
  <si>
    <t>Si #</t>
    <phoneticPr fontId="2" type="noConversion"/>
  </si>
  <si>
    <t>BG성상</t>
    <phoneticPr fontId="10" type="noConversion"/>
  </si>
  <si>
    <r>
      <t>Inputs (Si)</t>
    </r>
    <r>
      <rPr>
        <b/>
        <sz val="10"/>
        <color theme="1"/>
        <rFont val="맑은 고딕"/>
        <family val="3"/>
        <charset val="129"/>
      </rPr>
      <t>_40</t>
    </r>
    <phoneticPr fontId="2" type="noConversion"/>
  </si>
  <si>
    <r>
      <t>Acronyms</t>
    </r>
    <r>
      <rPr>
        <b/>
        <sz val="10"/>
        <rFont val="맑은 고딕"/>
        <family val="3"/>
        <charset val="129"/>
      </rPr>
      <t>_15</t>
    </r>
    <phoneticPr fontId="2" type="noConversion"/>
  </si>
  <si>
    <t>음식물</t>
  </si>
  <si>
    <t>FW</t>
  </si>
  <si>
    <t>1</t>
    <phoneticPr fontId="2" type="noConversion"/>
  </si>
  <si>
    <t>o</t>
    <phoneticPr fontId="18" type="noConversion"/>
  </si>
  <si>
    <t>S</t>
    <phoneticPr fontId="18" type="noConversion"/>
  </si>
  <si>
    <t>S*/F/W/Sp</t>
  </si>
  <si>
    <t>1차슬러지_(침전/농축) (Primary sludge)</t>
    <phoneticPr fontId="2" type="noConversion"/>
  </si>
  <si>
    <t>1S(C) (conc.)</t>
    <phoneticPr fontId="2" type="noConversion"/>
  </si>
  <si>
    <r>
      <t xml:space="preserve">농축혼합슬러지 </t>
    </r>
    <r>
      <rPr>
        <b/>
        <sz val="10"/>
        <rFont val="맑은 고딕"/>
        <family val="3"/>
        <charset val="129"/>
        <scheme val="minor"/>
      </rPr>
      <t>(S*)</t>
    </r>
    <r>
      <rPr>
        <b/>
        <sz val="11"/>
        <color rgb="FF00B0F0"/>
        <rFont val="맑은 고딕"/>
        <family val="3"/>
        <charset val="129"/>
        <scheme val="minor"/>
      </rPr>
      <t>/</t>
    </r>
    <r>
      <rPr>
        <sz val="11"/>
        <rFont val="맑은 고딕"/>
        <family val="3"/>
        <charset val="129"/>
        <scheme val="minor"/>
      </rPr>
      <t>음폐수</t>
    </r>
    <phoneticPr fontId="18" type="noConversion"/>
  </si>
  <si>
    <r>
      <t>농축혼합슬러지</t>
    </r>
    <r>
      <rPr>
        <sz val="10"/>
        <rFont val="맑은 고딕"/>
        <family val="3"/>
        <charset val="129"/>
        <scheme val="minor"/>
      </rPr>
      <t xml:space="preserve"> </t>
    </r>
    <r>
      <rPr>
        <b/>
        <sz val="10"/>
        <rFont val="맑은 고딕"/>
        <family val="3"/>
        <charset val="129"/>
        <scheme val="minor"/>
      </rPr>
      <t>(S*)</t>
    </r>
    <phoneticPr fontId="2" type="noConversion"/>
  </si>
  <si>
    <t>음폐수</t>
  </si>
  <si>
    <r>
      <t>1SC</t>
    </r>
    <r>
      <rPr>
        <b/>
        <sz val="11"/>
        <color rgb="FF00B0F0"/>
        <rFont val="맑은 고딕"/>
        <family val="3"/>
        <charset val="129"/>
      </rPr>
      <t>/</t>
    </r>
    <r>
      <rPr>
        <b/>
        <sz val="11"/>
        <rFont val="맑은 고딕"/>
        <family val="3"/>
        <charset val="129"/>
      </rPr>
      <t>2SC</t>
    </r>
    <r>
      <rPr>
        <b/>
        <sz val="11"/>
        <color rgb="FF00B0F0"/>
        <rFont val="맑은 고딕"/>
        <family val="3"/>
        <charset val="129"/>
      </rPr>
      <t>/</t>
    </r>
    <r>
      <rPr>
        <b/>
        <sz val="11"/>
        <rFont val="맑은 고딕"/>
        <family val="3"/>
        <charset val="129"/>
      </rPr>
      <t>Fww</t>
    </r>
    <phoneticPr fontId="2" type="noConversion"/>
  </si>
  <si>
    <r>
      <t>MSC</t>
    </r>
    <r>
      <rPr>
        <b/>
        <sz val="11"/>
        <color rgb="FF00B0F0"/>
        <rFont val="맑은 고딕"/>
        <family val="3"/>
        <charset val="129"/>
      </rPr>
      <t>/</t>
    </r>
    <r>
      <rPr>
        <sz val="11"/>
        <rFont val="맑은 고딕"/>
        <family val="3"/>
        <charset val="129"/>
      </rPr>
      <t>Fww</t>
    </r>
    <phoneticPr fontId="2" type="noConversion"/>
  </si>
  <si>
    <t>2, 3</t>
    <phoneticPr fontId="2" type="noConversion"/>
  </si>
  <si>
    <t>x</t>
    <phoneticPr fontId="18" type="noConversion"/>
  </si>
  <si>
    <t>S*/F/W/Sp</t>
    <phoneticPr fontId="18" type="noConversion"/>
  </si>
  <si>
    <t>2차슬러지_(침전/농축) (Secondary sludge)</t>
    <phoneticPr fontId="2" type="noConversion"/>
  </si>
  <si>
    <t>2S(C) (conc.)</t>
    <phoneticPr fontId="2" type="noConversion"/>
  </si>
  <si>
    <t>농축혼합슬러지</t>
  </si>
  <si>
    <t>MSC</t>
  </si>
  <si>
    <t>(침전/농축) 혼합슬러지 (1S+2S mixed sludge)</t>
    <phoneticPr fontId="2" type="noConversion"/>
  </si>
  <si>
    <t>MS(C) (conc.)</t>
    <phoneticPr fontId="2" type="noConversion"/>
  </si>
  <si>
    <t>&lt;- NGS: 연구 목적</t>
    <phoneticPr fontId="2" type="noConversion"/>
  </si>
  <si>
    <t>음식물 (Foodwaste)</t>
    <phoneticPr fontId="2" type="noConversion"/>
  </si>
  <si>
    <t>FW</t>
    <phoneticPr fontId="2" type="noConversion"/>
  </si>
  <si>
    <t>농축혼합슬러지+음폐수</t>
  </si>
  <si>
    <t>농축혼합슬러지</t>
    <phoneticPr fontId="2" type="noConversion"/>
  </si>
  <si>
    <t>MSC+Fww</t>
  </si>
  <si>
    <t>음폐수 (Food wastewater)</t>
    <phoneticPr fontId="2" type="noConversion"/>
  </si>
  <si>
    <t>Fww</t>
    <phoneticPr fontId="2" type="noConversion"/>
  </si>
  <si>
    <r>
      <t>1차</t>
    </r>
    <r>
      <rPr>
        <sz val="11"/>
        <color rgb="FF00B0F0"/>
        <rFont val="맑은 고딕"/>
        <family val="3"/>
        <charset val="129"/>
        <scheme val="minor"/>
      </rPr>
      <t>/</t>
    </r>
    <r>
      <rPr>
        <sz val="11"/>
        <rFont val="맑은 고딕"/>
        <family val="3"/>
        <charset val="129"/>
        <scheme val="minor"/>
      </rPr>
      <t>2차슬러지_농축</t>
    </r>
    <phoneticPr fontId="2" type="noConversion"/>
  </si>
  <si>
    <r>
      <t>1차</t>
    </r>
    <r>
      <rPr>
        <b/>
        <sz val="11"/>
        <color rgb="FF00B0F0"/>
        <rFont val="맑은 고딕"/>
        <family val="3"/>
        <charset val="129"/>
        <scheme val="minor"/>
      </rPr>
      <t>/</t>
    </r>
    <r>
      <rPr>
        <sz val="11"/>
        <rFont val="맑은 고딕"/>
        <family val="3"/>
        <charset val="129"/>
        <scheme val="minor"/>
      </rPr>
      <t>2차슬러지_농축</t>
    </r>
    <phoneticPr fontId="2" type="noConversion"/>
  </si>
  <si>
    <r>
      <t>1SC</t>
    </r>
    <r>
      <rPr>
        <b/>
        <sz val="11"/>
        <color rgb="FF00B0F0"/>
        <rFont val="맑은 고딕"/>
        <family val="3"/>
        <charset val="129"/>
      </rPr>
      <t>/</t>
    </r>
    <r>
      <rPr>
        <sz val="11"/>
        <rFont val="맑은 고딕"/>
        <family val="3"/>
        <charset val="129"/>
      </rPr>
      <t>2SC</t>
    </r>
    <phoneticPr fontId="18" type="noConversion"/>
  </si>
  <si>
    <t>2</t>
    <phoneticPr fontId="2" type="noConversion"/>
  </si>
  <si>
    <t>돈분뇨 (Swine wastewater)</t>
    <phoneticPr fontId="2" type="noConversion"/>
  </si>
  <si>
    <t>Sww</t>
    <phoneticPr fontId="2" type="noConversion"/>
  </si>
  <si>
    <t>음식물+인분+가축분뇨</t>
    <phoneticPr fontId="2" type="noConversion"/>
  </si>
  <si>
    <t>음식물</t>
    <phoneticPr fontId="2" type="noConversion"/>
  </si>
  <si>
    <t>인분</t>
    <phoneticPr fontId="2" type="noConversion"/>
  </si>
  <si>
    <t>가축분뇨</t>
    <phoneticPr fontId="2" type="noConversion"/>
  </si>
  <si>
    <t>FW+HM+Aww</t>
    <phoneticPr fontId="2" type="noConversion"/>
  </si>
  <si>
    <t>FW+HM+Aww</t>
  </si>
  <si>
    <t>우분 (Cow manure)</t>
    <phoneticPr fontId="2" type="noConversion"/>
  </si>
  <si>
    <t>CM</t>
    <phoneticPr fontId="2" type="noConversion"/>
  </si>
  <si>
    <r>
      <t xml:space="preserve">농축혼합슬러지+인분 </t>
    </r>
    <r>
      <rPr>
        <b/>
        <sz val="10"/>
        <rFont val="맑은 고딕"/>
        <family val="3"/>
        <charset val="129"/>
        <scheme val="minor"/>
      </rPr>
      <t>(Sp*)</t>
    </r>
    <phoneticPr fontId="2" type="noConversion"/>
  </si>
  <si>
    <r>
      <t>인분</t>
    </r>
    <r>
      <rPr>
        <b/>
        <sz val="10"/>
        <color theme="7" tint="-0.499984740745262"/>
        <rFont val="맑은 고딕"/>
        <family val="3"/>
        <charset val="129"/>
      </rPr>
      <t xml:space="preserve"> (Sp*)</t>
    </r>
    <phoneticPr fontId="18" type="noConversion"/>
  </si>
  <si>
    <t>MSC+HM</t>
    <phoneticPr fontId="18" type="noConversion"/>
  </si>
  <si>
    <t>MSC/HM</t>
    <phoneticPr fontId="18" type="noConversion"/>
  </si>
  <si>
    <t>1, 2</t>
    <phoneticPr fontId="2" type="noConversion"/>
  </si>
  <si>
    <t>돈분뇨+우분 (Animal wastewater)</t>
    <phoneticPr fontId="2" type="noConversion"/>
  </si>
  <si>
    <r>
      <t>농축혼합슬러지</t>
    </r>
    <r>
      <rPr>
        <b/>
        <sz val="11"/>
        <color rgb="FF00B0F0"/>
        <rFont val="맑은 고딕"/>
        <family val="3"/>
        <charset val="129"/>
        <scheme val="minor"/>
      </rPr>
      <t>/</t>
    </r>
    <r>
      <rPr>
        <sz val="11"/>
        <rFont val="맑은 고딕"/>
        <family val="3"/>
        <charset val="129"/>
        <scheme val="minor"/>
      </rPr>
      <t>음폐수</t>
    </r>
    <phoneticPr fontId="2" type="noConversion"/>
  </si>
  <si>
    <r>
      <t>MSC</t>
    </r>
    <r>
      <rPr>
        <b/>
        <sz val="11"/>
        <color rgb="FF00B0F0"/>
        <rFont val="맑은 고딕"/>
        <family val="3"/>
        <charset val="129"/>
      </rPr>
      <t>/</t>
    </r>
    <r>
      <rPr>
        <sz val="11"/>
        <rFont val="맑은 고딕"/>
        <family val="3"/>
        <charset val="129"/>
      </rPr>
      <t>Fww</t>
    </r>
    <phoneticPr fontId="18" type="noConversion"/>
  </si>
  <si>
    <t>정화조 준설 인분 (Human manure)</t>
    <phoneticPr fontId="2" type="noConversion"/>
  </si>
  <si>
    <t>S/F*/W*/Sp</t>
    <phoneticPr fontId="18" type="noConversion"/>
  </si>
  <si>
    <r>
      <t xml:space="preserve">농축혼합슬러지 </t>
    </r>
    <r>
      <rPr>
        <b/>
        <sz val="10"/>
        <rFont val="맑은 고딕"/>
        <family val="3"/>
        <charset val="129"/>
        <scheme val="minor"/>
      </rPr>
      <t>(S*)</t>
    </r>
    <phoneticPr fontId="2" type="noConversion"/>
  </si>
  <si>
    <r>
      <t>농축혼합슬러지</t>
    </r>
    <r>
      <rPr>
        <sz val="10"/>
        <rFont val="맑은 고딕"/>
        <family val="3"/>
        <charset val="129"/>
        <scheme val="minor"/>
      </rPr>
      <t xml:space="preserve"> (S*)</t>
    </r>
    <phoneticPr fontId="2" type="noConversion"/>
  </si>
  <si>
    <r>
      <t>1SC</t>
    </r>
    <r>
      <rPr>
        <b/>
        <sz val="11"/>
        <color rgb="FF00B0F0"/>
        <rFont val="맑은 고딕"/>
        <family val="3"/>
        <charset val="129"/>
      </rPr>
      <t>/</t>
    </r>
    <r>
      <rPr>
        <b/>
        <sz val="11"/>
        <rFont val="맑은 고딕"/>
        <family val="3"/>
        <charset val="129"/>
      </rPr>
      <t>2SC</t>
    </r>
    <phoneticPr fontId="18" type="noConversion"/>
  </si>
  <si>
    <t>MSC</t>
    <phoneticPr fontId="18" type="noConversion"/>
  </si>
  <si>
    <r>
      <t>(인분)1차</t>
    </r>
    <r>
      <rPr>
        <b/>
        <sz val="11"/>
        <color rgb="FF00B0F0"/>
        <rFont val="맑은 고딕"/>
        <family val="3"/>
        <charset val="129"/>
        <scheme val="minor"/>
      </rPr>
      <t>/</t>
    </r>
    <r>
      <rPr>
        <sz val="11"/>
        <rFont val="맑은 고딕"/>
        <family val="3"/>
        <charset val="129"/>
        <scheme val="minor"/>
      </rPr>
      <t>2차슬러지_농축</t>
    </r>
    <r>
      <rPr>
        <sz val="10"/>
        <rFont val="맑은 고딕"/>
        <family val="3"/>
        <charset val="129"/>
        <scheme val="minor"/>
      </rPr>
      <t xml:space="preserve"> </t>
    </r>
    <r>
      <rPr>
        <b/>
        <sz val="10"/>
        <rFont val="맑은 고딕"/>
        <family val="3"/>
        <charset val="129"/>
        <scheme val="minor"/>
      </rPr>
      <t>(S*)</t>
    </r>
    <phoneticPr fontId="2" type="noConversion"/>
  </si>
  <si>
    <r>
      <t>(HM)1S</t>
    </r>
    <r>
      <rPr>
        <b/>
        <sz val="11"/>
        <color rgb="FF00B0F0"/>
        <rFont val="맑은 고딕"/>
        <family val="3"/>
        <charset val="129"/>
      </rPr>
      <t>/</t>
    </r>
    <r>
      <rPr>
        <b/>
        <sz val="11"/>
        <rFont val="맑은 고딕"/>
        <family val="3"/>
        <charset val="129"/>
      </rPr>
      <t>2S</t>
    </r>
    <phoneticPr fontId="18" type="noConversion"/>
  </si>
  <si>
    <r>
      <t>(HM)1SC</t>
    </r>
    <r>
      <rPr>
        <b/>
        <sz val="11"/>
        <color rgb="FF00B0F0"/>
        <rFont val="맑은 고딕"/>
        <family val="3"/>
        <charset val="129"/>
      </rPr>
      <t>/</t>
    </r>
    <r>
      <rPr>
        <sz val="11"/>
        <rFont val="맑은 고딕"/>
        <family val="3"/>
        <charset val="129"/>
      </rPr>
      <t>2SC</t>
    </r>
    <phoneticPr fontId="18" type="noConversion"/>
  </si>
  <si>
    <r>
      <t>(인분)1차</t>
    </r>
    <r>
      <rPr>
        <b/>
        <sz val="10"/>
        <color rgb="FF00B0F0"/>
        <rFont val="맑은 고딕"/>
        <family val="3"/>
        <charset val="129"/>
        <scheme val="minor"/>
      </rPr>
      <t>/</t>
    </r>
    <r>
      <rPr>
        <sz val="10"/>
        <color rgb="FFFF0000"/>
        <rFont val="맑은 고딕"/>
        <family val="3"/>
        <charset val="129"/>
        <scheme val="minor"/>
      </rPr>
      <t>2차슬러지_농축_공단계</t>
    </r>
    <phoneticPr fontId="2" type="noConversion"/>
  </si>
  <si>
    <r>
      <t>(HM)1S</t>
    </r>
    <r>
      <rPr>
        <b/>
        <sz val="11"/>
        <color rgb="FF00B0F0"/>
        <rFont val="맑은 고딕"/>
        <family val="3"/>
        <charset val="129"/>
      </rPr>
      <t>/</t>
    </r>
    <r>
      <rPr>
        <sz val="11"/>
        <rFont val="맑은 고딕"/>
        <family val="3"/>
        <charset val="129"/>
      </rPr>
      <t>2S</t>
    </r>
    <phoneticPr fontId="18" type="noConversion"/>
  </si>
  <si>
    <t>음식물+가축분뇨</t>
    <phoneticPr fontId="2" type="noConversion"/>
  </si>
  <si>
    <t>FW+Aww</t>
    <phoneticPr fontId="2" type="noConversion"/>
  </si>
  <si>
    <t>FW+Aww</t>
  </si>
  <si>
    <r>
      <t>1차슬러지_농축</t>
    </r>
    <r>
      <rPr>
        <b/>
        <sz val="11"/>
        <color rgb="FF00B0F0"/>
        <rFont val="맑은 고딕"/>
        <family val="3"/>
        <charset val="129"/>
        <scheme val="minor"/>
      </rPr>
      <t>/</t>
    </r>
    <r>
      <rPr>
        <sz val="11"/>
        <rFont val="맑은 고딕"/>
        <family val="3"/>
        <charset val="129"/>
        <scheme val="minor"/>
      </rPr>
      <t>음식물</t>
    </r>
    <phoneticPr fontId="2" type="noConversion"/>
  </si>
  <si>
    <t>1차슬러지_농축</t>
    <phoneticPr fontId="2" type="noConversion"/>
  </si>
  <si>
    <r>
      <t>1SC</t>
    </r>
    <r>
      <rPr>
        <b/>
        <sz val="11"/>
        <color rgb="FF00B0F0"/>
        <rFont val="맑은 고딕"/>
        <family val="3"/>
        <charset val="129"/>
      </rPr>
      <t>/</t>
    </r>
    <r>
      <rPr>
        <sz val="11"/>
        <color theme="1"/>
        <rFont val="맑은 고딕"/>
        <family val="2"/>
        <charset val="129"/>
      </rPr>
      <t>FW</t>
    </r>
    <phoneticPr fontId="18" type="noConversion"/>
  </si>
  <si>
    <t>음폐수</t>
    <phoneticPr fontId="18" type="noConversion"/>
  </si>
  <si>
    <t>Fww</t>
  </si>
  <si>
    <t>F/W/Sp</t>
    <phoneticPr fontId="2" type="noConversion"/>
  </si>
  <si>
    <t>1차슬러지_침전</t>
  </si>
  <si>
    <t>1차슬러지_침전</t>
    <phoneticPr fontId="2" type="noConversion"/>
  </si>
  <si>
    <t>1S</t>
  </si>
  <si>
    <r>
      <t xml:space="preserve">침전혼합슬러지(가축분뇨B3) </t>
    </r>
    <r>
      <rPr>
        <b/>
        <sz val="10"/>
        <rFont val="맑은 고딕"/>
        <family val="3"/>
        <charset val="129"/>
        <scheme val="minor"/>
      </rPr>
      <t>(W*)</t>
    </r>
    <phoneticPr fontId="2" type="noConversion"/>
  </si>
  <si>
    <r>
      <t>침전혼합슬러지(가축분뇨B3) (</t>
    </r>
    <r>
      <rPr>
        <b/>
        <sz val="10"/>
        <rFont val="맑은 고딕"/>
        <family val="3"/>
        <charset val="129"/>
        <scheme val="minor"/>
      </rPr>
      <t>W*</t>
    </r>
    <r>
      <rPr>
        <sz val="10"/>
        <rFont val="맑은 고딕"/>
        <family val="3"/>
        <charset val="129"/>
        <scheme val="minor"/>
      </rPr>
      <t>)</t>
    </r>
    <phoneticPr fontId="2" type="noConversion"/>
  </si>
  <si>
    <t>가축분뇨B3</t>
    <phoneticPr fontId="2" type="noConversion"/>
  </si>
  <si>
    <t>MS(AwwB3)</t>
    <phoneticPr fontId="18" type="noConversion"/>
  </si>
  <si>
    <t>MS(AwwB3)</t>
  </si>
  <si>
    <r>
      <t>1S</t>
    </r>
    <r>
      <rPr>
        <b/>
        <sz val="11"/>
        <color rgb="FF00B0F0"/>
        <rFont val="맑은 고딕"/>
        <family val="3"/>
        <charset val="129"/>
      </rPr>
      <t>/</t>
    </r>
    <r>
      <rPr>
        <b/>
        <sz val="11"/>
        <rFont val="맑은 고딕"/>
        <family val="3"/>
        <charset val="129"/>
      </rPr>
      <t>2S</t>
    </r>
    <r>
      <rPr>
        <b/>
        <sz val="11"/>
        <color rgb="FF00B0F0"/>
        <rFont val="맑은 고딕"/>
        <family val="3"/>
        <charset val="129"/>
      </rPr>
      <t>/</t>
    </r>
    <r>
      <rPr>
        <b/>
        <sz val="11"/>
        <rFont val="맑은 고딕"/>
        <family val="3"/>
        <charset val="129"/>
      </rPr>
      <t>AwwB3</t>
    </r>
    <phoneticPr fontId="18" type="noConversion"/>
  </si>
  <si>
    <t>1, 3</t>
    <phoneticPr fontId="2" type="noConversion"/>
  </si>
  <si>
    <r>
      <t>1차슬러지_침전</t>
    </r>
    <r>
      <rPr>
        <b/>
        <sz val="10"/>
        <color rgb="FF00B0F0"/>
        <rFont val="맑은 고딕"/>
        <family val="3"/>
        <charset val="129"/>
        <scheme val="minor"/>
      </rPr>
      <t>/</t>
    </r>
    <r>
      <rPr>
        <sz val="10"/>
        <rFont val="맑은 고딕"/>
        <family val="3"/>
        <charset val="129"/>
        <scheme val="minor"/>
      </rPr>
      <t>인분</t>
    </r>
    <r>
      <rPr>
        <b/>
        <sz val="10"/>
        <color rgb="FF00B0F0"/>
        <rFont val="맑은 고딕"/>
        <family val="3"/>
        <charset val="129"/>
        <scheme val="minor"/>
      </rPr>
      <t>/</t>
    </r>
    <r>
      <rPr>
        <sz val="10"/>
        <rFont val="맑은 고딕"/>
        <family val="3"/>
        <charset val="129"/>
        <scheme val="minor"/>
      </rPr>
      <t>가축분뇨</t>
    </r>
    <phoneticPr fontId="18" type="noConversion"/>
  </si>
  <si>
    <r>
      <t>1S</t>
    </r>
    <r>
      <rPr>
        <b/>
        <sz val="11"/>
        <color rgb="FF00B0F0"/>
        <rFont val="맑은 고딕"/>
        <family val="3"/>
        <charset val="129"/>
      </rPr>
      <t>/</t>
    </r>
    <r>
      <rPr>
        <sz val="11"/>
        <rFont val="맑은 고딕"/>
        <family val="3"/>
        <charset val="129"/>
      </rPr>
      <t>HM</t>
    </r>
    <r>
      <rPr>
        <b/>
        <sz val="11"/>
        <color rgb="FF00B0F0"/>
        <rFont val="맑은 고딕"/>
        <family val="3"/>
        <charset val="129"/>
      </rPr>
      <t>/</t>
    </r>
    <r>
      <rPr>
        <sz val="11"/>
        <rFont val="맑은 고딕"/>
        <family val="3"/>
        <charset val="129"/>
      </rPr>
      <t>Aww</t>
    </r>
    <phoneticPr fontId="18" type="noConversion"/>
  </si>
  <si>
    <t>3</t>
    <phoneticPr fontId="2" type="noConversion"/>
  </si>
  <si>
    <t>S,F,W</t>
  </si>
  <si>
    <t>S*/F/W</t>
    <phoneticPr fontId="18" type="noConversion"/>
  </si>
  <si>
    <t>음식물+음폐수+가축분뇨</t>
    <phoneticPr fontId="2" type="noConversion"/>
  </si>
  <si>
    <t>음식물/음폐수</t>
    <phoneticPr fontId="2" type="noConversion"/>
  </si>
  <si>
    <t>FW+Fww+Aww</t>
    <phoneticPr fontId="18" type="noConversion"/>
  </si>
  <si>
    <t>FW+Fww+Aww</t>
  </si>
  <si>
    <t>S/F/W</t>
    <phoneticPr fontId="2" type="noConversion"/>
  </si>
  <si>
    <t>(인분)1차슬러지_농축</t>
    <phoneticPr fontId="2" type="noConversion"/>
  </si>
  <si>
    <t>(HM)1SC</t>
    <phoneticPr fontId="2" type="noConversion"/>
  </si>
  <si>
    <t>(HM)1SC</t>
  </si>
  <si>
    <t>음식물</t>
    <phoneticPr fontId="18" type="noConversion"/>
  </si>
  <si>
    <t>가축분뇨</t>
    <phoneticPr fontId="18" type="noConversion"/>
  </si>
  <si>
    <r>
      <t>1차</t>
    </r>
    <r>
      <rPr>
        <b/>
        <sz val="10"/>
        <color rgb="FF00B0F0"/>
        <rFont val="맑은 고딕"/>
        <family val="3"/>
        <charset val="129"/>
        <scheme val="minor"/>
      </rPr>
      <t>/</t>
    </r>
    <r>
      <rPr>
        <sz val="10"/>
        <rFont val="맑은 고딕"/>
        <family val="3"/>
        <charset val="129"/>
        <scheme val="minor"/>
      </rPr>
      <t>2차슬러지_농축</t>
    </r>
    <r>
      <rPr>
        <b/>
        <sz val="10"/>
        <color rgb="FF00B0F0"/>
        <rFont val="맑은 고딕"/>
        <family val="3"/>
        <charset val="129"/>
        <scheme val="minor"/>
      </rPr>
      <t>/</t>
    </r>
    <r>
      <rPr>
        <sz val="10"/>
        <rFont val="맑은 고딕"/>
        <family val="3"/>
        <charset val="129"/>
        <scheme val="minor"/>
      </rPr>
      <t xml:space="preserve">음식물 </t>
    </r>
    <r>
      <rPr>
        <b/>
        <sz val="10"/>
        <rFont val="맑은 고딕"/>
        <family val="3"/>
        <charset val="129"/>
        <scheme val="minor"/>
      </rPr>
      <t>(S*)</t>
    </r>
    <phoneticPr fontId="2" type="noConversion"/>
  </si>
  <si>
    <r>
      <t>1차</t>
    </r>
    <r>
      <rPr>
        <b/>
        <sz val="11"/>
        <color rgb="FF00B0F0"/>
        <rFont val="맑은 고딕"/>
        <family val="3"/>
        <charset val="129"/>
      </rPr>
      <t>/</t>
    </r>
    <r>
      <rPr>
        <sz val="11"/>
        <color theme="1"/>
        <rFont val="맑은 고딕"/>
        <family val="2"/>
        <charset val="129"/>
      </rPr>
      <t>2차슬러지_농축</t>
    </r>
    <phoneticPr fontId="18" type="noConversion"/>
  </si>
  <si>
    <r>
      <t>음식물</t>
    </r>
    <r>
      <rPr>
        <b/>
        <sz val="10"/>
        <color rgb="FF00B050"/>
        <rFont val="맑은 고딕"/>
        <family val="3"/>
        <charset val="129"/>
      </rPr>
      <t xml:space="preserve"> (S*)</t>
    </r>
    <phoneticPr fontId="18" type="noConversion"/>
  </si>
  <si>
    <r>
      <t>1SC</t>
    </r>
    <r>
      <rPr>
        <b/>
        <sz val="11"/>
        <color rgb="FF00B0F0"/>
        <rFont val="맑은 고딕"/>
        <family val="3"/>
        <charset val="129"/>
      </rPr>
      <t>/</t>
    </r>
    <r>
      <rPr>
        <sz val="11"/>
        <rFont val="맑은 고딕"/>
        <family val="3"/>
        <charset val="129"/>
      </rPr>
      <t>2SC</t>
    </r>
    <r>
      <rPr>
        <b/>
        <sz val="11"/>
        <color rgb="FF00B0F0"/>
        <rFont val="맑은 고딕"/>
        <family val="3"/>
        <charset val="129"/>
      </rPr>
      <t>/</t>
    </r>
    <r>
      <rPr>
        <sz val="11"/>
        <rFont val="맑은 고딕"/>
        <family val="3"/>
        <charset val="129"/>
      </rPr>
      <t>FW</t>
    </r>
    <phoneticPr fontId="18" type="noConversion"/>
  </si>
  <si>
    <t>1S</t>
    <phoneticPr fontId="2" type="noConversion"/>
  </si>
  <si>
    <r>
      <t>2차슬러지_농축</t>
    </r>
    <r>
      <rPr>
        <b/>
        <sz val="11"/>
        <rFont val="맑은 고딕"/>
        <family val="3"/>
        <charset val="129"/>
        <scheme val="minor"/>
      </rPr>
      <t xml:space="preserve"> (S*)</t>
    </r>
    <phoneticPr fontId="2" type="noConversion"/>
  </si>
  <si>
    <r>
      <t>2차슬러지_농축</t>
    </r>
    <r>
      <rPr>
        <sz val="10"/>
        <rFont val="맑은 고딕"/>
        <family val="3"/>
        <charset val="129"/>
        <scheme val="minor"/>
      </rPr>
      <t xml:space="preserve"> (S*)</t>
    </r>
    <phoneticPr fontId="2" type="noConversion"/>
  </si>
  <si>
    <t>2S</t>
    <phoneticPr fontId="2" type="noConversion"/>
  </si>
  <si>
    <t>2SC</t>
  </si>
  <si>
    <r>
      <t>(인분)농축혼합슬러지</t>
    </r>
    <r>
      <rPr>
        <b/>
        <sz val="10"/>
        <rFont val="맑은 고딕"/>
        <family val="3"/>
        <charset val="129"/>
        <scheme val="minor"/>
      </rPr>
      <t xml:space="preserve"> (S*/Sp*)</t>
    </r>
    <phoneticPr fontId="2" type="noConversion"/>
  </si>
  <si>
    <r>
      <t>(인분)농축혼합슬러지</t>
    </r>
    <r>
      <rPr>
        <sz val="10"/>
        <rFont val="맑은 고딕"/>
        <family val="3"/>
        <charset val="129"/>
        <scheme val="minor"/>
      </rPr>
      <t xml:space="preserve"> </t>
    </r>
    <r>
      <rPr>
        <b/>
        <sz val="10"/>
        <rFont val="맑은 고딕"/>
        <family val="3"/>
        <charset val="129"/>
        <scheme val="minor"/>
      </rPr>
      <t>(S*/Sp*)</t>
    </r>
    <phoneticPr fontId="2" type="noConversion"/>
  </si>
  <si>
    <r>
      <t>(HM)1SC</t>
    </r>
    <r>
      <rPr>
        <b/>
        <sz val="11"/>
        <color rgb="FF00B0F0"/>
        <rFont val="맑은 고딕"/>
        <family val="3"/>
        <charset val="129"/>
      </rPr>
      <t>/</t>
    </r>
    <r>
      <rPr>
        <b/>
        <sz val="11"/>
        <rFont val="맑은 고딕"/>
        <family val="3"/>
        <charset val="129"/>
      </rPr>
      <t>2SC</t>
    </r>
    <phoneticPr fontId="18" type="noConversion"/>
  </si>
  <si>
    <t>(HM)MSC</t>
    <phoneticPr fontId="2" type="noConversion"/>
  </si>
  <si>
    <t>1~2</t>
    <phoneticPr fontId="2" type="noConversion"/>
  </si>
  <si>
    <t>S*/F*/W/Sp</t>
    <phoneticPr fontId="18" type="noConversion"/>
  </si>
  <si>
    <r>
      <t>(인분)1차</t>
    </r>
    <r>
      <rPr>
        <b/>
        <sz val="10"/>
        <color rgb="FF00B0F0"/>
        <rFont val="맑은 고딕"/>
        <family val="3"/>
        <charset val="129"/>
        <scheme val="minor"/>
      </rPr>
      <t>/</t>
    </r>
    <r>
      <rPr>
        <sz val="10"/>
        <rFont val="맑은 고딕"/>
        <family val="3"/>
        <charset val="129"/>
        <scheme val="minor"/>
      </rPr>
      <t>2차슬러지_농축</t>
    </r>
    <r>
      <rPr>
        <b/>
        <sz val="10"/>
        <color rgb="FF00B0F0"/>
        <rFont val="맑은 고딕"/>
        <family val="3"/>
        <charset val="129"/>
        <scheme val="minor"/>
      </rPr>
      <t>/</t>
    </r>
    <r>
      <rPr>
        <sz val="10"/>
        <rFont val="맑은 고딕"/>
        <family val="3"/>
        <charset val="129"/>
        <scheme val="minor"/>
      </rPr>
      <t>음폐수</t>
    </r>
    <phoneticPr fontId="2" type="noConversion"/>
  </si>
  <si>
    <r>
      <t>(인분)1차</t>
    </r>
    <r>
      <rPr>
        <b/>
        <sz val="11"/>
        <color rgb="FF00B0F0"/>
        <rFont val="맑은 고딕"/>
        <family val="3"/>
        <charset val="129"/>
        <scheme val="minor"/>
      </rPr>
      <t>/</t>
    </r>
    <r>
      <rPr>
        <sz val="11"/>
        <rFont val="맑은 고딕"/>
        <family val="3"/>
        <charset val="129"/>
        <scheme val="minor"/>
      </rPr>
      <t>2차슬러지_농축</t>
    </r>
    <phoneticPr fontId="2" type="noConversion"/>
  </si>
  <si>
    <t>인분</t>
    <phoneticPr fontId="18" type="noConversion"/>
  </si>
  <si>
    <r>
      <t>(HM)1SC</t>
    </r>
    <r>
      <rPr>
        <b/>
        <sz val="10"/>
        <color rgb="FF00B0F0"/>
        <rFont val="맑은 고딕"/>
        <family val="3"/>
        <charset val="129"/>
      </rPr>
      <t>/</t>
    </r>
    <r>
      <rPr>
        <sz val="10"/>
        <color theme="1"/>
        <rFont val="맑은 고딕"/>
        <family val="2"/>
        <charset val="129"/>
      </rPr>
      <t>2SC</t>
    </r>
    <r>
      <rPr>
        <b/>
        <sz val="10"/>
        <color rgb="FF00B0F0"/>
        <rFont val="맑은 고딕"/>
        <family val="3"/>
        <charset val="129"/>
      </rPr>
      <t>/</t>
    </r>
    <r>
      <rPr>
        <sz val="10"/>
        <color theme="1"/>
        <rFont val="맑은 고딕"/>
        <family val="2"/>
        <charset val="129"/>
      </rPr>
      <t>Fww</t>
    </r>
    <phoneticPr fontId="18" type="noConversion"/>
  </si>
  <si>
    <r>
      <t>(인분)농축혼합슬러지</t>
    </r>
    <r>
      <rPr>
        <b/>
        <sz val="10"/>
        <rFont val="맑은 고딕"/>
        <family val="3"/>
        <charset val="129"/>
        <scheme val="minor"/>
      </rPr>
      <t xml:space="preserve"> (S*)</t>
    </r>
    <phoneticPr fontId="2" type="noConversion"/>
  </si>
  <si>
    <r>
      <t xml:space="preserve">(인분)농축혼합슬러지 </t>
    </r>
    <r>
      <rPr>
        <b/>
        <sz val="10"/>
        <rFont val="맑은 고딕"/>
        <family val="3"/>
        <charset val="129"/>
        <scheme val="minor"/>
      </rPr>
      <t>(S*)</t>
    </r>
    <phoneticPr fontId="2" type="noConversion"/>
  </si>
  <si>
    <t>(HM)MSC</t>
  </si>
  <si>
    <t>S/F*/W*/Sp*</t>
    <phoneticPr fontId="18" type="noConversion"/>
  </si>
  <si>
    <t>S/F/W/Sp*</t>
    <phoneticPr fontId="18" type="noConversion"/>
  </si>
  <si>
    <t>(인분)농축혼합슬러지</t>
    <phoneticPr fontId="2" type="noConversion"/>
  </si>
  <si>
    <t>&lt;-NGS+: 연구 목적</t>
    <phoneticPr fontId="2" type="noConversion"/>
  </si>
  <si>
    <t>(인분+가축분뇨)1차슬러지_농축</t>
    <phoneticPr fontId="18" type="noConversion"/>
  </si>
  <si>
    <t>(인분+가축분뇨)1차슬러지_농축</t>
  </si>
  <si>
    <t>(HM+Aww)1SC</t>
    <phoneticPr fontId="2" type="noConversion"/>
  </si>
  <si>
    <t>(HM+Aww)1SC</t>
  </si>
  <si>
    <t>S*/F/W*/Sp</t>
    <phoneticPr fontId="18" type="noConversion"/>
  </si>
  <si>
    <r>
      <t>슬러지&gt;</t>
    </r>
    <r>
      <rPr>
        <sz val="10"/>
        <color theme="5"/>
        <rFont val="맑은 고딕"/>
        <family val="3"/>
        <charset val="129"/>
        <scheme val="minor"/>
      </rPr>
      <t>음식물/음폐수</t>
    </r>
    <r>
      <rPr>
        <sz val="10"/>
        <color theme="1"/>
        <rFont val="맑은 고딕"/>
        <family val="3"/>
        <charset val="129"/>
        <scheme val="minor"/>
      </rPr>
      <t>&gt;</t>
    </r>
    <r>
      <rPr>
        <sz val="10"/>
        <color theme="7" tint="-0.499984740745262"/>
        <rFont val="맑은 고딕"/>
        <family val="3"/>
        <charset val="129"/>
        <scheme val="minor"/>
      </rPr>
      <t>인분/가축분뇨</t>
    </r>
    <phoneticPr fontId="18" type="noConversion"/>
  </si>
  <si>
    <t>단독기질</t>
    <phoneticPr fontId="18" type="noConversion"/>
  </si>
  <si>
    <t xml:space="preserve"> 방문 X</t>
    <phoneticPr fontId="2" type="noConversion"/>
  </si>
  <si>
    <t>Total samples</t>
    <phoneticPr fontId="18" type="noConversion"/>
  </si>
  <si>
    <t>Notes_140X sites (본 파일 전체)</t>
    <phoneticPr fontId="2" type="noConversion"/>
  </si>
  <si>
    <t>표기 의미 (본 파일 전체)</t>
    <phoneticPr fontId="2" type="noConversion"/>
  </si>
  <si>
    <t>2. BSN: 초기 혼선. 1SC/2SC/Fww 샘플링 (240709)</t>
    <phoneticPr fontId="2" type="noConversion"/>
  </si>
  <si>
    <t>/: each (각각-투입/샘플링), +: mixed (혼합-투입/샘플링)</t>
    <phoneticPr fontId="18" type="noConversion"/>
  </si>
  <si>
    <r>
      <t xml:space="preserve">3. BSI, </t>
    </r>
    <r>
      <rPr>
        <sz val="11"/>
        <color rgb="FFFF0000"/>
        <rFont val="맑은 고딕"/>
        <family val="3"/>
        <charset val="129"/>
        <scheme val="minor"/>
      </rPr>
      <t>3b.BSIb</t>
    </r>
    <r>
      <rPr>
        <sz val="11"/>
        <rFont val="맑은 고딕"/>
        <family val="3"/>
        <charset val="129"/>
        <scheme val="minor"/>
      </rPr>
      <t xml:space="preserve">: 시설의 샘플링/분석 요청 (S. 양지 차이 無. </t>
    </r>
    <r>
      <rPr>
        <sz val="11"/>
        <color rgb="FFFF0000"/>
        <rFont val="맑은 고딕"/>
        <family val="3"/>
        <charset val="129"/>
        <scheme val="minor"/>
      </rPr>
      <t>3b 제외</t>
    </r>
    <r>
      <rPr>
        <sz val="11"/>
        <rFont val="맑은 고딕"/>
        <family val="3"/>
        <charset val="129"/>
        <scheme val="minor"/>
      </rPr>
      <t xml:space="preserve"> (F~)</t>
    </r>
    <phoneticPr fontId="2" type="noConversion"/>
  </si>
  <si>
    <r>
      <rPr>
        <sz val="11"/>
        <rFont val="맑은 고딕"/>
        <family val="3"/>
        <charset val="129"/>
        <scheme val="minor"/>
      </rPr>
      <t>o: Si (기질별)/Se 완료 (S/F/W/Sp)</t>
    </r>
    <r>
      <rPr>
        <sz val="11"/>
        <color rgb="FF0000FF"/>
        <rFont val="맑은 고딕"/>
        <family val="3"/>
        <charset val="129"/>
        <scheme val="minor"/>
      </rPr>
      <t xml:space="preserve">, </t>
    </r>
    <r>
      <rPr>
        <b/>
        <sz val="12"/>
        <color rgb="FF0000FF"/>
        <rFont val="맑은 고딕"/>
        <family val="3"/>
        <charset val="129"/>
        <scheme val="minor"/>
      </rPr>
      <t>-</t>
    </r>
    <r>
      <rPr>
        <sz val="11"/>
        <color rgb="FF0000FF"/>
        <rFont val="맑은 고딕"/>
        <family val="3"/>
        <charset val="129"/>
        <scheme val="minor"/>
      </rPr>
      <t xml:space="preserve">: 분석 가능, </t>
    </r>
    <r>
      <rPr>
        <sz val="11"/>
        <color rgb="FFFF0000"/>
        <rFont val="맑은 고딕"/>
        <family val="3"/>
        <charset val="129"/>
        <scheme val="minor"/>
      </rPr>
      <t>x: (추가)분석 불가</t>
    </r>
    <phoneticPr fontId="2" type="noConversion"/>
  </si>
  <si>
    <t>7. DGD: HM&gt;MSC 혼합 (저류조)&gt;소화조 유입. HM&gt;소화조 직투입-&gt;MSC/HM 샘플링 (250402)</t>
    <phoneticPr fontId="2" type="noConversion"/>
  </si>
  <si>
    <t>BG성상: o: 탈황 전단, o*: 탈황 후단</t>
    <phoneticPr fontId="18" type="noConversion"/>
  </si>
  <si>
    <t>10. DGC: 초기 혼선. 1SC/2SC 샘플링 (240711)</t>
    <phoneticPr fontId="2" type="noConversion"/>
  </si>
  <si>
    <t>11. DGY: 초기 혼선. 1S/2S 샘플링 (240722)</t>
    <phoneticPr fontId="2" type="noConversion"/>
  </si>
  <si>
    <t>슬러지 용어 (본 파일 전체)</t>
    <phoneticPr fontId="2" type="noConversion"/>
  </si>
  <si>
    <r>
      <rPr>
        <sz val="11"/>
        <color rgb="FFFF0000"/>
        <rFont val="맑은 고딕"/>
        <family val="3"/>
        <charset val="129"/>
        <scheme val="minor"/>
      </rPr>
      <t>11b. DGYb</t>
    </r>
    <r>
      <rPr>
        <sz val="11"/>
        <rFont val="맑은 고딕"/>
        <family val="3"/>
        <charset val="129"/>
        <scheme val="minor"/>
      </rPr>
      <t xml:space="preserve">: 유일한 공단계 폐수 유입시설. 환경공단 협의. </t>
    </r>
    <r>
      <rPr>
        <sz val="11"/>
        <color rgb="FFFF0000"/>
        <rFont val="맑은 고딕"/>
        <family val="3"/>
        <charset val="129"/>
        <scheme val="minor"/>
      </rPr>
      <t>11b 제외</t>
    </r>
    <r>
      <rPr>
        <sz val="11"/>
        <rFont val="맑은 고딕"/>
        <family val="3"/>
        <charset val="129"/>
        <scheme val="minor"/>
      </rPr>
      <t xml:space="preserve"> (F~)</t>
    </r>
    <phoneticPr fontId="2" type="noConversion"/>
  </si>
  <si>
    <t>- 침전/농축슬러지: 침전 후 농축 전/후 슬러지</t>
    <phoneticPr fontId="2" type="noConversion"/>
  </si>
  <si>
    <t>15. GSG: 설비 문제. 가스 포집/분석 불가 (240705). Se: 증설 소화조</t>
    <phoneticPr fontId="2" type="noConversion"/>
  </si>
  <si>
    <t>- 1차/2차슬러지_(침전/농축): 1차/2차 슬러지 각 침전/농축&gt;각각 소화조 유입</t>
    <phoneticPr fontId="2" type="noConversion"/>
  </si>
  <si>
    <t>17. MGY: 2단 소화 ((A+C)&gt;B). A/C_Se도 샘플링 (F,W,Sp). 혼합조 채수 불가-&gt;1S/2S/Aww 샘플링 (250110)</t>
    <phoneticPr fontId="18" type="noConversion"/>
  </si>
  <si>
    <r>
      <t>- (침전/농축)혼합슬러지: 1차/2차 슬러지 각 침전/농축&gt;</t>
    </r>
    <r>
      <rPr>
        <b/>
        <sz val="11"/>
        <rFont val="맑은 고딕"/>
        <family val="3"/>
        <charset val="129"/>
        <scheme val="minor"/>
      </rPr>
      <t>혼합</t>
    </r>
    <r>
      <rPr>
        <sz val="11"/>
        <rFont val="맑은 고딕"/>
        <family val="3"/>
        <charset val="129"/>
        <scheme val="minor"/>
      </rPr>
      <t>&gt;소화조 유입</t>
    </r>
    <phoneticPr fontId="2" type="noConversion"/>
  </si>
  <si>
    <t>19. ADP: 준설 (2025.04~2025.11)/방문 불가</t>
    <phoneticPr fontId="2" type="noConversion"/>
  </si>
  <si>
    <t>20. YCG: 준설 (2025.04~종료일 불확실)/방문 불가</t>
    <phoneticPr fontId="2" type="noConversion"/>
  </si>
  <si>
    <t>21. YCD: 설비 문제. 가스 포집/분석 불가 (240705)</t>
    <phoneticPr fontId="2" type="noConversion"/>
  </si>
  <si>
    <t>23. CGS: 방문 당일 음식물 반입 X (240703)</t>
    <phoneticPr fontId="18" type="noConversion"/>
  </si>
  <si>
    <t>25. GHGb: 농축기 고장. 2S 직투입-&gt;2S 샘플링 (240708)</t>
    <phoneticPr fontId="18" type="noConversion"/>
  </si>
  <si>
    <t>26. GHH: GHH: 2SC&gt;1SC (배관 합류)&gt;소화조 공정. 현장 협조자별 다른 채수 위치-&gt;1SC/2SC (240708, 250331)</t>
    <phoneticPr fontId="18" type="noConversion"/>
  </si>
  <si>
    <t>30. YSD: 1SC+2SC (배관 합류)&gt;소화조 공정. 초기 혼선. 1SC/2SC 샘플링 (240709)</t>
    <phoneticPr fontId="18" type="noConversion"/>
  </si>
  <si>
    <r>
      <rPr>
        <sz val="11"/>
        <color rgb="FFFF0000"/>
        <rFont val="맑은 고딕"/>
        <family val="3"/>
        <charset val="129"/>
        <scheme val="minor"/>
      </rPr>
      <t>32'.JJY</t>
    </r>
    <r>
      <rPr>
        <sz val="11"/>
        <rFont val="맑은 고딕"/>
        <family val="3"/>
        <charset val="129"/>
        <scheme val="minor"/>
      </rPr>
      <t xml:space="preserve">: 2상 소화 공정 (산발효 (Ae)&gt;습식 (Se)). 협잡물 축적/관폐색 (채수량 30~100mL). </t>
    </r>
    <r>
      <rPr>
        <sz val="11"/>
        <color rgb="FFFF0000"/>
        <rFont val="맑은 고딕"/>
        <family val="3"/>
        <charset val="129"/>
        <scheme val="minor"/>
      </rPr>
      <t>BdP 식종원 제외</t>
    </r>
    <phoneticPr fontId="2" type="noConversion"/>
  </si>
  <si>
    <t>Characteritics_Summer_Si (240701~0722) (g/L) (ALK: g CaCO3/L)</t>
  </si>
  <si>
    <t>No.</t>
    <phoneticPr fontId="2" type="noConversion"/>
  </si>
  <si>
    <t>Site</t>
  </si>
  <si>
    <t>Sample</t>
  </si>
  <si>
    <t>Q (T/y)</t>
  </si>
  <si>
    <t>pH</t>
  </si>
  <si>
    <t>TS</t>
    <phoneticPr fontId="2" type="noConversion"/>
  </si>
  <si>
    <t>std</t>
  </si>
  <si>
    <t>VS</t>
    <phoneticPr fontId="2" type="noConversion"/>
  </si>
  <si>
    <t>TSS</t>
    <phoneticPr fontId="2" type="noConversion"/>
  </si>
  <si>
    <t>VSS</t>
    <phoneticPr fontId="2" type="noConversion"/>
  </si>
  <si>
    <t>COD</t>
    <phoneticPr fontId="2" type="noConversion"/>
  </si>
  <si>
    <t>sCOD</t>
    <phoneticPr fontId="2" type="noConversion"/>
  </si>
  <si>
    <t>TC</t>
    <phoneticPr fontId="2" type="noConversion"/>
  </si>
  <si>
    <t>Protein</t>
    <phoneticPr fontId="2" type="noConversion"/>
  </si>
  <si>
    <t>TVFAs</t>
    <phoneticPr fontId="2" type="noConversion"/>
  </si>
  <si>
    <t>TVFAs+EtOH</t>
    <phoneticPr fontId="2" type="noConversion"/>
  </si>
  <si>
    <t>EtOH</t>
    <phoneticPr fontId="2" type="noConversion"/>
  </si>
  <si>
    <t>HAc</t>
    <phoneticPr fontId="2" type="noConversion"/>
  </si>
  <si>
    <t>HPro</t>
    <phoneticPr fontId="2" type="noConversion"/>
  </si>
  <si>
    <t>i-HBut</t>
    <phoneticPr fontId="2" type="noConversion"/>
  </si>
  <si>
    <t>HBut</t>
    <phoneticPr fontId="2" type="noConversion"/>
  </si>
  <si>
    <t xml:space="preserve">i-HVal </t>
    <phoneticPr fontId="2" type="noConversion"/>
  </si>
  <si>
    <t xml:space="preserve">HVal </t>
    <phoneticPr fontId="2" type="noConversion"/>
  </si>
  <si>
    <t>i-HCap</t>
    <phoneticPr fontId="2" type="noConversion"/>
  </si>
  <si>
    <t xml:space="preserve">HCap </t>
    <phoneticPr fontId="2" type="noConversion"/>
  </si>
  <si>
    <t>1SC</t>
  </si>
  <si>
    <t/>
  </si>
  <si>
    <t>BSN avg.</t>
  </si>
  <si>
    <t>BSE avg.</t>
  </si>
  <si>
    <t>MSC+HM</t>
  </si>
  <si>
    <t>DGJ avg.</t>
  </si>
  <si>
    <t>DGC avg.</t>
  </si>
  <si>
    <t>(HM)1S</t>
  </si>
  <si>
    <t>2S</t>
  </si>
  <si>
    <t>DGY avg.</t>
  </si>
  <si>
    <t>DGYb avg.</t>
  </si>
  <si>
    <t>USY avg.</t>
  </si>
  <si>
    <t>HM</t>
  </si>
  <si>
    <t>Aww</t>
  </si>
  <si>
    <t>ADA avg.</t>
  </si>
  <si>
    <t>CGS avg.</t>
  </si>
  <si>
    <t>GHH avg.</t>
  </si>
  <si>
    <t>SCH avg.</t>
  </si>
  <si>
    <t>YSD avg.</t>
  </si>
  <si>
    <t>Characteritics_Fall_Si (241023~1104) (g/L) (ALK: g CaCO3/L)</t>
  </si>
  <si>
    <t>Characteritics_Winter_Si (250108~0221) (g/L) (ALK: g CaCO3/L)</t>
  </si>
  <si>
    <t>AwwB3</t>
  </si>
  <si>
    <t>MGY avg.</t>
  </si>
  <si>
    <t>Characteritics_Spring_Si (250331~250411) (g/L) (ALK: g CaCO3/L)</t>
  </si>
  <si>
    <t>DGD avg.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</si>
</sst>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_ "/>
    <numFmt numFmtId="177" formatCode="0.0_ "/>
    <numFmt numFmtId="178" formatCode="0_);[Red]\(0\)"/>
    <numFmt numFmtId="179" formatCode="0.0_);[Red]\(0.0\)"/>
    <numFmt numFmtId="180" formatCode="#,##0.0_);[Red]\(#,##0.0\)"/>
    <numFmt numFmtId="181" formatCode="0.0"/>
    <numFmt numFmtId="182" formatCode="#,##0_ ;[Red]\-#,##0\ "/>
  </numFmts>
  <fonts count="60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0"/>
      <name val="맑은 고딕"/>
      <family val="3"/>
      <charset val="129"/>
    </font>
    <font>
      <vertAlign val="superscript"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b/>
      <sz val="12"/>
      <color rgb="FF0000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C00000"/>
      <name val="맑은 고딕"/>
      <family val="3"/>
      <charset val="129"/>
    </font>
    <font>
      <vertAlign val="subscript"/>
      <sz val="11"/>
      <color rgb="FFC00000"/>
      <name val="맑은 고딕"/>
      <family val="3"/>
      <charset val="129"/>
    </font>
    <font>
      <vertAlign val="subscript"/>
      <sz val="11"/>
      <name val="맑은 고딕"/>
      <family val="3"/>
      <charset val="129"/>
    </font>
    <font>
      <sz val="8"/>
      <name val="맑은 고딕"/>
      <family val="2"/>
      <charset val="129"/>
    </font>
    <font>
      <sz val="10"/>
      <color rgb="FF0000FF"/>
      <name val="맑은 고딕"/>
      <family val="3"/>
      <charset val="129"/>
    </font>
    <font>
      <vertAlign val="superscript"/>
      <sz val="11"/>
      <color rgb="FFC00000"/>
      <name val="맑은 고딕"/>
      <family val="3"/>
      <charset val="129"/>
    </font>
    <font>
      <sz val="11"/>
      <color theme="1"/>
      <name val="맑은 고딕"/>
      <family val="2"/>
      <charset val="129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</font>
    <font>
      <b/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B0F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9"/>
      <color theme="1"/>
      <name val="맑은 고딕"/>
      <family val="2"/>
      <charset val="129"/>
    </font>
    <font>
      <sz val="11"/>
      <color rgb="FF00B0F0"/>
      <name val="맑은 고딕"/>
      <family val="3"/>
      <charset val="129"/>
      <scheme val="minor"/>
    </font>
    <font>
      <b/>
      <sz val="11"/>
      <color theme="7" tint="-0.499984740745262"/>
      <name val="맑은 고딕"/>
      <family val="3"/>
      <charset val="129"/>
    </font>
    <font>
      <b/>
      <sz val="10"/>
      <color theme="7" tint="-0.499984740745262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b/>
      <sz val="11"/>
      <color theme="7" tint="-0.499984740745262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</font>
    <font>
      <b/>
      <sz val="11"/>
      <color rgb="FF00B050"/>
      <name val="맑은 고딕"/>
      <family val="3"/>
      <charset val="129"/>
    </font>
    <font>
      <b/>
      <sz val="10"/>
      <color rgb="FF00B050"/>
      <name val="맑은 고딕"/>
      <family val="3"/>
      <charset val="129"/>
    </font>
    <font>
      <sz val="10"/>
      <color theme="1"/>
      <name val="맑은 고딕"/>
      <family val="2"/>
      <charset val="129"/>
    </font>
    <font>
      <b/>
      <sz val="10"/>
      <color rgb="FF00B0F0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5"/>
      <name val="맑은 고딕"/>
      <family val="3"/>
      <charset val="129"/>
      <scheme val="minor"/>
    </font>
    <font>
      <sz val="10"/>
      <color theme="7" tint="-0.499984740745262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</font>
    <font>
      <b/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rgb="FFC00000"/>
      <name val="맑은 고딕"/>
      <family val="3"/>
      <charset val="129"/>
      <scheme val="minor"/>
    </font>
    <font>
      <sz val="11"/>
      <name val="맑은 고딕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EFEFEF"/>
        <bgColor rgb="FFEFEFEF"/>
      </patternFill>
    </fill>
    <fill>
      <patternFill patternType="solid">
        <fgColor theme="7" tint="0.59999389629810485"/>
        <bgColor rgb="FFEFEFE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rgb="FFEFEFE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>
      <alignment vertical="center"/>
    </xf>
    <xf numFmtId="0" fontId="5" fillId="0" borderId="0"/>
    <xf numFmtId="0" fontId="5" fillId="0" borderId="0"/>
    <xf numFmtId="0" fontId="21" fillId="0" borderId="0">
      <alignment vertical="center"/>
    </xf>
    <xf numFmtId="0" fontId="21" fillId="0" borderId="0">
      <alignment vertical="center"/>
    </xf>
  </cellStyleXfs>
  <cellXfs count="436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 applyAlignment="1"/>
    <xf numFmtId="0" fontId="6" fillId="0" borderId="0" xfId="1" applyFont="1" applyAlignment="1">
      <alignment horizont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49" fontId="4" fillId="0" borderId="0" xfId="0" applyNumberFormat="1" applyFont="1">
      <alignment vertical="center"/>
    </xf>
    <xf numFmtId="49" fontId="7" fillId="0" borderId="0" xfId="0" applyNumberFormat="1" applyFont="1">
      <alignment vertical="center"/>
    </xf>
    <xf numFmtId="49" fontId="1" fillId="2" borderId="0" xfId="0" applyNumberFormat="1" applyFont="1" applyFill="1">
      <alignment vertical="center"/>
    </xf>
    <xf numFmtId="49" fontId="1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6" fillId="0" borderId="0" xfId="0" applyNumberFormat="1" applyFont="1" applyAlignment="1">
      <alignment horizontal="right" vertical="center"/>
    </xf>
    <xf numFmtId="176" fontId="7" fillId="0" borderId="0" xfId="0" applyNumberFormat="1" applyFont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49" fontId="6" fillId="3" borderId="5" xfId="0" applyNumberFormat="1" applyFont="1" applyFill="1" applyBorder="1" applyAlignment="1">
      <alignment horizontal="center"/>
    </xf>
    <xf numFmtId="49" fontId="6" fillId="3" borderId="6" xfId="0" applyNumberFormat="1" applyFont="1" applyFill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49" fontId="4" fillId="3" borderId="5" xfId="0" applyNumberFormat="1" applyFont="1" applyFill="1" applyBorder="1" applyAlignment="1">
      <alignment horizontal="center"/>
    </xf>
    <xf numFmtId="49" fontId="4" fillId="3" borderId="6" xfId="0" applyNumberFormat="1" applyFont="1" applyFill="1" applyBorder="1" applyAlignment="1">
      <alignment horizontal="center"/>
    </xf>
    <xf numFmtId="49" fontId="11" fillId="3" borderId="5" xfId="0" applyNumberFormat="1" applyFont="1" applyFill="1" applyBorder="1" applyAlignment="1">
      <alignment horizontal="center"/>
    </xf>
    <xf numFmtId="49" fontId="11" fillId="3" borderId="6" xfId="0" applyNumberFormat="1" applyFont="1" applyFill="1" applyBorder="1" applyAlignment="1">
      <alignment horizontal="center"/>
    </xf>
    <xf numFmtId="49" fontId="8" fillId="3" borderId="5" xfId="0" applyNumberFormat="1" applyFont="1" applyFill="1" applyBorder="1" applyAlignment="1">
      <alignment horizontal="center"/>
    </xf>
    <xf numFmtId="49" fontId="8" fillId="3" borderId="6" xfId="0" applyNumberFormat="1" applyFont="1" applyFill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49" fontId="3" fillId="4" borderId="5" xfId="0" applyNumberFormat="1" applyFont="1" applyFill="1" applyBorder="1" applyAlignment="1">
      <alignment horizontal="center"/>
    </xf>
    <xf numFmtId="49" fontId="3" fillId="4" borderId="6" xfId="0" applyNumberFormat="1" applyFont="1" applyFill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49" fontId="1" fillId="2" borderId="5" xfId="0" applyNumberFormat="1" applyFont="1" applyFill="1" applyBorder="1" applyAlignment="1">
      <alignment horizontal="center"/>
    </xf>
    <xf numFmtId="49" fontId="3" fillId="2" borderId="5" xfId="0" applyNumberFormat="1" applyFont="1" applyFill="1" applyBorder="1" applyAlignment="1">
      <alignment horizontal="center"/>
    </xf>
    <xf numFmtId="49" fontId="3" fillId="2" borderId="6" xfId="0" applyNumberFormat="1" applyFont="1" applyFill="1" applyBorder="1" applyAlignment="1">
      <alignment horizontal="center"/>
    </xf>
    <xf numFmtId="49" fontId="12" fillId="0" borderId="5" xfId="0" applyNumberFormat="1" applyFont="1" applyBorder="1" applyAlignment="1">
      <alignment horizontal="center"/>
    </xf>
    <xf numFmtId="49" fontId="3" fillId="2" borderId="7" xfId="0" applyNumberFormat="1" applyFont="1" applyFill="1" applyBorder="1" applyAlignment="1">
      <alignment horizontal="center"/>
    </xf>
    <xf numFmtId="0" fontId="6" fillId="0" borderId="8" xfId="0" applyFont="1" applyBorder="1" applyAlignment="1">
      <alignment horizontal="center" wrapText="1"/>
    </xf>
    <xf numFmtId="0" fontId="4" fillId="0" borderId="9" xfId="1" applyFont="1" applyBorder="1" applyAlignment="1">
      <alignment horizontal="left" vertical="center"/>
    </xf>
    <xf numFmtId="0" fontId="4" fillId="0" borderId="8" xfId="1" applyFont="1" applyBorder="1" applyAlignment="1">
      <alignment horizontal="center"/>
    </xf>
    <xf numFmtId="177" fontId="4" fillId="0" borderId="10" xfId="1" applyNumberFormat="1" applyFont="1" applyBorder="1" applyAlignment="1">
      <alignment horizontal="center"/>
    </xf>
    <xf numFmtId="178" fontId="6" fillId="0" borderId="0" xfId="0" applyNumberFormat="1" applyFont="1" applyAlignment="1">
      <alignment horizontal="center"/>
    </xf>
    <xf numFmtId="178" fontId="4" fillId="0" borderId="0" xfId="0" applyNumberFormat="1" applyFont="1" applyAlignment="1">
      <alignment horizontal="center"/>
    </xf>
    <xf numFmtId="178" fontId="4" fillId="0" borderId="10" xfId="0" applyNumberFormat="1" applyFont="1" applyBorder="1" applyAlignment="1">
      <alignment horizontal="center"/>
    </xf>
    <xf numFmtId="179" fontId="4" fillId="0" borderId="0" xfId="0" applyNumberFormat="1" applyFont="1" applyAlignment="1">
      <alignment horizontal="center"/>
    </xf>
    <xf numFmtId="179" fontId="6" fillId="0" borderId="0" xfId="0" applyNumberFormat="1" applyFont="1" applyAlignment="1">
      <alignment horizontal="center"/>
    </xf>
    <xf numFmtId="179" fontId="4" fillId="0" borderId="1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80" fontId="6" fillId="0" borderId="0" xfId="0" applyNumberFormat="1" applyFont="1" applyAlignment="1">
      <alignment horizontal="center"/>
    </xf>
    <xf numFmtId="180" fontId="4" fillId="0" borderId="0" xfId="0" applyNumberFormat="1" applyFont="1" applyAlignment="1">
      <alignment horizontal="center"/>
    </xf>
    <xf numFmtId="180" fontId="4" fillId="0" borderId="1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/>
    </xf>
    <xf numFmtId="180" fontId="4" fillId="0" borderId="0" xfId="0" applyNumberFormat="1" applyFont="1" applyAlignment="1">
      <alignment horizontal="center" vertical="center"/>
    </xf>
    <xf numFmtId="180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4" fillId="0" borderId="9" xfId="1" applyFont="1" applyBorder="1" applyAlignment="1">
      <alignment horizontal="left" vertical="center" wrapText="1"/>
    </xf>
    <xf numFmtId="180" fontId="8" fillId="0" borderId="0" xfId="0" applyNumberFormat="1" applyFont="1" applyAlignment="1">
      <alignment horizontal="center" vertical="center"/>
    </xf>
    <xf numFmtId="0" fontId="14" fillId="0" borderId="8" xfId="0" applyFont="1" applyBorder="1" applyAlignment="1">
      <alignment horizontal="center" wrapText="1"/>
    </xf>
    <xf numFmtId="0" fontId="14" fillId="0" borderId="9" xfId="1" applyFont="1" applyBorder="1" applyAlignment="1">
      <alignment horizontal="left" vertical="center" wrapText="1"/>
    </xf>
    <xf numFmtId="178" fontId="11" fillId="5" borderId="0" xfId="0" applyNumberFormat="1" applyFont="1" applyFill="1" applyAlignment="1">
      <alignment horizontal="center"/>
    </xf>
    <xf numFmtId="178" fontId="11" fillId="5" borderId="10" xfId="0" applyNumberFormat="1" applyFont="1" applyFill="1" applyBorder="1" applyAlignment="1">
      <alignment horizontal="center"/>
    </xf>
    <xf numFmtId="179" fontId="11" fillId="0" borderId="0" xfId="0" applyNumberFormat="1" applyFont="1" applyAlignment="1">
      <alignment horizontal="center"/>
    </xf>
    <xf numFmtId="179" fontId="14" fillId="0" borderId="0" xfId="0" applyNumberFormat="1" applyFont="1" applyAlignment="1">
      <alignment horizontal="center"/>
    </xf>
    <xf numFmtId="179" fontId="8" fillId="5" borderId="0" xfId="0" applyNumberFormat="1" applyFont="1" applyFill="1" applyAlignment="1">
      <alignment horizontal="center"/>
    </xf>
    <xf numFmtId="179" fontId="8" fillId="5" borderId="10" xfId="0" applyNumberFormat="1" applyFont="1" applyFill="1" applyBorder="1" applyAlignment="1">
      <alignment horizontal="center"/>
    </xf>
    <xf numFmtId="179" fontId="11" fillId="5" borderId="0" xfId="0" applyNumberFormat="1" applyFont="1" applyFill="1" applyAlignment="1">
      <alignment horizontal="center"/>
    </xf>
    <xf numFmtId="179" fontId="11" fillId="5" borderId="10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180" fontId="14" fillId="0" borderId="0" xfId="0" applyNumberFormat="1" applyFont="1" applyAlignment="1">
      <alignment horizontal="center"/>
    </xf>
    <xf numFmtId="180" fontId="11" fillId="5" borderId="0" xfId="0" applyNumberFormat="1" applyFont="1" applyFill="1" applyAlignment="1">
      <alignment horizontal="center"/>
    </xf>
    <xf numFmtId="180" fontId="11" fillId="5" borderId="10" xfId="0" applyNumberFormat="1" applyFont="1" applyFill="1" applyBorder="1" applyAlignment="1">
      <alignment horizontal="center"/>
    </xf>
    <xf numFmtId="180" fontId="11" fillId="0" borderId="0" xfId="0" applyNumberFormat="1" applyFont="1" applyAlignment="1">
      <alignment horizontal="center"/>
    </xf>
    <xf numFmtId="0" fontId="11" fillId="5" borderId="0" xfId="0" applyFont="1" applyFill="1" applyAlignment="1">
      <alignment horizontal="center"/>
    </xf>
    <xf numFmtId="0" fontId="11" fillId="5" borderId="10" xfId="0" applyFont="1" applyFill="1" applyBorder="1" applyAlignment="1">
      <alignment horizontal="center"/>
    </xf>
    <xf numFmtId="180" fontId="11" fillId="0" borderId="0" xfId="0" applyNumberFormat="1" applyFont="1" applyAlignment="1">
      <alignment horizontal="center" vertical="center"/>
    </xf>
    <xf numFmtId="180" fontId="8" fillId="5" borderId="0" xfId="0" applyNumberFormat="1" applyFont="1" applyFill="1" applyAlignment="1">
      <alignment horizontal="center" vertical="center"/>
    </xf>
    <xf numFmtId="180" fontId="8" fillId="5" borderId="10" xfId="0" applyNumberFormat="1" applyFont="1" applyFill="1" applyBorder="1" applyAlignment="1">
      <alignment horizontal="center" vertical="center"/>
    </xf>
    <xf numFmtId="0" fontId="6" fillId="5" borderId="0" xfId="0" applyFont="1" applyFill="1">
      <alignment vertical="center"/>
    </xf>
    <xf numFmtId="0" fontId="6" fillId="5" borderId="10" xfId="0" applyFont="1" applyFill="1" applyBorder="1">
      <alignment vertical="center"/>
    </xf>
    <xf numFmtId="0" fontId="13" fillId="5" borderId="0" xfId="0" applyFont="1" applyFill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6" fillId="5" borderId="11" xfId="0" applyFont="1" applyFill="1" applyBorder="1">
      <alignment vertical="center"/>
    </xf>
    <xf numFmtId="0" fontId="6" fillId="0" borderId="12" xfId="0" applyFont="1" applyBorder="1" applyAlignment="1">
      <alignment horizontal="center" wrapText="1"/>
    </xf>
    <xf numFmtId="0" fontId="4" fillId="0" borderId="13" xfId="1" applyFont="1" applyBorder="1" applyAlignment="1">
      <alignment horizontal="left" vertical="center"/>
    </xf>
    <xf numFmtId="0" fontId="4" fillId="0" borderId="12" xfId="1" applyFont="1" applyBorder="1" applyAlignment="1">
      <alignment horizontal="center"/>
    </xf>
    <xf numFmtId="177" fontId="4" fillId="0" borderId="14" xfId="1" applyNumberFormat="1" applyFont="1" applyBorder="1" applyAlignment="1">
      <alignment horizontal="center"/>
    </xf>
    <xf numFmtId="178" fontId="6" fillId="0" borderId="1" xfId="0" applyNumberFormat="1" applyFont="1" applyBorder="1" applyAlignment="1">
      <alignment horizontal="center"/>
    </xf>
    <xf numFmtId="178" fontId="4" fillId="0" borderId="1" xfId="0" applyNumberFormat="1" applyFont="1" applyBorder="1" applyAlignment="1">
      <alignment horizontal="center"/>
    </xf>
    <xf numFmtId="178" fontId="4" fillId="0" borderId="14" xfId="0" applyNumberFormat="1" applyFont="1" applyBorder="1" applyAlignment="1">
      <alignment horizontal="center"/>
    </xf>
    <xf numFmtId="179" fontId="4" fillId="0" borderId="1" xfId="0" applyNumberFormat="1" applyFont="1" applyBorder="1" applyAlignment="1">
      <alignment horizontal="center"/>
    </xf>
    <xf numFmtId="179" fontId="4" fillId="0" borderId="14" xfId="0" applyNumberFormat="1" applyFont="1" applyBorder="1" applyAlignment="1">
      <alignment horizontal="center"/>
    </xf>
    <xf numFmtId="179" fontId="6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80" fontId="6" fillId="0" borderId="1" xfId="0" applyNumberFormat="1" applyFont="1" applyBorder="1" applyAlignment="1">
      <alignment horizontal="center"/>
    </xf>
    <xf numFmtId="180" fontId="4" fillId="0" borderId="1" xfId="0" applyNumberFormat="1" applyFont="1" applyBorder="1" applyAlignment="1">
      <alignment horizontal="center"/>
    </xf>
    <xf numFmtId="180" fontId="4" fillId="0" borderId="14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180" fontId="4" fillId="0" borderId="1" xfId="0" applyNumberFormat="1" applyFont="1" applyBorder="1" applyAlignment="1">
      <alignment horizontal="center" vertical="center"/>
    </xf>
    <xf numFmtId="180" fontId="4" fillId="0" borderId="14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180" fontId="6" fillId="0" borderId="0" xfId="0" applyNumberFormat="1" applyFont="1" applyAlignment="1">
      <alignment horizontal="center" vertical="center"/>
    </xf>
    <xf numFmtId="0" fontId="14" fillId="0" borderId="12" xfId="0" applyFont="1" applyBorder="1" applyAlignment="1">
      <alignment horizontal="center" wrapText="1"/>
    </xf>
    <xf numFmtId="0" fontId="14" fillId="0" borderId="13" xfId="0" applyFont="1" applyBorder="1" applyAlignment="1">
      <alignment horizontal="left" vertical="center"/>
    </xf>
    <xf numFmtId="178" fontId="11" fillId="5" borderId="1" xfId="0" applyNumberFormat="1" applyFont="1" applyFill="1" applyBorder="1" applyAlignment="1">
      <alignment horizontal="center"/>
    </xf>
    <xf numFmtId="178" fontId="11" fillId="5" borderId="14" xfId="0" applyNumberFormat="1" applyFont="1" applyFill="1" applyBorder="1" applyAlignment="1">
      <alignment horizontal="center"/>
    </xf>
    <xf numFmtId="179" fontId="11" fillId="0" borderId="1" xfId="0" applyNumberFormat="1" applyFont="1" applyBorder="1" applyAlignment="1">
      <alignment horizontal="center"/>
    </xf>
    <xf numFmtId="179" fontId="14" fillId="0" borderId="1" xfId="0" applyNumberFormat="1" applyFont="1" applyBorder="1" applyAlignment="1">
      <alignment horizontal="center"/>
    </xf>
    <xf numFmtId="179" fontId="8" fillId="5" borderId="1" xfId="0" applyNumberFormat="1" applyFont="1" applyFill="1" applyBorder="1" applyAlignment="1">
      <alignment horizontal="center"/>
    </xf>
    <xf numFmtId="179" fontId="8" fillId="5" borderId="14" xfId="0" applyNumberFormat="1" applyFont="1" applyFill="1" applyBorder="1" applyAlignment="1">
      <alignment horizontal="center"/>
    </xf>
    <xf numFmtId="179" fontId="11" fillId="5" borderId="1" xfId="0" applyNumberFormat="1" applyFont="1" applyFill="1" applyBorder="1" applyAlignment="1">
      <alignment horizontal="center"/>
    </xf>
    <xf numFmtId="179" fontId="11" fillId="5" borderId="14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180" fontId="14" fillId="0" borderId="1" xfId="0" applyNumberFormat="1" applyFont="1" applyBorder="1" applyAlignment="1">
      <alignment horizontal="center"/>
    </xf>
    <xf numFmtId="180" fontId="11" fillId="5" borderId="1" xfId="0" applyNumberFormat="1" applyFont="1" applyFill="1" applyBorder="1" applyAlignment="1">
      <alignment horizontal="center"/>
    </xf>
    <xf numFmtId="180" fontId="11" fillId="5" borderId="14" xfId="0" applyNumberFormat="1" applyFont="1" applyFill="1" applyBorder="1" applyAlignment="1">
      <alignment horizontal="center"/>
    </xf>
    <xf numFmtId="180" fontId="11" fillId="0" borderId="1" xfId="0" applyNumberFormat="1" applyFont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1" fillId="5" borderId="14" xfId="0" applyFont="1" applyFill="1" applyBorder="1" applyAlignment="1">
      <alignment horizontal="center"/>
    </xf>
    <xf numFmtId="180" fontId="6" fillId="0" borderId="1" xfId="0" applyNumberFormat="1" applyFont="1" applyBorder="1" applyAlignment="1">
      <alignment horizontal="center" vertical="center"/>
    </xf>
    <xf numFmtId="180" fontId="11" fillId="0" borderId="1" xfId="0" applyNumberFormat="1" applyFont="1" applyBorder="1" applyAlignment="1">
      <alignment horizontal="center" vertical="center"/>
    </xf>
    <xf numFmtId="180" fontId="8" fillId="5" borderId="1" xfId="0" applyNumberFormat="1" applyFont="1" applyFill="1" applyBorder="1" applyAlignment="1">
      <alignment horizontal="center" vertical="center"/>
    </xf>
    <xf numFmtId="180" fontId="11" fillId="5" borderId="1" xfId="0" applyNumberFormat="1" applyFont="1" applyFill="1" applyBorder="1" applyAlignment="1">
      <alignment horizontal="center" vertical="center"/>
    </xf>
    <xf numFmtId="180" fontId="11" fillId="5" borderId="14" xfId="0" applyNumberFormat="1" applyFont="1" applyFill="1" applyBorder="1" applyAlignment="1">
      <alignment horizontal="center" vertical="center"/>
    </xf>
    <xf numFmtId="0" fontId="6" fillId="5" borderId="1" xfId="0" applyFont="1" applyFill="1" applyBorder="1">
      <alignment vertical="center"/>
    </xf>
    <xf numFmtId="0" fontId="6" fillId="5" borderId="14" xfId="0" applyFont="1" applyFill="1" applyBorder="1">
      <alignment vertical="center"/>
    </xf>
    <xf numFmtId="0" fontId="6" fillId="0" borderId="1" xfId="0" applyFont="1" applyBorder="1">
      <alignment vertical="center"/>
    </xf>
    <xf numFmtId="0" fontId="13" fillId="5" borderId="1" xfId="0" applyFont="1" applyFill="1" applyBorder="1" applyAlignment="1">
      <alignment horizontal="center" vertical="center"/>
    </xf>
    <xf numFmtId="0" fontId="13" fillId="5" borderId="14" xfId="0" applyFont="1" applyFill="1" applyBorder="1" applyAlignment="1">
      <alignment horizontal="center" vertical="center"/>
    </xf>
    <xf numFmtId="0" fontId="6" fillId="5" borderId="15" xfId="0" applyFont="1" applyFill="1" applyBorder="1">
      <alignment vertical="center"/>
    </xf>
    <xf numFmtId="178" fontId="4" fillId="0" borderId="16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3" fillId="0" borderId="9" xfId="1" applyFont="1" applyBorder="1" applyAlignment="1">
      <alignment horizontal="left" vertical="center"/>
    </xf>
    <xf numFmtId="0" fontId="4" fillId="0" borderId="10" xfId="1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4" fillId="0" borderId="18" xfId="1" applyFont="1" applyBorder="1" applyAlignment="1">
      <alignment horizontal="left" vertical="center"/>
    </xf>
    <xf numFmtId="0" fontId="4" fillId="0" borderId="17" xfId="1" applyFont="1" applyBorder="1" applyAlignment="1">
      <alignment horizontal="center"/>
    </xf>
    <xf numFmtId="177" fontId="4" fillId="0" borderId="19" xfId="1" applyNumberFormat="1" applyFont="1" applyBorder="1" applyAlignment="1">
      <alignment horizontal="center"/>
    </xf>
    <xf numFmtId="178" fontId="6" fillId="0" borderId="20" xfId="0" applyNumberFormat="1" applyFont="1" applyBorder="1" applyAlignment="1">
      <alignment horizontal="center"/>
    </xf>
    <xf numFmtId="178" fontId="4" fillId="0" borderId="20" xfId="0" applyNumberFormat="1" applyFont="1" applyBorder="1" applyAlignment="1">
      <alignment horizontal="center"/>
    </xf>
    <xf numFmtId="178" fontId="4" fillId="0" borderId="19" xfId="0" applyNumberFormat="1" applyFont="1" applyBorder="1" applyAlignment="1">
      <alignment horizontal="center"/>
    </xf>
    <xf numFmtId="179" fontId="4" fillId="0" borderId="20" xfId="0" applyNumberFormat="1" applyFont="1" applyBorder="1" applyAlignment="1">
      <alignment horizontal="center"/>
    </xf>
    <xf numFmtId="179" fontId="4" fillId="0" borderId="19" xfId="0" applyNumberFormat="1" applyFont="1" applyBorder="1" applyAlignment="1">
      <alignment horizontal="center"/>
    </xf>
    <xf numFmtId="179" fontId="6" fillId="0" borderId="20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180" fontId="6" fillId="0" borderId="20" xfId="0" applyNumberFormat="1" applyFont="1" applyBorder="1" applyAlignment="1">
      <alignment horizontal="center"/>
    </xf>
    <xf numFmtId="180" fontId="4" fillId="0" borderId="20" xfId="0" applyNumberFormat="1" applyFont="1" applyBorder="1" applyAlignment="1">
      <alignment horizontal="center"/>
    </xf>
    <xf numFmtId="180" fontId="4" fillId="0" borderId="19" xfId="0" applyNumberFormat="1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13" fillId="0" borderId="20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180" fontId="6" fillId="0" borderId="20" xfId="0" applyNumberFormat="1" applyFont="1" applyBorder="1" applyAlignment="1">
      <alignment horizontal="center" vertical="center"/>
    </xf>
    <xf numFmtId="180" fontId="4" fillId="0" borderId="20" xfId="0" applyNumberFormat="1" applyFont="1" applyBorder="1" applyAlignment="1">
      <alignment horizontal="center" vertical="center"/>
    </xf>
    <xf numFmtId="180" fontId="4" fillId="0" borderId="19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180" fontId="14" fillId="0" borderId="0" xfId="0" applyNumberFormat="1" applyFont="1" applyAlignment="1">
      <alignment horizontal="center" vertical="center"/>
    </xf>
    <xf numFmtId="180" fontId="14" fillId="0" borderId="10" xfId="0" applyNumberFormat="1" applyFont="1" applyBorder="1" applyAlignment="1">
      <alignment horizontal="center" vertical="center"/>
    </xf>
    <xf numFmtId="180" fontId="6" fillId="0" borderId="10" xfId="0" applyNumberFormat="1" applyFont="1" applyBorder="1" applyAlignment="1">
      <alignment horizontal="center" vertical="center"/>
    </xf>
    <xf numFmtId="178" fontId="14" fillId="5" borderId="10" xfId="0" applyNumberFormat="1" applyFont="1" applyFill="1" applyBorder="1">
      <alignment vertical="center"/>
    </xf>
    <xf numFmtId="179" fontId="14" fillId="0" borderId="0" xfId="0" applyNumberFormat="1" applyFont="1">
      <alignment vertical="center"/>
    </xf>
    <xf numFmtId="179" fontId="4" fillId="5" borderId="10" xfId="0" applyNumberFormat="1" applyFont="1" applyFill="1" applyBorder="1">
      <alignment vertical="center"/>
    </xf>
    <xf numFmtId="179" fontId="6" fillId="5" borderId="10" xfId="0" applyNumberFormat="1" applyFont="1" applyFill="1" applyBorder="1">
      <alignment vertical="center"/>
    </xf>
    <xf numFmtId="179" fontId="6" fillId="0" borderId="0" xfId="0" applyNumberFormat="1" applyFont="1">
      <alignment vertical="center"/>
    </xf>
    <xf numFmtId="180" fontId="6" fillId="5" borderId="10" xfId="0" applyNumberFormat="1" applyFont="1" applyFill="1" applyBorder="1">
      <alignment vertical="center"/>
    </xf>
    <xf numFmtId="180" fontId="6" fillId="0" borderId="0" xfId="0" applyNumberFormat="1" applyFont="1">
      <alignment vertical="center"/>
    </xf>
    <xf numFmtId="180" fontId="6" fillId="5" borderId="10" xfId="0" applyNumberFormat="1" applyFont="1" applyFill="1" applyBorder="1" applyAlignment="1">
      <alignment horizontal="center" vertical="center"/>
    </xf>
    <xf numFmtId="180" fontId="6" fillId="5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0" borderId="8" xfId="0" applyFont="1" applyBorder="1" applyAlignment="1">
      <alignment horizontal="center" wrapText="1"/>
    </xf>
    <xf numFmtId="0" fontId="14" fillId="0" borderId="9" xfId="0" applyFont="1" applyBorder="1" applyAlignment="1">
      <alignment horizontal="left" vertical="center"/>
    </xf>
    <xf numFmtId="181" fontId="4" fillId="0" borderId="8" xfId="1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left" vertical="center"/>
    </xf>
    <xf numFmtId="0" fontId="6" fillId="0" borderId="0" xfId="0" applyFont="1" applyAlignment="1">
      <alignment horizontal="center" wrapText="1"/>
    </xf>
    <xf numFmtId="0" fontId="3" fillId="0" borderId="0" xfId="1" applyFont="1" applyAlignment="1">
      <alignment horizontal="left"/>
    </xf>
    <xf numFmtId="0" fontId="6" fillId="0" borderId="0" xfId="2" applyFont="1" applyAlignment="1">
      <alignment horizontal="left" vertical="center"/>
    </xf>
    <xf numFmtId="0" fontId="6" fillId="0" borderId="0" xfId="0" applyFont="1" applyAlignment="1"/>
    <xf numFmtId="0" fontId="19" fillId="0" borderId="0" xfId="0" applyFont="1" applyAlignment="1">
      <alignment horizontal="left"/>
    </xf>
    <xf numFmtId="0" fontId="15" fillId="0" borderId="0" xfId="0" applyFont="1">
      <alignment vertical="center"/>
    </xf>
    <xf numFmtId="0" fontId="6" fillId="0" borderId="0" xfId="2" applyFont="1" applyAlignment="1">
      <alignment horizontal="center"/>
    </xf>
    <xf numFmtId="49" fontId="6" fillId="0" borderId="0" xfId="0" applyNumberFormat="1" applyFont="1" applyAlignment="1"/>
    <xf numFmtId="0" fontId="6" fillId="0" borderId="0" xfId="1" applyFont="1"/>
    <xf numFmtId="49" fontId="4" fillId="0" borderId="16" xfId="3" applyNumberFormat="1" applyFont="1" applyBorder="1" applyAlignment="1">
      <alignment horizontal="center"/>
    </xf>
    <xf numFmtId="49" fontId="22" fillId="0" borderId="0" xfId="3" applyNumberFormat="1" applyFont="1" applyAlignment="1"/>
    <xf numFmtId="49" fontId="21" fillId="0" borderId="0" xfId="3" applyNumberFormat="1" applyAlignment="1"/>
    <xf numFmtId="0" fontId="4" fillId="0" borderId="0" xfId="4" applyFont="1">
      <alignment vertical="center"/>
    </xf>
    <xf numFmtId="0" fontId="21" fillId="0" borderId="0" xfId="4">
      <alignment vertical="center"/>
    </xf>
    <xf numFmtId="0" fontId="22" fillId="0" borderId="0" xfId="3" applyFont="1">
      <alignment vertical="center"/>
    </xf>
    <xf numFmtId="0" fontId="23" fillId="0" borderId="0" xfId="3" applyFont="1">
      <alignment vertical="center"/>
    </xf>
    <xf numFmtId="0" fontId="21" fillId="0" borderId="0" xfId="3">
      <alignment vertical="center"/>
    </xf>
    <xf numFmtId="49" fontId="23" fillId="2" borderId="0" xfId="0" applyNumberFormat="1" applyFont="1" applyFill="1">
      <alignment vertical="center"/>
    </xf>
    <xf numFmtId="49" fontId="25" fillId="0" borderId="0" xfId="3" applyNumberFormat="1" applyFont="1" applyAlignment="1">
      <alignment horizontal="right" vertical="center"/>
    </xf>
    <xf numFmtId="0" fontId="1" fillId="0" borderId="0" xfId="2" applyFont="1" applyAlignment="1">
      <alignment horizontal="left"/>
    </xf>
    <xf numFmtId="0" fontId="23" fillId="0" borderId="0" xfId="0" applyFont="1">
      <alignment vertical="center"/>
    </xf>
    <xf numFmtId="0" fontId="26" fillId="0" borderId="0" xfId="3" applyFont="1">
      <alignment vertical="center"/>
    </xf>
    <xf numFmtId="0" fontId="22" fillId="0" borderId="22" xfId="2" applyFont="1" applyBorder="1" applyAlignment="1">
      <alignment horizontal="center"/>
    </xf>
    <xf numFmtId="0" fontId="22" fillId="0" borderId="23" xfId="2" applyFont="1" applyBorder="1" applyAlignment="1">
      <alignment horizontal="center" vertical="center"/>
    </xf>
    <xf numFmtId="0" fontId="3" fillId="0" borderId="24" xfId="2" applyFont="1" applyBorder="1" applyAlignment="1">
      <alignment horizontal="center" vertical="center"/>
    </xf>
    <xf numFmtId="0" fontId="22" fillId="0" borderId="25" xfId="4" applyFont="1" applyBorder="1" applyAlignment="1">
      <alignment horizontal="center" vertical="center"/>
    </xf>
    <xf numFmtId="0" fontId="22" fillId="0" borderId="23" xfId="4" applyFont="1" applyBorder="1" applyAlignment="1">
      <alignment horizontal="center" vertical="center"/>
    </xf>
    <xf numFmtId="49" fontId="3" fillId="0" borderId="26" xfId="3" applyNumberFormat="1" applyFont="1" applyBorder="1" applyAlignment="1">
      <alignment horizontal="center"/>
    </xf>
    <xf numFmtId="49" fontId="3" fillId="0" borderId="23" xfId="3" applyNumberFormat="1" applyFont="1" applyBorder="1" applyAlignment="1">
      <alignment horizontal="center"/>
    </xf>
    <xf numFmtId="49" fontId="4" fillId="0" borderId="0" xfId="3" applyNumberFormat="1" applyFont="1" applyAlignment="1">
      <alignment horizontal="center"/>
    </xf>
    <xf numFmtId="49" fontId="22" fillId="6" borderId="27" xfId="3" applyNumberFormat="1" applyFont="1" applyFill="1" applyBorder="1" applyAlignment="1">
      <alignment horizontal="center"/>
    </xf>
    <xf numFmtId="49" fontId="23" fillId="7" borderId="27" xfId="3" applyNumberFormat="1" applyFont="1" applyFill="1" applyBorder="1" applyAlignment="1">
      <alignment horizontal="center"/>
    </xf>
    <xf numFmtId="49" fontId="25" fillId="7" borderId="27" xfId="3" applyNumberFormat="1" applyFont="1" applyFill="1" applyBorder="1" applyAlignment="1">
      <alignment horizontal="center"/>
    </xf>
    <xf numFmtId="49" fontId="23" fillId="7" borderId="23" xfId="3" applyNumberFormat="1" applyFont="1" applyFill="1" applyBorder="1" applyAlignment="1">
      <alignment horizontal="center"/>
    </xf>
    <xf numFmtId="49" fontId="1" fillId="0" borderId="22" xfId="3" applyNumberFormat="1" applyFont="1" applyBorder="1" applyAlignment="1"/>
    <xf numFmtId="0" fontId="3" fillId="0" borderId="23" xfId="3" applyFont="1" applyBorder="1" applyAlignment="1"/>
    <xf numFmtId="0" fontId="4" fillId="0" borderId="0" xfId="3" applyFont="1" applyAlignment="1">
      <alignment horizontal="right" vertical="center"/>
    </xf>
    <xf numFmtId="0" fontId="25" fillId="0" borderId="28" xfId="2" applyFont="1" applyBorder="1" applyAlignment="1">
      <alignment horizontal="center" vertical="center"/>
    </xf>
    <xf numFmtId="0" fontId="25" fillId="0" borderId="11" xfId="2" applyFont="1" applyBorder="1" applyAlignment="1">
      <alignment horizontal="left" vertical="center"/>
    </xf>
    <xf numFmtId="0" fontId="25" fillId="0" borderId="9" xfId="2" applyFont="1" applyBorder="1" applyAlignment="1">
      <alignment horizontal="left"/>
    </xf>
    <xf numFmtId="0" fontId="21" fillId="0" borderId="29" xfId="4" applyBorder="1">
      <alignment vertical="center"/>
    </xf>
    <xf numFmtId="0" fontId="22" fillId="8" borderId="29" xfId="2" applyFont="1" applyFill="1" applyBorder="1" applyAlignment="1">
      <alignment horizontal="center"/>
    </xf>
    <xf numFmtId="0" fontId="21" fillId="0" borderId="29" xfId="4" applyBorder="1" applyAlignment="1">
      <alignment horizontal="center" vertical="center"/>
    </xf>
    <xf numFmtId="0" fontId="21" fillId="0" borderId="11" xfId="4" applyBorder="1" applyAlignment="1">
      <alignment horizontal="center" vertical="center"/>
    </xf>
    <xf numFmtId="49" fontId="21" fillId="0" borderId="10" xfId="3" applyNumberFormat="1" applyBorder="1" applyAlignment="1">
      <alignment horizontal="center"/>
    </xf>
    <xf numFmtId="49" fontId="21" fillId="0" borderId="30" xfId="3" applyNumberFormat="1" applyBorder="1" applyAlignment="1">
      <alignment horizontal="center"/>
    </xf>
    <xf numFmtId="49" fontId="25" fillId="0" borderId="0" xfId="4" applyNumberFormat="1" applyFont="1" applyAlignment="1">
      <alignment horizontal="center" vertical="center"/>
    </xf>
    <xf numFmtId="49" fontId="25" fillId="0" borderId="0" xfId="3" applyNumberFormat="1" applyFont="1" applyAlignment="1">
      <alignment horizontal="center"/>
    </xf>
    <xf numFmtId="49" fontId="25" fillId="0" borderId="10" xfId="3" applyNumberFormat="1" applyFont="1" applyBorder="1" applyAlignment="1">
      <alignment horizontal="center"/>
    </xf>
    <xf numFmtId="49" fontId="30" fillId="0" borderId="0" xfId="3" applyNumberFormat="1" applyFont="1" applyAlignment="1">
      <alignment horizontal="center"/>
    </xf>
    <xf numFmtId="0" fontId="31" fillId="0" borderId="11" xfId="3" applyFont="1" applyBorder="1" applyAlignment="1">
      <alignment horizontal="center" vertical="center"/>
    </xf>
    <xf numFmtId="49" fontId="25" fillId="0" borderId="28" xfId="3" applyNumberFormat="1" applyFont="1" applyBorder="1" applyAlignment="1"/>
    <xf numFmtId="49" fontId="25" fillId="0" borderId="11" xfId="3" applyNumberFormat="1" applyFont="1" applyBorder="1" applyAlignment="1"/>
    <xf numFmtId="0" fontId="21" fillId="9" borderId="0" xfId="3" applyFill="1" applyAlignment="1">
      <alignment horizontal="right" vertical="center"/>
    </xf>
    <xf numFmtId="0" fontId="25" fillId="0" borderId="29" xfId="2" applyFont="1" applyBorder="1" applyAlignment="1">
      <alignment horizontal="left"/>
    </xf>
    <xf numFmtId="0" fontId="33" fillId="0" borderId="29" xfId="2" applyFont="1" applyBorder="1" applyAlignment="1">
      <alignment horizontal="center"/>
    </xf>
    <xf numFmtId="49" fontId="3" fillId="0" borderId="10" xfId="3" applyNumberFormat="1" applyFont="1" applyBorder="1" applyAlignment="1">
      <alignment horizontal="center"/>
    </xf>
    <xf numFmtId="49" fontId="4" fillId="0" borderId="10" xfId="3" applyNumberFormat="1" applyFont="1" applyBorder="1" applyAlignment="1">
      <alignment horizontal="center"/>
    </xf>
    <xf numFmtId="49" fontId="4" fillId="0" borderId="31" xfId="3" applyNumberFormat="1" applyFont="1" applyBorder="1" applyAlignment="1">
      <alignment horizontal="center"/>
    </xf>
    <xf numFmtId="49" fontId="3" fillId="0" borderId="0" xfId="4" applyNumberFormat="1" applyFont="1" applyAlignment="1">
      <alignment horizontal="center" vertical="center"/>
    </xf>
    <xf numFmtId="0" fontId="21" fillId="0" borderId="0" xfId="3" applyAlignment="1">
      <alignment horizontal="right" vertical="center"/>
    </xf>
    <xf numFmtId="0" fontId="25" fillId="0" borderId="11" xfId="2" applyFont="1" applyBorder="1" applyAlignment="1">
      <alignment horizontal="left" vertical="center" wrapText="1"/>
    </xf>
    <xf numFmtId="0" fontId="25" fillId="10" borderId="29" xfId="2" applyFont="1" applyFill="1" applyBorder="1" applyAlignment="1">
      <alignment horizontal="left"/>
    </xf>
    <xf numFmtId="49" fontId="21" fillId="0" borderId="31" xfId="3" applyNumberFormat="1" applyBorder="1" applyAlignment="1">
      <alignment horizontal="center"/>
    </xf>
    <xf numFmtId="49" fontId="4" fillId="0" borderId="28" xfId="3" applyNumberFormat="1" applyFont="1" applyBorder="1" applyAlignment="1"/>
    <xf numFmtId="0" fontId="25" fillId="0" borderId="11" xfId="3" applyFont="1" applyBorder="1" applyAlignment="1"/>
    <xf numFmtId="0" fontId="35" fillId="5" borderId="28" xfId="2" applyFont="1" applyFill="1" applyBorder="1" applyAlignment="1">
      <alignment horizontal="center" vertical="center"/>
    </xf>
    <xf numFmtId="0" fontId="35" fillId="5" borderId="11" xfId="2" applyFont="1" applyFill="1" applyBorder="1" applyAlignment="1">
      <alignment horizontal="left" vertical="center" wrapText="1"/>
    </xf>
    <xf numFmtId="0" fontId="35" fillId="0" borderId="9" xfId="2" applyFont="1" applyBorder="1" applyAlignment="1">
      <alignment horizontal="left"/>
    </xf>
    <xf numFmtId="0" fontId="35" fillId="5" borderId="29" xfId="2" applyFont="1" applyFill="1" applyBorder="1" applyAlignment="1">
      <alignment horizontal="left"/>
    </xf>
    <xf numFmtId="49" fontId="36" fillId="0" borderId="10" xfId="3" applyNumberFormat="1" applyFont="1" applyBorder="1" applyAlignment="1">
      <alignment horizontal="center"/>
    </xf>
    <xf numFmtId="49" fontId="37" fillId="5" borderId="10" xfId="3" applyNumberFormat="1" applyFont="1" applyFill="1" applyBorder="1" applyAlignment="1">
      <alignment horizontal="center"/>
    </xf>
    <xf numFmtId="49" fontId="37" fillId="5" borderId="31" xfId="3" applyNumberFormat="1" applyFont="1" applyFill="1" applyBorder="1" applyAlignment="1">
      <alignment horizontal="center"/>
    </xf>
    <xf numFmtId="49" fontId="25" fillId="5" borderId="0" xfId="3" applyNumberFormat="1" applyFont="1" applyFill="1" applyAlignment="1">
      <alignment horizontal="center"/>
    </xf>
    <xf numFmtId="0" fontId="31" fillId="5" borderId="11" xfId="3" applyFont="1" applyFill="1" applyBorder="1" applyAlignment="1">
      <alignment horizontal="center" vertical="center"/>
    </xf>
    <xf numFmtId="49" fontId="38" fillId="0" borderId="0" xfId="3" applyNumberFormat="1" applyFont="1">
      <alignment vertical="center"/>
    </xf>
    <xf numFmtId="0" fontId="25" fillId="0" borderId="29" xfId="2" applyFont="1" applyBorder="1" applyAlignment="1">
      <alignment horizontal="center"/>
    </xf>
    <xf numFmtId="49" fontId="4" fillId="0" borderId="0" xfId="4" applyNumberFormat="1" applyFont="1" applyAlignment="1">
      <alignment horizontal="center" vertical="center"/>
    </xf>
    <xf numFmtId="0" fontId="25" fillId="0" borderId="32" xfId="2" applyFont="1" applyBorder="1" applyAlignment="1">
      <alignment horizontal="center" vertical="center"/>
    </xf>
    <xf numFmtId="0" fontId="25" fillId="0" borderId="15" xfId="2" applyFont="1" applyBorder="1" applyAlignment="1">
      <alignment horizontal="left" vertical="center"/>
    </xf>
    <xf numFmtId="0" fontId="25" fillId="0" borderId="13" xfId="2" applyFont="1" applyBorder="1" applyAlignment="1">
      <alignment horizontal="left"/>
    </xf>
    <xf numFmtId="0" fontId="25" fillId="10" borderId="33" xfId="2" applyFont="1" applyFill="1" applyBorder="1" applyAlignment="1">
      <alignment horizontal="left"/>
    </xf>
    <xf numFmtId="0" fontId="21" fillId="0" borderId="33" xfId="4" applyBorder="1" applyAlignment="1">
      <alignment horizontal="center" vertical="center"/>
    </xf>
    <xf numFmtId="0" fontId="21" fillId="0" borderId="15" xfId="4" applyBorder="1" applyAlignment="1">
      <alignment horizontal="center" vertical="center"/>
    </xf>
    <xf numFmtId="49" fontId="4" fillId="0" borderId="14" xfId="3" applyNumberFormat="1" applyFont="1" applyBorder="1" applyAlignment="1">
      <alignment horizontal="center"/>
    </xf>
    <xf numFmtId="49" fontId="4" fillId="0" borderId="34" xfId="3" applyNumberFormat="1" applyFont="1" applyBorder="1" applyAlignment="1">
      <alignment horizontal="center"/>
    </xf>
    <xf numFmtId="49" fontId="22" fillId="0" borderId="0" xfId="4" applyNumberFormat="1" applyFont="1" applyAlignment="1">
      <alignment horizontal="center" vertical="center"/>
    </xf>
    <xf numFmtId="49" fontId="25" fillId="0" borderId="1" xfId="3" applyNumberFormat="1" applyFont="1" applyBorder="1" applyAlignment="1">
      <alignment horizontal="center"/>
    </xf>
    <xf numFmtId="49" fontId="30" fillId="0" borderId="1" xfId="3" applyNumberFormat="1" applyFont="1" applyBorder="1" applyAlignment="1">
      <alignment horizontal="center"/>
    </xf>
    <xf numFmtId="0" fontId="31" fillId="0" borderId="15" xfId="3" applyFont="1" applyBorder="1" applyAlignment="1">
      <alignment horizontal="center" vertical="center"/>
    </xf>
    <xf numFmtId="0" fontId="25" fillId="0" borderId="11" xfId="4" applyFont="1" applyBorder="1" applyAlignment="1">
      <alignment horizontal="left" vertical="center"/>
    </xf>
    <xf numFmtId="0" fontId="25" fillId="0" borderId="11" xfId="2" applyFont="1" applyBorder="1" applyAlignment="1">
      <alignment horizontal="center"/>
    </xf>
    <xf numFmtId="0" fontId="40" fillId="0" borderId="29" xfId="4" applyFont="1" applyBorder="1" applyAlignment="1">
      <alignment horizontal="center" vertical="center"/>
    </xf>
    <xf numFmtId="49" fontId="3" fillId="0" borderId="31" xfId="3" applyNumberFormat="1" applyFont="1" applyBorder="1" applyAlignment="1">
      <alignment horizontal="center"/>
    </xf>
    <xf numFmtId="49" fontId="21" fillId="0" borderId="35" xfId="3" applyNumberFormat="1" applyBorder="1" applyAlignment="1"/>
    <xf numFmtId="0" fontId="25" fillId="0" borderId="21" xfId="3" applyFont="1" applyBorder="1" applyAlignment="1"/>
    <xf numFmtId="0" fontId="4" fillId="9" borderId="0" xfId="3" applyFont="1" applyFill="1" applyAlignment="1">
      <alignment horizontal="right" vertical="center"/>
    </xf>
    <xf numFmtId="0" fontId="35" fillId="5" borderId="32" xfId="2" applyFont="1" applyFill="1" applyBorder="1" applyAlignment="1">
      <alignment horizontal="center" vertical="center"/>
    </xf>
    <xf numFmtId="0" fontId="35" fillId="5" borderId="15" xfId="4" applyFont="1" applyFill="1" applyBorder="1" applyAlignment="1">
      <alignment horizontal="left" vertical="center"/>
    </xf>
    <xf numFmtId="0" fontId="42" fillId="0" borderId="13" xfId="2" applyFont="1" applyBorder="1" applyAlignment="1">
      <alignment horizontal="left"/>
    </xf>
    <xf numFmtId="0" fontId="42" fillId="0" borderId="33" xfId="2" applyFont="1" applyBorder="1" applyAlignment="1">
      <alignment horizontal="left"/>
    </xf>
    <xf numFmtId="0" fontId="26" fillId="0" borderId="33" xfId="4" applyFont="1" applyBorder="1" applyAlignment="1">
      <alignment horizontal="center" vertical="center"/>
    </xf>
    <xf numFmtId="49" fontId="37" fillId="5" borderId="14" xfId="3" applyNumberFormat="1" applyFont="1" applyFill="1" applyBorder="1" applyAlignment="1">
      <alignment horizontal="center"/>
    </xf>
    <xf numFmtId="49" fontId="37" fillId="5" borderId="34" xfId="3" applyNumberFormat="1" applyFont="1" applyFill="1" applyBorder="1" applyAlignment="1">
      <alignment horizontal="center"/>
    </xf>
    <xf numFmtId="49" fontId="25" fillId="5" borderId="1" xfId="3" applyNumberFormat="1" applyFont="1" applyFill="1" applyBorder="1" applyAlignment="1">
      <alignment horizontal="center"/>
    </xf>
    <xf numFmtId="0" fontId="31" fillId="5" borderId="15" xfId="3" applyFont="1" applyFill="1" applyBorder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22" fillId="0" borderId="11" xfId="2" applyFont="1" applyBorder="1" applyAlignment="1">
      <alignment horizontal="left" vertical="center"/>
    </xf>
    <xf numFmtId="0" fontId="25" fillId="0" borderId="35" xfId="2" applyFont="1" applyBorder="1" applyAlignment="1">
      <alignment horizontal="center" vertical="center"/>
    </xf>
    <xf numFmtId="0" fontId="25" fillId="0" borderId="21" xfId="2" applyFont="1" applyBorder="1" applyAlignment="1">
      <alignment horizontal="left" vertical="center"/>
    </xf>
    <xf numFmtId="0" fontId="25" fillId="0" borderId="18" xfId="2" applyFont="1" applyBorder="1" applyAlignment="1">
      <alignment horizontal="left"/>
    </xf>
    <xf numFmtId="0" fontId="21" fillId="0" borderId="36" xfId="4" applyBorder="1">
      <alignment vertical="center"/>
    </xf>
    <xf numFmtId="0" fontId="22" fillId="8" borderId="36" xfId="2" applyFont="1" applyFill="1" applyBorder="1" applyAlignment="1">
      <alignment horizontal="center"/>
    </xf>
    <xf numFmtId="0" fontId="21" fillId="0" borderId="36" xfId="4" applyBorder="1" applyAlignment="1">
      <alignment horizontal="center" vertical="center"/>
    </xf>
    <xf numFmtId="0" fontId="21" fillId="0" borderId="21" xfId="4" applyBorder="1" applyAlignment="1">
      <alignment horizontal="center" vertical="center"/>
    </xf>
    <xf numFmtId="49" fontId="4" fillId="0" borderId="19" xfId="3" applyNumberFormat="1" applyFont="1" applyBorder="1" applyAlignment="1">
      <alignment horizontal="center"/>
    </xf>
    <xf numFmtId="49" fontId="4" fillId="0" borderId="37" xfId="3" applyNumberFormat="1" applyFont="1" applyBorder="1" applyAlignment="1">
      <alignment horizontal="center"/>
    </xf>
    <xf numFmtId="49" fontId="25" fillId="0" borderId="20" xfId="3" applyNumberFormat="1" applyFont="1" applyBorder="1" applyAlignment="1">
      <alignment horizontal="center"/>
    </xf>
    <xf numFmtId="0" fontId="31" fillId="0" borderId="21" xfId="3" applyFont="1" applyBorder="1" applyAlignment="1">
      <alignment horizontal="center" vertical="center"/>
    </xf>
    <xf numFmtId="0" fontId="4" fillId="0" borderId="29" xfId="4" applyFont="1" applyBorder="1" applyAlignment="1">
      <alignment horizontal="left" vertical="center"/>
    </xf>
    <xf numFmtId="0" fontId="7" fillId="9" borderId="0" xfId="3" applyFont="1" applyFill="1" applyAlignment="1">
      <alignment horizontal="right" vertical="center"/>
    </xf>
    <xf numFmtId="0" fontId="30" fillId="0" borderId="9" xfId="2" applyFont="1" applyBorder="1" applyAlignment="1">
      <alignment horizontal="left"/>
    </xf>
    <xf numFmtId="0" fontId="30" fillId="0" borderId="29" xfId="2" applyFont="1" applyBorder="1" applyAlignment="1">
      <alignment horizontal="left"/>
    </xf>
    <xf numFmtId="0" fontId="30" fillId="0" borderId="11" xfId="2" applyFont="1" applyBorder="1" applyAlignment="1">
      <alignment horizontal="center"/>
    </xf>
    <xf numFmtId="0" fontId="7" fillId="0" borderId="0" xfId="3" applyFont="1" applyAlignment="1">
      <alignment horizontal="right" vertical="center"/>
    </xf>
    <xf numFmtId="0" fontId="44" fillId="0" borderId="29" xfId="2" applyFont="1" applyBorder="1" applyAlignment="1">
      <alignment horizontal="center"/>
    </xf>
    <xf numFmtId="0" fontId="44" fillId="0" borderId="11" xfId="2" applyFont="1" applyBorder="1" applyAlignment="1">
      <alignment horizontal="center"/>
    </xf>
    <xf numFmtId="0" fontId="25" fillId="5" borderId="28" xfId="2" applyFont="1" applyFill="1" applyBorder="1" applyAlignment="1">
      <alignment horizontal="center" vertical="center"/>
    </xf>
    <xf numFmtId="0" fontId="25" fillId="5" borderId="11" xfId="4" applyFont="1" applyFill="1" applyBorder="1" applyAlignment="1">
      <alignment horizontal="left" vertical="center"/>
    </xf>
    <xf numFmtId="49" fontId="45" fillId="5" borderId="31" xfId="3" applyNumberFormat="1" applyFont="1" applyFill="1" applyBorder="1" applyAlignment="1">
      <alignment horizontal="center"/>
    </xf>
    <xf numFmtId="0" fontId="22" fillId="5" borderId="28" xfId="2" applyFont="1" applyFill="1" applyBorder="1" applyAlignment="1">
      <alignment horizontal="center" vertical="center"/>
    </xf>
    <xf numFmtId="0" fontId="22" fillId="5" borderId="11" xfId="2" applyFont="1" applyFill="1" applyBorder="1" applyAlignment="1">
      <alignment horizontal="left" vertical="center"/>
    </xf>
    <xf numFmtId="0" fontId="30" fillId="0" borderId="29" xfId="2" applyFont="1" applyBorder="1" applyAlignment="1">
      <alignment horizontal="center"/>
    </xf>
    <xf numFmtId="49" fontId="25" fillId="0" borderId="31" xfId="3" applyNumberFormat="1" applyFont="1" applyBorder="1" applyAlignment="1">
      <alignment horizontal="center"/>
    </xf>
    <xf numFmtId="0" fontId="30" fillId="0" borderId="18" xfId="2" applyFont="1" applyBorder="1" applyAlignment="1">
      <alignment horizontal="left"/>
    </xf>
    <xf numFmtId="0" fontId="46" fillId="0" borderId="36" xfId="4" applyFont="1" applyBorder="1" applyAlignment="1">
      <alignment horizontal="center" vertical="center"/>
    </xf>
    <xf numFmtId="49" fontId="3" fillId="0" borderId="19" xfId="3" applyNumberFormat="1" applyFont="1" applyBorder="1" applyAlignment="1">
      <alignment horizontal="center"/>
    </xf>
    <xf numFmtId="49" fontId="48" fillId="0" borderId="10" xfId="3" applyNumberFormat="1" applyFont="1" applyBorder="1" applyAlignment="1">
      <alignment horizontal="center"/>
    </xf>
    <xf numFmtId="49" fontId="48" fillId="0" borderId="31" xfId="3" applyNumberFormat="1" applyFont="1" applyBorder="1" applyAlignment="1">
      <alignment horizontal="center"/>
    </xf>
    <xf numFmtId="49" fontId="50" fillId="0" borderId="0" xfId="3" applyNumberFormat="1" applyFont="1" applyAlignment="1">
      <alignment horizontal="center"/>
    </xf>
    <xf numFmtId="0" fontId="35" fillId="5" borderId="11" xfId="4" applyFont="1" applyFill="1" applyBorder="1" applyAlignment="1">
      <alignment horizontal="left" vertical="center"/>
    </xf>
    <xf numFmtId="49" fontId="51" fillId="0" borderId="0" xfId="3" applyNumberFormat="1" applyFont="1">
      <alignment vertical="center"/>
    </xf>
    <xf numFmtId="0" fontId="25" fillId="0" borderId="21" xfId="4" applyFont="1" applyBorder="1" applyAlignment="1">
      <alignment horizontal="left" vertical="center"/>
    </xf>
    <xf numFmtId="49" fontId="21" fillId="0" borderId="19" xfId="3" applyNumberFormat="1" applyBorder="1" applyAlignment="1">
      <alignment horizontal="center"/>
    </xf>
    <xf numFmtId="49" fontId="21" fillId="0" borderId="37" xfId="3" applyNumberFormat="1" applyBorder="1" applyAlignment="1">
      <alignment horizontal="center"/>
    </xf>
    <xf numFmtId="49" fontId="30" fillId="0" borderId="20" xfId="3" applyNumberFormat="1" applyFont="1" applyBorder="1" applyAlignment="1">
      <alignment horizontal="center"/>
    </xf>
    <xf numFmtId="38" fontId="1" fillId="0" borderId="0" xfId="3" applyNumberFormat="1" applyFont="1" applyAlignment="1">
      <alignment horizontal="center"/>
    </xf>
    <xf numFmtId="38" fontId="21" fillId="0" borderId="0" xfId="3" applyNumberFormat="1" applyAlignment="1"/>
    <xf numFmtId="49" fontId="52" fillId="0" borderId="0" xfId="4" applyNumberFormat="1" applyFont="1" applyAlignment="1">
      <alignment horizontal="right" vertical="center"/>
    </xf>
    <xf numFmtId="182" fontId="36" fillId="0" borderId="0" xfId="4" applyNumberFormat="1" applyFont="1">
      <alignment vertical="center"/>
    </xf>
    <xf numFmtId="49" fontId="21" fillId="0" borderId="0" xfId="4" applyNumberFormat="1">
      <alignment vertical="center"/>
    </xf>
    <xf numFmtId="49" fontId="24" fillId="0" borderId="0" xfId="0" applyNumberFormat="1" applyFont="1">
      <alignment vertical="center"/>
    </xf>
    <xf numFmtId="49" fontId="36" fillId="0" borderId="0" xfId="3" applyNumberFormat="1" applyFont="1" applyAlignment="1"/>
    <xf numFmtId="0" fontId="1" fillId="0" borderId="0" xfId="4" applyFont="1">
      <alignment vertical="center"/>
    </xf>
    <xf numFmtId="176" fontId="1" fillId="0" borderId="0" xfId="4" applyNumberFormat="1" applyFont="1">
      <alignment vertical="center"/>
    </xf>
    <xf numFmtId="176" fontId="21" fillId="0" borderId="0" xfId="4" applyNumberFormat="1">
      <alignment vertical="center"/>
    </xf>
    <xf numFmtId="38" fontId="55" fillId="5" borderId="0" xfId="3" applyNumberFormat="1" applyFont="1" applyFill="1" applyAlignment="1">
      <alignment horizontal="center"/>
    </xf>
    <xf numFmtId="38" fontId="1" fillId="0" borderId="22" xfId="3" applyNumberFormat="1" applyFont="1" applyBorder="1" applyAlignment="1">
      <alignment horizontal="right"/>
    </xf>
    <xf numFmtId="38" fontId="1" fillId="0" borderId="23" xfId="3" applyNumberFormat="1" applyFont="1" applyBorder="1" applyAlignment="1">
      <alignment horizontal="center"/>
    </xf>
    <xf numFmtId="49" fontId="25" fillId="0" borderId="0" xfId="0" applyNumberFormat="1" applyFont="1">
      <alignment vertical="center"/>
    </xf>
    <xf numFmtId="49" fontId="22" fillId="0" borderId="0" xfId="2" applyNumberFormat="1" applyFont="1"/>
    <xf numFmtId="49" fontId="25" fillId="0" borderId="0" xfId="3" applyNumberFormat="1" applyFont="1">
      <alignment vertical="center"/>
    </xf>
    <xf numFmtId="49" fontId="25" fillId="0" borderId="0" xfId="3" applyNumberFormat="1" applyFont="1" applyAlignment="1"/>
    <xf numFmtId="49" fontId="25" fillId="0" borderId="0" xfId="2" applyNumberFormat="1" applyFont="1"/>
    <xf numFmtId="49" fontId="25" fillId="0" borderId="0" xfId="4" applyNumberFormat="1" applyFont="1">
      <alignment vertical="center"/>
    </xf>
    <xf numFmtId="49" fontId="25" fillId="0" borderId="0" xfId="3" applyNumberFormat="1" applyFont="1" applyAlignment="1">
      <alignment horizontal="left"/>
    </xf>
    <xf numFmtId="49" fontId="23" fillId="0" borderId="0" xfId="3" applyNumberFormat="1" applyFont="1" applyAlignment="1">
      <alignment horizontal="left"/>
    </xf>
    <xf numFmtId="0" fontId="36" fillId="0" borderId="0" xfId="0" applyFont="1">
      <alignment vertical="center"/>
    </xf>
    <xf numFmtId="49" fontId="3" fillId="0" borderId="0" xfId="0" applyNumberFormat="1" applyFont="1">
      <alignment vertical="center"/>
    </xf>
    <xf numFmtId="49" fontId="56" fillId="0" borderId="0" xfId="0" applyNumberFormat="1" applyFont="1">
      <alignment vertical="center"/>
    </xf>
    <xf numFmtId="49" fontId="57" fillId="0" borderId="0" xfId="0" applyNumberFormat="1" applyFont="1">
      <alignment vertical="center"/>
    </xf>
    <xf numFmtId="0" fontId="25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0" fontId="22" fillId="0" borderId="38" xfId="0" applyFont="1" applyBorder="1" applyAlignment="1">
      <alignment horizontal="center" vertical="center"/>
    </xf>
    <xf numFmtId="49" fontId="56" fillId="0" borderId="39" xfId="0" applyNumberFormat="1" applyFont="1" applyBorder="1" applyAlignment="1">
      <alignment horizontal="left" vertical="center"/>
    </xf>
    <xf numFmtId="49" fontId="56" fillId="0" borderId="39" xfId="0" applyNumberFormat="1" applyFont="1" applyBorder="1" applyAlignment="1">
      <alignment horizontal="center" vertical="center"/>
    </xf>
    <xf numFmtId="49" fontId="56" fillId="0" borderId="40" xfId="0" applyNumberFormat="1" applyFont="1" applyBorder="1" applyAlignment="1">
      <alignment horizontal="center" vertical="center"/>
    </xf>
    <xf numFmtId="49" fontId="57" fillId="0" borderId="26" xfId="0" applyNumberFormat="1" applyFont="1" applyBorder="1" applyAlignment="1">
      <alignment horizontal="center" vertical="center"/>
    </xf>
    <xf numFmtId="178" fontId="25" fillId="0" borderId="41" xfId="0" applyNumberFormat="1" applyFont="1" applyBorder="1" applyAlignment="1">
      <alignment horizontal="center" vertical="center"/>
    </xf>
    <xf numFmtId="49" fontId="25" fillId="0" borderId="41" xfId="0" applyNumberFormat="1" applyFont="1" applyBorder="1">
      <alignment vertical="center"/>
    </xf>
    <xf numFmtId="49" fontId="25" fillId="0" borderId="42" xfId="0" applyNumberFormat="1" applyFont="1" applyBorder="1">
      <alignment vertical="center"/>
    </xf>
    <xf numFmtId="180" fontId="25" fillId="0" borderId="42" xfId="0" applyNumberFormat="1" applyFont="1" applyBorder="1" applyAlignment="1">
      <alignment horizontal="right" vertical="center"/>
    </xf>
    <xf numFmtId="180" fontId="25" fillId="0" borderId="43" xfId="0" applyNumberFormat="1" applyFont="1" applyBorder="1" applyAlignment="1">
      <alignment horizontal="right" vertical="center"/>
    </xf>
    <xf numFmtId="180" fontId="25" fillId="0" borderId="14" xfId="0" applyNumberFormat="1" applyFont="1" applyBorder="1" applyAlignment="1">
      <alignment horizontal="right" vertical="center"/>
    </xf>
    <xf numFmtId="49" fontId="25" fillId="0" borderId="44" xfId="0" applyNumberFormat="1" applyFont="1" applyBorder="1">
      <alignment vertical="center"/>
    </xf>
    <xf numFmtId="180" fontId="25" fillId="0" borderId="44" xfId="0" applyNumberFormat="1" applyFont="1" applyBorder="1" applyAlignment="1">
      <alignment horizontal="right" vertical="center"/>
    </xf>
    <xf numFmtId="180" fontId="25" fillId="0" borderId="45" xfId="0" applyNumberFormat="1" applyFont="1" applyBorder="1" applyAlignment="1">
      <alignment horizontal="right" vertical="center"/>
    </xf>
    <xf numFmtId="180" fontId="25" fillId="0" borderId="6" xfId="0" applyNumberFormat="1" applyFont="1" applyBorder="1" applyAlignment="1">
      <alignment horizontal="right" vertical="center"/>
    </xf>
    <xf numFmtId="178" fontId="25" fillId="0" borderId="46" xfId="0" applyNumberFormat="1" applyFont="1" applyBorder="1" applyAlignment="1">
      <alignment horizontal="center" vertical="center"/>
    </xf>
    <xf numFmtId="49" fontId="25" fillId="0" borderId="46" xfId="0" applyNumberFormat="1" applyFont="1" applyBorder="1">
      <alignment vertical="center"/>
    </xf>
    <xf numFmtId="49" fontId="58" fillId="0" borderId="44" xfId="0" applyNumberFormat="1" applyFont="1" applyBorder="1">
      <alignment vertical="center"/>
    </xf>
    <xf numFmtId="180" fontId="58" fillId="0" borderId="44" xfId="0" applyNumberFormat="1" applyFont="1" applyBorder="1" applyAlignment="1">
      <alignment horizontal="right" vertical="center"/>
    </xf>
    <xf numFmtId="180" fontId="58" fillId="0" borderId="45" xfId="0" applyNumberFormat="1" applyFont="1" applyBorder="1" applyAlignment="1">
      <alignment horizontal="right" vertical="center"/>
    </xf>
    <xf numFmtId="180" fontId="58" fillId="0" borderId="6" xfId="0" applyNumberFormat="1" applyFont="1" applyBorder="1" applyAlignment="1">
      <alignment horizontal="right" vertical="center"/>
    </xf>
    <xf numFmtId="178" fontId="25" fillId="0" borderId="46" xfId="0" applyNumberFormat="1" applyFont="1" applyBorder="1" applyAlignment="1">
      <alignment horizontal="left" vertical="center"/>
    </xf>
    <xf numFmtId="178" fontId="59" fillId="0" borderId="47" xfId="0" applyNumberFormat="1" applyFont="1" applyBorder="1" applyAlignment="1">
      <alignment horizontal="center" vertical="center"/>
    </xf>
    <xf numFmtId="49" fontId="59" fillId="0" borderId="41" xfId="0" applyNumberFormat="1" applyFont="1" applyBorder="1">
      <alignment vertical="center"/>
    </xf>
    <xf numFmtId="49" fontId="25" fillId="0" borderId="6" xfId="0" applyNumberFormat="1" applyFont="1" applyBorder="1">
      <alignment vertical="center"/>
    </xf>
    <xf numFmtId="178" fontId="59" fillId="0" borderId="48" xfId="0" applyNumberFormat="1" applyFont="1" applyBorder="1" applyAlignment="1">
      <alignment horizontal="center" vertical="center"/>
    </xf>
    <xf numFmtId="49" fontId="59" fillId="0" borderId="46" xfId="0" applyNumberFormat="1" applyFont="1" applyBorder="1">
      <alignment vertical="center"/>
    </xf>
    <xf numFmtId="178" fontId="59" fillId="0" borderId="43" xfId="0" applyNumberFormat="1" applyFont="1" applyBorder="1" applyAlignment="1">
      <alignment horizontal="center" vertical="center"/>
    </xf>
    <xf numFmtId="49" fontId="59" fillId="0" borderId="42" xfId="0" applyNumberFormat="1" applyFont="1" applyBorder="1">
      <alignment vertical="center"/>
    </xf>
    <xf numFmtId="49" fontId="58" fillId="0" borderId="6" xfId="0" applyNumberFormat="1" applyFont="1" applyBorder="1">
      <alignment vertical="center"/>
    </xf>
    <xf numFmtId="178" fontId="59" fillId="0" borderId="41" xfId="0" applyNumberFormat="1" applyFont="1" applyBorder="1" applyAlignment="1">
      <alignment horizontal="center" vertical="center"/>
    </xf>
    <xf numFmtId="178" fontId="22" fillId="0" borderId="41" xfId="0" applyNumberFormat="1" applyFont="1" applyBorder="1" applyAlignment="1">
      <alignment horizontal="center" vertical="center"/>
    </xf>
    <xf numFmtId="49" fontId="22" fillId="0" borderId="41" xfId="0" applyNumberFormat="1" applyFont="1" applyBorder="1">
      <alignment vertical="center"/>
    </xf>
    <xf numFmtId="178" fontId="25" fillId="0" borderId="44" xfId="0" applyNumberFormat="1" applyFont="1" applyBorder="1" applyAlignment="1">
      <alignment horizontal="center" vertical="center"/>
    </xf>
    <xf numFmtId="49" fontId="23" fillId="0" borderId="46" xfId="0" applyNumberFormat="1" applyFont="1" applyBorder="1">
      <alignment vertical="center"/>
    </xf>
    <xf numFmtId="49" fontId="23" fillId="0" borderId="44" xfId="0" applyNumberFormat="1" applyFont="1" applyBorder="1">
      <alignment vertical="center"/>
    </xf>
    <xf numFmtId="180" fontId="23" fillId="0" borderId="44" xfId="0" applyNumberFormat="1" applyFont="1" applyBorder="1" applyAlignment="1">
      <alignment horizontal="right" vertical="center"/>
    </xf>
    <xf numFmtId="180" fontId="23" fillId="0" borderId="45" xfId="0" applyNumberFormat="1" applyFont="1" applyBorder="1" applyAlignment="1">
      <alignment horizontal="right" vertical="center"/>
    </xf>
    <xf numFmtId="180" fontId="23" fillId="0" borderId="6" xfId="0" applyNumberFormat="1" applyFont="1" applyBorder="1" applyAlignment="1">
      <alignment horizontal="right" vertical="center"/>
    </xf>
    <xf numFmtId="38" fontId="22" fillId="0" borderId="0" xfId="0" applyNumberFormat="1" applyFont="1">
      <alignment vertical="center"/>
    </xf>
    <xf numFmtId="180" fontId="25" fillId="0" borderId="0" xfId="0" applyNumberFormat="1" applyFont="1" applyAlignment="1">
      <alignment horizontal="center" vertical="center"/>
    </xf>
    <xf numFmtId="180" fontId="58" fillId="0" borderId="0" xfId="0" applyNumberFormat="1" applyFont="1" applyAlignment="1">
      <alignment horizontal="center" vertical="center"/>
    </xf>
    <xf numFmtId="0" fontId="58" fillId="0" borderId="0" xfId="0" applyFont="1">
      <alignment vertical="center"/>
    </xf>
    <xf numFmtId="0" fontId="58" fillId="0" borderId="0" xfId="0" applyFont="1" applyAlignment="1">
      <alignment horizontal="center" vertical="center"/>
    </xf>
    <xf numFmtId="179" fontId="25" fillId="0" borderId="0" xfId="0" applyNumberFormat="1" applyFont="1">
      <alignment vertical="center"/>
    </xf>
    <xf numFmtId="179" fontId="23" fillId="0" borderId="0" xfId="0" applyNumberFormat="1" applyFont="1">
      <alignment vertical="center"/>
    </xf>
    <xf numFmtId="180" fontId="23" fillId="0" borderId="0" xfId="0" applyNumberFormat="1" applyFont="1">
      <alignment vertical="center"/>
    </xf>
    <xf numFmtId="0" fontId="36" fillId="0" borderId="44" xfId="0" applyFont="1" applyBorder="1">
      <alignment vertical="center"/>
    </xf>
    <xf numFmtId="49" fontId="25" fillId="0" borderId="47" xfId="0" applyNumberFormat="1" applyFont="1" applyBorder="1">
      <alignment vertical="center"/>
    </xf>
    <xf numFmtId="49" fontId="25" fillId="0" borderId="48" xfId="0" applyNumberFormat="1" applyFont="1" applyBorder="1">
      <alignment vertical="center"/>
    </xf>
    <xf numFmtId="49" fontId="58" fillId="0" borderId="42" xfId="0" applyNumberFormat="1" applyFont="1" applyBorder="1">
      <alignment vertical="center"/>
    </xf>
    <xf numFmtId="38" fontId="25" fillId="0" borderId="46" xfId="0" applyNumberFormat="1" applyFont="1" applyBorder="1" applyAlignment="1">
      <alignment horizontal="center" vertical="center"/>
    </xf>
    <xf numFmtId="180" fontId="25" fillId="0" borderId="46" xfId="0" applyNumberFormat="1" applyFont="1" applyBorder="1">
      <alignment vertical="center"/>
    </xf>
    <xf numFmtId="180" fontId="25" fillId="0" borderId="42" xfId="0" applyNumberFormat="1" applyFont="1" applyBorder="1">
      <alignment vertical="center"/>
    </xf>
    <xf numFmtId="38" fontId="25" fillId="0" borderId="41" xfId="0" applyNumberFormat="1" applyFont="1" applyBorder="1" applyAlignment="1">
      <alignment horizontal="center" vertical="center"/>
    </xf>
    <xf numFmtId="180" fontId="25" fillId="0" borderId="41" xfId="0" applyNumberFormat="1" applyFont="1" applyBorder="1">
      <alignment vertical="center"/>
    </xf>
    <xf numFmtId="180" fontId="25" fillId="0" borderId="44" xfId="0" applyNumberFormat="1" applyFont="1" applyBorder="1">
      <alignment vertical="center"/>
    </xf>
    <xf numFmtId="180" fontId="58" fillId="0" borderId="44" xfId="0" applyNumberFormat="1" applyFont="1" applyBorder="1">
      <alignment vertical="center"/>
    </xf>
    <xf numFmtId="180" fontId="58" fillId="0" borderId="42" xfId="0" applyNumberFormat="1" applyFont="1" applyBorder="1" applyAlignment="1">
      <alignment horizontal="right" vertical="center"/>
    </xf>
    <xf numFmtId="180" fontId="58" fillId="0" borderId="14" xfId="0" applyNumberFormat="1" applyFont="1" applyBorder="1" applyAlignment="1">
      <alignment horizontal="right" vertical="center"/>
    </xf>
    <xf numFmtId="38" fontId="59" fillId="0" borderId="41" xfId="0" applyNumberFormat="1" applyFont="1" applyBorder="1" applyAlignment="1">
      <alignment horizontal="center" vertical="center"/>
    </xf>
    <xf numFmtId="180" fontId="59" fillId="0" borderId="41" xfId="0" applyNumberFormat="1" applyFont="1" applyBorder="1">
      <alignment vertical="center"/>
    </xf>
    <xf numFmtId="38" fontId="25" fillId="0" borderId="47" xfId="0" applyNumberFormat="1" applyFont="1" applyBorder="1" applyAlignment="1">
      <alignment horizontal="center" vertical="center"/>
    </xf>
    <xf numFmtId="180" fontId="25" fillId="0" borderId="47" xfId="0" applyNumberFormat="1" applyFont="1" applyBorder="1">
      <alignment vertical="center"/>
    </xf>
    <xf numFmtId="38" fontId="25" fillId="0" borderId="48" xfId="0" applyNumberFormat="1" applyFont="1" applyBorder="1" applyAlignment="1">
      <alignment horizontal="center" vertical="center"/>
    </xf>
    <xf numFmtId="180" fontId="25" fillId="0" borderId="48" xfId="0" applyNumberFormat="1" applyFont="1" applyBorder="1">
      <alignment vertical="center"/>
    </xf>
    <xf numFmtId="180" fontId="58" fillId="0" borderId="42" xfId="0" applyNumberFormat="1" applyFont="1" applyBorder="1">
      <alignment vertical="center"/>
    </xf>
    <xf numFmtId="38" fontId="23" fillId="0" borderId="41" xfId="0" applyNumberFormat="1" applyFont="1" applyBorder="1" applyAlignment="1">
      <alignment horizontal="center" vertical="center"/>
    </xf>
    <xf numFmtId="180" fontId="23" fillId="0" borderId="41" xfId="0" applyNumberFormat="1" applyFont="1" applyBorder="1">
      <alignment vertical="center"/>
    </xf>
    <xf numFmtId="180" fontId="23" fillId="0" borderId="44" xfId="0" applyNumberFormat="1" applyFont="1" applyBorder="1">
      <alignment vertical="center"/>
    </xf>
    <xf numFmtId="180" fontId="23" fillId="0" borderId="42" xfId="0" applyNumberFormat="1" applyFont="1" applyBorder="1" applyAlignment="1">
      <alignment horizontal="right" vertical="center"/>
    </xf>
    <xf numFmtId="180" fontId="23" fillId="0" borderId="43" xfId="0" applyNumberFormat="1" applyFont="1" applyBorder="1" applyAlignment="1">
      <alignment horizontal="right" vertical="center"/>
    </xf>
    <xf numFmtId="180" fontId="23" fillId="0" borderId="14" xfId="0" applyNumberFormat="1" applyFont="1" applyBorder="1" applyAlignment="1">
      <alignment horizontal="right" vertical="center"/>
    </xf>
  </cellXfs>
  <cellStyles count="5">
    <cellStyle name="Normal 3" xfId="1" xr:uid="{9AAD0BF5-741A-4E68-9309-D60C43624566}"/>
    <cellStyle name="Normal 3 2" xfId="2" xr:uid="{11D8F3FC-1310-4FD5-83BF-60E9BAE5F69D}"/>
    <cellStyle name="표준" xfId="0" builtinId="0"/>
    <cellStyle name="표준 2 2 4" xfId="3" xr:uid="{5157B5AC-BA5A-41EA-85AA-DA89BC80DAE2}"/>
    <cellStyle name="표준 4 3" xfId="4" xr:uid="{7F67DDC2-1C0C-4796-B1DA-8AE77B75B1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stechackr-my.sharepoint.com/personal/sujineeda_postech_ac_kr/Documents/&#54617;&#54924;/2026/ICAE/paper/data/physicochemical/2.2_2.140X_Chem.&#51221;&#47532;(260903)v1&#48124;&#49885;&#49688;&#51652;.xlsx" TargetMode="External"/><Relationship Id="rId1" Type="http://schemas.openxmlformats.org/officeDocument/2006/relationships/externalLinkPath" Target="2.2_2.140X_Chem.&#51221;&#47532;(260903)v1&#48124;&#49885;&#49688;&#51652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stechackr-my.sharepoint.com/personal/sujineeda_postech_ac_kr/Documents/&#54617;&#54924;/2026/ICAE/paper/data/physicochemical/2.2_2.140X_Chem.raw(260903)&#48124;&#49885;&#46041;&#54616;&#49688;&#51652;.xlsx" TargetMode="External"/><Relationship Id="rId1" Type="http://schemas.openxmlformats.org/officeDocument/2006/relationships/externalLinkPath" Target="2.2_2.140X_Chem.raw(260903)&#48124;&#49885;&#46041;&#54616;&#49688;&#5165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40X_Chem._Si"/>
      <sheetName val="140X_Chem._Se"/>
      <sheetName val="ADPs_140Si,Se,분석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_ADPs"/>
      <sheetName val="Overview"/>
      <sheetName val="Acronym"/>
      <sheetName val="집중모니터링시설"/>
      <sheetName val="Dat_Summer (240701~22)"/>
      <sheetName val="Dat_Summer_Si (240701~22)"/>
      <sheetName val="Dat_Summer_Se (240701~22)"/>
      <sheetName val="Dat_Fall (241023~1104)"/>
      <sheetName val="Dat_Fall_Si (241023~1104)"/>
      <sheetName val="Dat_Fall_Se (241023~1104)"/>
      <sheetName val="Dat_Winter (250108~0221)"/>
      <sheetName val="Dat_Winter_Si (250108~0221)"/>
      <sheetName val="Dat_Winter_Se (250108~0221)"/>
      <sheetName val="Dat_Spring (250331~250411)"/>
      <sheetName val="Dat_Spring_Si (250331~25041"/>
      <sheetName val="Dat_Spring_Se (250331~25041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4522-D872-4E32-AD84-9D0C3E79E893}">
  <dimension ref="A1:AU173"/>
  <sheetViews>
    <sheetView workbookViewId="0">
      <pane xSplit="4" ySplit="2" topLeftCell="E3" activePane="bottomRight" state="frozen"/>
      <selection pane="topRight" activeCell="E1" sqref="E1"/>
      <selection pane="bottomLeft" activeCell="A4" sqref="A4"/>
      <selection pane="bottomRight" activeCell="I28" sqref="I28"/>
    </sheetView>
  </sheetViews>
  <sheetFormatPr defaultColWidth="8.875" defaultRowHeight="16.5" customHeight="1"/>
  <cols>
    <col min="1" max="1" width="3.375" style="210" customWidth="1"/>
    <col min="2" max="2" width="5.375" style="210" customWidth="1"/>
    <col min="3" max="3" width="8.375" style="210" customWidth="1"/>
    <col min="4" max="4" width="12.375" style="210" customWidth="1"/>
    <col min="5" max="5" width="9.75" style="406" bestFit="1" customWidth="1"/>
    <col min="6" max="7" width="7.375" style="408" customWidth="1"/>
    <col min="8" max="8" width="7.375" style="210" customWidth="1"/>
    <col min="9" max="9" width="5.125" style="210" customWidth="1"/>
    <col min="10" max="10" width="7.375" style="210" customWidth="1"/>
    <col min="11" max="11" width="5.25" style="210" customWidth="1"/>
    <col min="12" max="12" width="7.375" style="210" customWidth="1"/>
    <col min="13" max="13" width="5.375" style="210" customWidth="1"/>
    <col min="14" max="14" width="7.375" style="210" customWidth="1"/>
    <col min="15" max="15" width="5" style="210" customWidth="1"/>
    <col min="16" max="16" width="7.375" style="210" customWidth="1"/>
    <col min="17" max="17" width="5.25" style="210" customWidth="1"/>
    <col min="18" max="18" width="7.375" style="210" customWidth="1"/>
    <col min="19" max="19" width="5.75" style="210" customWidth="1"/>
    <col min="20" max="20" width="7.375" style="210" customWidth="1"/>
    <col min="21" max="21" width="5.25" style="210" customWidth="1"/>
    <col min="22" max="22" width="7.375" style="210" customWidth="1"/>
    <col min="23" max="23" width="4.375" style="210" customWidth="1"/>
    <col min="24" max="24" width="7.375" style="210" customWidth="1"/>
    <col min="25" max="25" width="4.375" style="210" customWidth="1"/>
    <col min="26" max="26" width="7.375" style="210" customWidth="1"/>
    <col min="27" max="27" width="4.375" style="210" customWidth="1"/>
    <col min="28" max="28" width="10.375" style="210" customWidth="1"/>
    <col min="29" max="29" width="4.375" style="210" customWidth="1"/>
    <col min="30" max="30" width="7.375" style="210" customWidth="1"/>
    <col min="31" max="31" width="4.375" style="210" customWidth="1"/>
    <col min="32" max="32" width="7.375" style="210" customWidth="1"/>
    <col min="33" max="33" width="4.375" style="210" customWidth="1"/>
    <col min="34" max="34" width="7.375" style="210" customWidth="1"/>
    <col min="35" max="35" width="4.375" style="210" customWidth="1"/>
    <col min="36" max="36" width="7.375" customWidth="1"/>
    <col min="37" max="37" width="4.375" customWidth="1"/>
    <col min="38" max="38" width="7.375" customWidth="1"/>
    <col min="39" max="39" width="4.375" customWidth="1"/>
    <col min="40" max="40" width="7.375" customWidth="1"/>
    <col min="41" max="41" width="4.375" customWidth="1"/>
    <col min="42" max="42" width="7.375" customWidth="1"/>
    <col min="43" max="43" width="4.375" customWidth="1"/>
    <col min="44" max="44" width="7.375" customWidth="1"/>
    <col min="45" max="45" width="4.375" customWidth="1"/>
    <col min="46" max="46" width="7.375" customWidth="1"/>
    <col min="47" max="47" width="4.375" customWidth="1"/>
    <col min="48" max="48" width="3.375" customWidth="1"/>
  </cols>
  <sheetData>
    <row r="1" spans="1:47" ht="16.5" customHeight="1" thickBot="1">
      <c r="A1" s="362"/>
      <c r="B1" s="358" t="s">
        <v>328</v>
      </c>
      <c r="C1" s="359"/>
      <c r="D1" s="360"/>
      <c r="E1" s="361"/>
      <c r="F1" s="360"/>
      <c r="G1" s="360"/>
      <c r="H1" s="360"/>
      <c r="I1" s="360"/>
      <c r="J1" s="360"/>
      <c r="K1" s="359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0"/>
      <c r="W1" s="360"/>
      <c r="X1" s="360"/>
      <c r="Y1" s="360"/>
      <c r="Z1" s="357"/>
      <c r="AA1" s="357"/>
      <c r="AB1" s="357"/>
      <c r="AC1" s="357"/>
      <c r="AD1" s="357"/>
      <c r="AE1" s="357"/>
      <c r="AF1" s="357"/>
      <c r="AG1" s="357"/>
      <c r="AH1" s="357"/>
      <c r="AI1" s="357"/>
      <c r="AJ1" s="357"/>
      <c r="AK1" s="357"/>
      <c r="AL1" s="357"/>
      <c r="AM1" s="357"/>
      <c r="AN1" s="357"/>
      <c r="AO1" s="357"/>
      <c r="AP1" s="357"/>
      <c r="AQ1" s="357"/>
      <c r="AR1" s="357"/>
      <c r="AS1" s="357"/>
      <c r="AT1" s="357"/>
      <c r="AU1" s="357"/>
    </row>
    <row r="2" spans="1:47" ht="16.5" customHeight="1" thickBot="1">
      <c r="A2" s="362"/>
      <c r="B2" s="363" t="s">
        <v>280</v>
      </c>
      <c r="C2" s="364" t="s">
        <v>281</v>
      </c>
      <c r="D2" s="364" t="s">
        <v>282</v>
      </c>
      <c r="E2" s="365" t="s">
        <v>283</v>
      </c>
      <c r="F2" s="365" t="s">
        <v>284</v>
      </c>
      <c r="G2" s="365" t="s">
        <v>11</v>
      </c>
      <c r="H2" s="366" t="s">
        <v>285</v>
      </c>
      <c r="I2" s="367" t="s">
        <v>286</v>
      </c>
      <c r="J2" s="366" t="s">
        <v>287</v>
      </c>
      <c r="K2" s="367" t="s">
        <v>286</v>
      </c>
      <c r="L2" s="366" t="s">
        <v>288</v>
      </c>
      <c r="M2" s="367" t="s">
        <v>286</v>
      </c>
      <c r="N2" s="366" t="s">
        <v>289</v>
      </c>
      <c r="O2" s="367" t="s">
        <v>286</v>
      </c>
      <c r="P2" s="366" t="s">
        <v>290</v>
      </c>
      <c r="Q2" s="367" t="s">
        <v>286</v>
      </c>
      <c r="R2" s="366" t="s">
        <v>291</v>
      </c>
      <c r="S2" s="367" t="s">
        <v>286</v>
      </c>
      <c r="T2" s="366" t="s">
        <v>292</v>
      </c>
      <c r="U2" s="367" t="s">
        <v>286</v>
      </c>
      <c r="V2" s="366" t="s">
        <v>293</v>
      </c>
      <c r="W2" s="367" t="s">
        <v>286</v>
      </c>
      <c r="X2" s="366" t="s">
        <v>19</v>
      </c>
      <c r="Y2" s="367" t="s">
        <v>286</v>
      </c>
      <c r="Z2" s="366" t="s">
        <v>294</v>
      </c>
      <c r="AA2" s="367" t="s">
        <v>286</v>
      </c>
      <c r="AB2" s="366" t="s">
        <v>295</v>
      </c>
      <c r="AC2" s="367" t="s">
        <v>286</v>
      </c>
      <c r="AD2" s="366" t="s">
        <v>296</v>
      </c>
      <c r="AE2" s="367" t="s">
        <v>286</v>
      </c>
      <c r="AF2" s="366" t="s">
        <v>297</v>
      </c>
      <c r="AG2" s="367" t="s">
        <v>286</v>
      </c>
      <c r="AH2" s="366" t="s">
        <v>298</v>
      </c>
      <c r="AI2" s="367" t="s">
        <v>286</v>
      </c>
      <c r="AJ2" s="366" t="s">
        <v>299</v>
      </c>
      <c r="AK2" s="367" t="s">
        <v>286</v>
      </c>
      <c r="AL2" s="366" t="s">
        <v>300</v>
      </c>
      <c r="AM2" s="367" t="s">
        <v>286</v>
      </c>
      <c r="AN2" s="366" t="s">
        <v>301</v>
      </c>
      <c r="AO2" s="367" t="s">
        <v>286</v>
      </c>
      <c r="AP2" s="366" t="s">
        <v>302</v>
      </c>
      <c r="AQ2" s="367" t="s">
        <v>286</v>
      </c>
      <c r="AR2" s="366" t="s">
        <v>303</v>
      </c>
      <c r="AS2" s="367" t="s">
        <v>286</v>
      </c>
      <c r="AT2" s="366" t="s">
        <v>304</v>
      </c>
      <c r="AU2" s="367" t="s">
        <v>286</v>
      </c>
    </row>
    <row r="3" spans="1:47" ht="16.5" customHeight="1">
      <c r="A3" s="362"/>
      <c r="B3" s="414">
        <v>1</v>
      </c>
      <c r="C3" s="415" t="s">
        <v>43</v>
      </c>
      <c r="D3" s="416" t="s">
        <v>123</v>
      </c>
      <c r="E3" s="371">
        <v>40179</v>
      </c>
      <c r="F3" s="371">
        <v>4.8600000000000003</v>
      </c>
      <c r="G3" s="371">
        <v>1.21</v>
      </c>
      <c r="H3" s="372">
        <v>192.03</v>
      </c>
      <c r="I3" s="373">
        <v>33.090000000000003</v>
      </c>
      <c r="J3" s="372">
        <v>174.13</v>
      </c>
      <c r="K3" s="373">
        <v>27.57</v>
      </c>
      <c r="L3" s="372">
        <v>111</v>
      </c>
      <c r="M3" s="373">
        <v>5.7</v>
      </c>
      <c r="N3" s="372">
        <v>105.5</v>
      </c>
      <c r="O3" s="373">
        <v>4.9000000000000004</v>
      </c>
      <c r="P3" s="372">
        <v>60.31</v>
      </c>
      <c r="Q3" s="373">
        <v>0.33</v>
      </c>
      <c r="R3" s="372">
        <v>13.4</v>
      </c>
      <c r="S3" s="373">
        <v>0.1</v>
      </c>
      <c r="T3" s="372">
        <v>84.87</v>
      </c>
      <c r="U3" s="373">
        <v>7.76</v>
      </c>
      <c r="V3" s="372">
        <v>10.57</v>
      </c>
      <c r="W3" s="373">
        <v>1.5</v>
      </c>
      <c r="X3" s="372">
        <v>4.45</v>
      </c>
      <c r="Y3" s="373">
        <v>0</v>
      </c>
      <c r="Z3" s="372">
        <v>0.63</v>
      </c>
      <c r="AA3" s="373">
        <v>0</v>
      </c>
      <c r="AB3" s="372">
        <v>0.63</v>
      </c>
      <c r="AC3" s="373">
        <v>0</v>
      </c>
      <c r="AD3" s="372">
        <v>0</v>
      </c>
      <c r="AE3" s="373">
        <v>0</v>
      </c>
      <c r="AF3" s="372">
        <v>0.59</v>
      </c>
      <c r="AG3" s="373">
        <v>0</v>
      </c>
      <c r="AH3" s="372">
        <v>0</v>
      </c>
      <c r="AI3" s="373">
        <v>0</v>
      </c>
      <c r="AJ3" s="372">
        <v>0</v>
      </c>
      <c r="AK3" s="373">
        <v>0</v>
      </c>
      <c r="AL3" s="372">
        <v>0.03</v>
      </c>
      <c r="AM3" s="373">
        <v>0</v>
      </c>
      <c r="AN3" s="372">
        <v>0</v>
      </c>
      <c r="AO3" s="373">
        <v>0</v>
      </c>
      <c r="AP3" s="372">
        <v>0</v>
      </c>
      <c r="AQ3" s="373">
        <v>0</v>
      </c>
      <c r="AR3" s="372">
        <v>0</v>
      </c>
      <c r="AS3" s="373">
        <v>0</v>
      </c>
      <c r="AT3" s="372">
        <v>0</v>
      </c>
      <c r="AU3" s="373">
        <v>0</v>
      </c>
    </row>
    <row r="4" spans="1:47" ht="16.5" customHeight="1">
      <c r="A4" s="362"/>
      <c r="B4" s="417">
        <v>2</v>
      </c>
      <c r="C4" s="418" t="s">
        <v>48</v>
      </c>
      <c r="D4" s="419" t="s">
        <v>141</v>
      </c>
      <c r="E4" s="375">
        <v>93719</v>
      </c>
      <c r="F4" s="375">
        <v>5.78</v>
      </c>
      <c r="G4" s="371">
        <v>8.8000000000000007</v>
      </c>
      <c r="H4" s="376">
        <v>32.770000000000003</v>
      </c>
      <c r="I4" s="377">
        <v>3.15</v>
      </c>
      <c r="J4" s="376">
        <v>24.78</v>
      </c>
      <c r="K4" s="377">
        <v>2.37</v>
      </c>
      <c r="L4" s="376">
        <v>29.7</v>
      </c>
      <c r="M4" s="377">
        <v>2</v>
      </c>
      <c r="N4" s="376">
        <v>24.6</v>
      </c>
      <c r="O4" s="377">
        <v>1.5</v>
      </c>
      <c r="P4" s="376">
        <v>51.73</v>
      </c>
      <c r="Q4" s="377">
        <v>0.15</v>
      </c>
      <c r="R4" s="376">
        <v>1.6</v>
      </c>
      <c r="S4" s="377">
        <v>0</v>
      </c>
      <c r="T4" s="376">
        <v>22.52</v>
      </c>
      <c r="U4" s="377">
        <v>1.1399999999999999</v>
      </c>
      <c r="V4" s="376">
        <v>17.670000000000002</v>
      </c>
      <c r="W4" s="377">
        <v>1.1599999999999999</v>
      </c>
      <c r="X4" s="376">
        <v>2.4</v>
      </c>
      <c r="Y4" s="377">
        <v>0</v>
      </c>
      <c r="Z4" s="376">
        <v>1.1100000000000001</v>
      </c>
      <c r="AA4" s="377">
        <v>0</v>
      </c>
      <c r="AB4" s="376">
        <v>1.1100000000000001</v>
      </c>
      <c r="AC4" s="377">
        <v>0</v>
      </c>
      <c r="AD4" s="372">
        <v>0</v>
      </c>
      <c r="AE4" s="373">
        <v>0</v>
      </c>
      <c r="AF4" s="376">
        <v>0.25</v>
      </c>
      <c r="AG4" s="377">
        <v>0</v>
      </c>
      <c r="AH4" s="376">
        <v>0.2</v>
      </c>
      <c r="AI4" s="377">
        <v>0</v>
      </c>
      <c r="AJ4" s="376">
        <v>0.03</v>
      </c>
      <c r="AK4" s="377">
        <v>0</v>
      </c>
      <c r="AL4" s="376">
        <v>0.18</v>
      </c>
      <c r="AM4" s="377">
        <v>0</v>
      </c>
      <c r="AN4" s="376">
        <v>0.06</v>
      </c>
      <c r="AO4" s="377">
        <v>0</v>
      </c>
      <c r="AP4" s="376">
        <v>7.0000000000000007E-2</v>
      </c>
      <c r="AQ4" s="377">
        <v>0</v>
      </c>
      <c r="AR4" s="376">
        <v>0.32</v>
      </c>
      <c r="AS4" s="377">
        <v>0</v>
      </c>
      <c r="AT4" s="376">
        <v>0</v>
      </c>
      <c r="AU4" s="377">
        <v>0</v>
      </c>
    </row>
    <row r="5" spans="1:47" ht="16.5" customHeight="1">
      <c r="A5" s="362"/>
      <c r="B5" s="414"/>
      <c r="C5" s="415"/>
      <c r="D5" s="419" t="s">
        <v>192</v>
      </c>
      <c r="E5" s="375">
        <v>31266</v>
      </c>
      <c r="F5" s="375">
        <v>3.55</v>
      </c>
      <c r="G5" s="371" t="s">
        <v>46</v>
      </c>
      <c r="H5" s="376">
        <v>66.63</v>
      </c>
      <c r="I5" s="377">
        <v>1.66</v>
      </c>
      <c r="J5" s="376">
        <v>52.75</v>
      </c>
      <c r="K5" s="377">
        <v>1.48</v>
      </c>
      <c r="L5" s="376">
        <v>21.8</v>
      </c>
      <c r="M5" s="377">
        <v>1.1000000000000001</v>
      </c>
      <c r="N5" s="376">
        <v>20.8</v>
      </c>
      <c r="O5" s="377">
        <v>0.8</v>
      </c>
      <c r="P5" s="376">
        <v>109.24</v>
      </c>
      <c r="Q5" s="377">
        <v>1.93</v>
      </c>
      <c r="R5" s="376">
        <v>40.4</v>
      </c>
      <c r="S5" s="377">
        <v>0.7</v>
      </c>
      <c r="T5" s="376">
        <v>11.77</v>
      </c>
      <c r="U5" s="377">
        <v>1.33</v>
      </c>
      <c r="V5" s="376">
        <v>21.05</v>
      </c>
      <c r="W5" s="377">
        <v>1.79</v>
      </c>
      <c r="X5" s="376">
        <v>5.4</v>
      </c>
      <c r="Y5" s="377">
        <v>0</v>
      </c>
      <c r="Z5" s="376">
        <v>4.12</v>
      </c>
      <c r="AA5" s="377">
        <v>0</v>
      </c>
      <c r="AB5" s="376">
        <v>4.12</v>
      </c>
      <c r="AC5" s="377">
        <v>0</v>
      </c>
      <c r="AD5" s="372">
        <v>0</v>
      </c>
      <c r="AE5" s="373">
        <v>0</v>
      </c>
      <c r="AF5" s="376">
        <v>3.96</v>
      </c>
      <c r="AG5" s="377">
        <v>0</v>
      </c>
      <c r="AH5" s="376">
        <v>0.17</v>
      </c>
      <c r="AI5" s="377">
        <v>0</v>
      </c>
      <c r="AJ5" s="372">
        <v>0</v>
      </c>
      <c r="AK5" s="373">
        <v>0</v>
      </c>
      <c r="AL5" s="372">
        <v>0</v>
      </c>
      <c r="AM5" s="373">
        <v>0</v>
      </c>
      <c r="AN5" s="372">
        <v>0</v>
      </c>
      <c r="AO5" s="373">
        <v>0</v>
      </c>
      <c r="AP5" s="372">
        <v>0</v>
      </c>
      <c r="AQ5" s="373">
        <v>0</v>
      </c>
      <c r="AR5" s="372">
        <v>0</v>
      </c>
      <c r="AS5" s="373">
        <v>0</v>
      </c>
      <c r="AT5" s="372">
        <v>0</v>
      </c>
      <c r="AU5" s="373">
        <v>0</v>
      </c>
    </row>
    <row r="6" spans="1:47" ht="16.5" customHeight="1">
      <c r="A6" s="362"/>
      <c r="B6" s="414"/>
      <c r="C6" s="415"/>
      <c r="D6" s="420" t="s">
        <v>307</v>
      </c>
      <c r="E6" s="381"/>
      <c r="F6" s="381">
        <v>4.1441869499905151</v>
      </c>
      <c r="G6" s="421" t="s">
        <v>46</v>
      </c>
      <c r="H6" s="382">
        <v>41.240350522062649</v>
      </c>
      <c r="I6" s="383"/>
      <c r="J6" s="382">
        <v>31.776919790374848</v>
      </c>
      <c r="K6" s="383"/>
      <c r="L6" s="382">
        <v>27.723751650198022</v>
      </c>
      <c r="M6" s="383"/>
      <c r="N6" s="382">
        <v>23.649399527943356</v>
      </c>
      <c r="O6" s="383"/>
      <c r="P6" s="382">
        <v>66.11658767052046</v>
      </c>
      <c r="Q6" s="383"/>
      <c r="R6" s="382">
        <v>11.306131135736287</v>
      </c>
      <c r="S6" s="383"/>
      <c r="T6" s="382">
        <v>19.830801296155535</v>
      </c>
      <c r="U6" s="383"/>
      <c r="V6" s="382">
        <v>18.515534104092492</v>
      </c>
      <c r="W6" s="383"/>
      <c r="X6" s="382">
        <v>3.1504740568868264</v>
      </c>
      <c r="Y6" s="383"/>
      <c r="Z6" s="382">
        <v>1.8629756370764492</v>
      </c>
      <c r="AA6" s="383"/>
      <c r="AB6" s="382">
        <v>1.8629756370764492</v>
      </c>
      <c r="AC6" s="383"/>
      <c r="AD6" s="382">
        <v>0</v>
      </c>
      <c r="AE6" s="422"/>
      <c r="AF6" s="382">
        <v>1.178086250350042</v>
      </c>
      <c r="AG6" s="383"/>
      <c r="AH6" s="382">
        <v>0.19249525943113174</v>
      </c>
      <c r="AI6" s="383"/>
      <c r="AJ6" s="382">
        <v>2.2495259431131735E-2</v>
      </c>
      <c r="AK6" s="422"/>
      <c r="AL6" s="382">
        <v>0.13497155658679041</v>
      </c>
      <c r="AM6" s="422"/>
      <c r="AN6" s="382">
        <v>4.4990518862263469E-2</v>
      </c>
      <c r="AO6" s="422"/>
      <c r="AP6" s="382">
        <v>5.2488938672640727E-2</v>
      </c>
      <c r="AQ6" s="422"/>
      <c r="AR6" s="382">
        <v>0.23994943393207185</v>
      </c>
      <c r="AS6" s="422"/>
      <c r="AT6" s="382">
        <v>0</v>
      </c>
      <c r="AU6" s="422"/>
    </row>
    <row r="7" spans="1:47" ht="16.5" customHeight="1">
      <c r="A7" s="362"/>
      <c r="B7" s="417">
        <v>3</v>
      </c>
      <c r="C7" s="418" t="s">
        <v>50</v>
      </c>
      <c r="D7" s="419" t="s">
        <v>141</v>
      </c>
      <c r="E7" s="375">
        <v>326166</v>
      </c>
      <c r="F7" s="375">
        <v>5.55</v>
      </c>
      <c r="G7" s="371">
        <v>0.99250000000000005</v>
      </c>
      <c r="H7" s="376">
        <v>37.729999999999997</v>
      </c>
      <c r="I7" s="377">
        <v>1.8</v>
      </c>
      <c r="J7" s="376">
        <v>31.35</v>
      </c>
      <c r="K7" s="377">
        <v>1.41</v>
      </c>
      <c r="L7" s="376">
        <v>36.5</v>
      </c>
      <c r="M7" s="377">
        <v>1.4</v>
      </c>
      <c r="N7" s="376">
        <v>31.7</v>
      </c>
      <c r="O7" s="377">
        <v>1.5</v>
      </c>
      <c r="P7" s="376">
        <v>54.34</v>
      </c>
      <c r="Q7" s="377">
        <v>2.13</v>
      </c>
      <c r="R7" s="376">
        <v>3.2</v>
      </c>
      <c r="S7" s="377">
        <v>0.1</v>
      </c>
      <c r="T7" s="376">
        <v>15.34</v>
      </c>
      <c r="U7" s="377">
        <v>0.31</v>
      </c>
      <c r="V7" s="376">
        <v>16.11</v>
      </c>
      <c r="W7" s="377">
        <v>0.28000000000000003</v>
      </c>
      <c r="X7" s="376">
        <v>4.05</v>
      </c>
      <c r="Y7" s="377">
        <v>0</v>
      </c>
      <c r="Z7" s="376">
        <v>0.4</v>
      </c>
      <c r="AA7" s="377">
        <v>0</v>
      </c>
      <c r="AB7" s="376">
        <v>0.4</v>
      </c>
      <c r="AC7" s="377">
        <v>0</v>
      </c>
      <c r="AD7" s="372">
        <v>0</v>
      </c>
      <c r="AE7" s="373">
        <v>0</v>
      </c>
      <c r="AF7" s="376">
        <v>0.22</v>
      </c>
      <c r="AG7" s="377">
        <v>0</v>
      </c>
      <c r="AH7" s="376">
        <v>0.1</v>
      </c>
      <c r="AI7" s="377">
        <v>0</v>
      </c>
      <c r="AJ7" s="376">
        <v>0</v>
      </c>
      <c r="AK7" s="377">
        <v>0</v>
      </c>
      <c r="AL7" s="376">
        <v>0.05</v>
      </c>
      <c r="AM7" s="377">
        <v>0</v>
      </c>
      <c r="AN7" s="376">
        <v>0.01</v>
      </c>
      <c r="AO7" s="377">
        <v>0</v>
      </c>
      <c r="AP7" s="376">
        <v>0.02</v>
      </c>
      <c r="AQ7" s="377">
        <v>0</v>
      </c>
      <c r="AR7" s="376">
        <v>0</v>
      </c>
      <c r="AS7" s="377">
        <v>0</v>
      </c>
      <c r="AT7" s="376">
        <v>0</v>
      </c>
      <c r="AU7" s="377">
        <v>0</v>
      </c>
    </row>
    <row r="8" spans="1:47" ht="16.5" customHeight="1">
      <c r="A8" s="362"/>
      <c r="B8" s="417">
        <v>4</v>
      </c>
      <c r="C8" s="418" t="s">
        <v>54</v>
      </c>
      <c r="D8" s="419" t="s">
        <v>149</v>
      </c>
      <c r="E8" s="375">
        <v>559071</v>
      </c>
      <c r="F8" s="375">
        <v>5.05</v>
      </c>
      <c r="G8" s="371">
        <v>1.1274999999999999</v>
      </c>
      <c r="H8" s="376">
        <v>39.75</v>
      </c>
      <c r="I8" s="377">
        <v>0</v>
      </c>
      <c r="J8" s="376">
        <v>31.65</v>
      </c>
      <c r="K8" s="377">
        <v>0</v>
      </c>
      <c r="L8" s="376">
        <v>19.3</v>
      </c>
      <c r="M8" s="377">
        <v>1</v>
      </c>
      <c r="N8" s="376">
        <v>15.9</v>
      </c>
      <c r="O8" s="377">
        <v>0.8</v>
      </c>
      <c r="P8" s="376">
        <v>58.95</v>
      </c>
      <c r="Q8" s="377">
        <v>3.05</v>
      </c>
      <c r="R8" s="376">
        <v>13.4</v>
      </c>
      <c r="S8" s="377">
        <v>0.7</v>
      </c>
      <c r="T8" s="376">
        <v>20.41</v>
      </c>
      <c r="U8" s="377">
        <v>1.38</v>
      </c>
      <c r="V8" s="376">
        <v>17.91</v>
      </c>
      <c r="W8" s="377">
        <v>0.83</v>
      </c>
      <c r="X8" s="376">
        <v>4.05</v>
      </c>
      <c r="Y8" s="377">
        <v>0</v>
      </c>
      <c r="Z8" s="376">
        <v>0.37</v>
      </c>
      <c r="AA8" s="377">
        <v>0</v>
      </c>
      <c r="AB8" s="376">
        <v>0.37</v>
      </c>
      <c r="AC8" s="377">
        <v>0</v>
      </c>
      <c r="AD8" s="372">
        <v>0</v>
      </c>
      <c r="AE8" s="373">
        <v>0</v>
      </c>
      <c r="AF8" s="376">
        <v>0.31</v>
      </c>
      <c r="AG8" s="377">
        <v>0</v>
      </c>
      <c r="AH8" s="376">
        <v>0.05</v>
      </c>
      <c r="AI8" s="377">
        <v>0</v>
      </c>
      <c r="AJ8" s="376">
        <v>0</v>
      </c>
      <c r="AK8" s="377">
        <v>0</v>
      </c>
      <c r="AL8" s="376">
        <v>0</v>
      </c>
      <c r="AM8" s="377">
        <v>0</v>
      </c>
      <c r="AN8" s="376">
        <v>0</v>
      </c>
      <c r="AO8" s="377">
        <v>0</v>
      </c>
      <c r="AP8" s="376">
        <v>0</v>
      </c>
      <c r="AQ8" s="377">
        <v>0</v>
      </c>
      <c r="AR8" s="376">
        <v>0</v>
      </c>
      <c r="AS8" s="377">
        <v>0</v>
      </c>
      <c r="AT8" s="376">
        <v>0</v>
      </c>
      <c r="AU8" s="377">
        <v>0</v>
      </c>
    </row>
    <row r="9" spans="1:47" ht="16.5" customHeight="1">
      <c r="A9" s="362"/>
      <c r="B9" s="417">
        <v>5</v>
      </c>
      <c r="C9" s="418" t="s">
        <v>55</v>
      </c>
      <c r="D9" s="419" t="s">
        <v>305</v>
      </c>
      <c r="E9" s="375">
        <v>376217</v>
      </c>
      <c r="F9" s="375">
        <v>5.52</v>
      </c>
      <c r="G9" s="371">
        <v>0.84499999999999997</v>
      </c>
      <c r="H9" s="376">
        <v>30.1</v>
      </c>
      <c r="I9" s="377">
        <v>0.14000000000000001</v>
      </c>
      <c r="J9" s="376">
        <v>23</v>
      </c>
      <c r="K9" s="377">
        <v>7.0000000000000007E-2</v>
      </c>
      <c r="L9" s="376">
        <v>28.4</v>
      </c>
      <c r="M9" s="377">
        <v>1.7</v>
      </c>
      <c r="N9" s="376">
        <v>22.1</v>
      </c>
      <c r="O9" s="377">
        <v>0.4</v>
      </c>
      <c r="P9" s="376">
        <v>36.39</v>
      </c>
      <c r="Q9" s="377">
        <v>1.6</v>
      </c>
      <c r="R9" s="376">
        <v>1.5</v>
      </c>
      <c r="S9" s="377">
        <v>0.1</v>
      </c>
      <c r="T9" s="376">
        <v>6.66</v>
      </c>
      <c r="U9" s="377">
        <v>0.16</v>
      </c>
      <c r="V9" s="376">
        <v>14.48</v>
      </c>
      <c r="W9" s="377">
        <v>0.08</v>
      </c>
      <c r="X9" s="376">
        <v>3.35</v>
      </c>
      <c r="Y9" s="377">
        <v>0</v>
      </c>
      <c r="Z9" s="376">
        <v>0.06</v>
      </c>
      <c r="AA9" s="377">
        <v>0</v>
      </c>
      <c r="AB9" s="376">
        <v>0.06</v>
      </c>
      <c r="AC9" s="377">
        <v>0</v>
      </c>
      <c r="AD9" s="372">
        <v>0</v>
      </c>
      <c r="AE9" s="373">
        <v>0</v>
      </c>
      <c r="AF9" s="376">
        <v>0.06</v>
      </c>
      <c r="AG9" s="377">
        <v>0</v>
      </c>
      <c r="AH9" s="372">
        <v>0</v>
      </c>
      <c r="AI9" s="373">
        <v>0</v>
      </c>
      <c r="AJ9" s="372">
        <v>0</v>
      </c>
      <c r="AK9" s="373">
        <v>0</v>
      </c>
      <c r="AL9" s="372">
        <v>0</v>
      </c>
      <c r="AM9" s="373">
        <v>0</v>
      </c>
      <c r="AN9" s="372">
        <v>0</v>
      </c>
      <c r="AO9" s="373">
        <v>0</v>
      </c>
      <c r="AP9" s="372">
        <v>0</v>
      </c>
      <c r="AQ9" s="373">
        <v>0</v>
      </c>
      <c r="AR9" s="372">
        <v>0</v>
      </c>
      <c r="AS9" s="373">
        <v>0</v>
      </c>
      <c r="AT9" s="372">
        <v>0</v>
      </c>
      <c r="AU9" s="373">
        <v>0</v>
      </c>
    </row>
    <row r="10" spans="1:47" ht="16.5" customHeight="1">
      <c r="A10" s="362"/>
      <c r="B10" s="414"/>
      <c r="C10" s="415"/>
      <c r="D10" s="419" t="s">
        <v>227</v>
      </c>
      <c r="E10" s="375">
        <v>214734</v>
      </c>
      <c r="F10" s="375">
        <v>6.48</v>
      </c>
      <c r="G10" s="371">
        <v>0.72</v>
      </c>
      <c r="H10" s="376">
        <v>44.2</v>
      </c>
      <c r="I10" s="377">
        <v>2.69</v>
      </c>
      <c r="J10" s="376">
        <v>33.83</v>
      </c>
      <c r="K10" s="377">
        <v>2.09</v>
      </c>
      <c r="L10" s="376">
        <v>46.7</v>
      </c>
      <c r="M10" s="377">
        <v>0.4</v>
      </c>
      <c r="N10" s="376">
        <v>36.299999999999997</v>
      </c>
      <c r="O10" s="377">
        <v>0.1</v>
      </c>
      <c r="P10" s="376">
        <v>50.11</v>
      </c>
      <c r="Q10" s="377">
        <v>0.12</v>
      </c>
      <c r="R10" s="376">
        <v>0.2</v>
      </c>
      <c r="S10" s="377">
        <v>0</v>
      </c>
      <c r="T10" s="376">
        <v>10.3</v>
      </c>
      <c r="U10" s="377">
        <v>0.33</v>
      </c>
      <c r="V10" s="376">
        <v>23.94</v>
      </c>
      <c r="W10" s="377">
        <v>0.16</v>
      </c>
      <c r="X10" s="376">
        <v>2.65</v>
      </c>
      <c r="Y10" s="377">
        <v>0</v>
      </c>
      <c r="Z10" s="372">
        <v>0</v>
      </c>
      <c r="AA10" s="373">
        <v>0</v>
      </c>
      <c r="AB10" s="372">
        <v>0</v>
      </c>
      <c r="AC10" s="373">
        <v>0</v>
      </c>
      <c r="AD10" s="372">
        <v>0</v>
      </c>
      <c r="AE10" s="373">
        <v>0</v>
      </c>
      <c r="AF10" s="372">
        <v>0</v>
      </c>
      <c r="AG10" s="373">
        <v>0</v>
      </c>
      <c r="AH10" s="372">
        <v>0</v>
      </c>
      <c r="AI10" s="373">
        <v>0</v>
      </c>
      <c r="AJ10" s="372">
        <v>0</v>
      </c>
      <c r="AK10" s="373">
        <v>0</v>
      </c>
      <c r="AL10" s="372">
        <v>0</v>
      </c>
      <c r="AM10" s="373">
        <v>0</v>
      </c>
      <c r="AN10" s="372">
        <v>0</v>
      </c>
      <c r="AO10" s="373">
        <v>0</v>
      </c>
      <c r="AP10" s="372">
        <v>0</v>
      </c>
      <c r="AQ10" s="373">
        <v>0</v>
      </c>
      <c r="AR10" s="372">
        <v>0</v>
      </c>
      <c r="AS10" s="373">
        <v>0</v>
      </c>
      <c r="AT10" s="372">
        <v>0</v>
      </c>
      <c r="AU10" s="373">
        <v>0</v>
      </c>
    </row>
    <row r="11" spans="1:47" ht="16.5" customHeight="1">
      <c r="A11" s="362"/>
      <c r="B11" s="414"/>
      <c r="C11" s="415"/>
      <c r="D11" s="420" t="s">
        <v>308</v>
      </c>
      <c r="E11" s="381"/>
      <c r="F11" s="381">
        <v>5.6897498378660405</v>
      </c>
      <c r="G11" s="382">
        <v>0.79957872141683484</v>
      </c>
      <c r="H11" s="382">
        <v>35.223520224181023</v>
      </c>
      <c r="I11" s="383"/>
      <c r="J11" s="382">
        <v>26.935299576445423</v>
      </c>
      <c r="K11" s="383"/>
      <c r="L11" s="382">
        <v>35.049675184575371</v>
      </c>
      <c r="M11" s="383"/>
      <c r="N11" s="382">
        <v>27.259857247047552</v>
      </c>
      <c r="O11" s="383"/>
      <c r="P11" s="382">
        <v>41.375439537288202</v>
      </c>
      <c r="Q11" s="383"/>
      <c r="R11" s="382">
        <v>1.0276187027350829</v>
      </c>
      <c r="S11" s="383"/>
      <c r="T11" s="382">
        <v>7.9826676323417676</v>
      </c>
      <c r="U11" s="383"/>
      <c r="V11" s="382">
        <v>17.917482363173935</v>
      </c>
      <c r="W11" s="383"/>
      <c r="X11" s="382">
        <v>3.095640839934275</v>
      </c>
      <c r="Y11" s="383"/>
      <c r="Z11" s="382">
        <v>3.8197786280080755E-2</v>
      </c>
      <c r="AA11" s="422"/>
      <c r="AB11" s="382">
        <v>3.8197786280080755E-2</v>
      </c>
      <c r="AC11" s="422"/>
      <c r="AD11" s="382">
        <v>0</v>
      </c>
      <c r="AE11" s="422"/>
      <c r="AF11" s="382">
        <v>3.8197786280080755E-2</v>
      </c>
      <c r="AG11" s="422"/>
      <c r="AH11" s="382">
        <v>0</v>
      </c>
      <c r="AI11" s="422"/>
      <c r="AJ11" s="382">
        <v>0</v>
      </c>
      <c r="AK11" s="422"/>
      <c r="AL11" s="382">
        <v>0</v>
      </c>
      <c r="AM11" s="422"/>
      <c r="AN11" s="382">
        <v>0</v>
      </c>
      <c r="AO11" s="422"/>
      <c r="AP11" s="382">
        <v>0</v>
      </c>
      <c r="AQ11" s="422"/>
      <c r="AR11" s="382">
        <v>0</v>
      </c>
      <c r="AS11" s="422"/>
      <c r="AT11" s="382">
        <v>0</v>
      </c>
      <c r="AU11" s="422"/>
    </row>
    <row r="12" spans="1:47" ht="16.5" customHeight="1">
      <c r="A12" s="362"/>
      <c r="B12" s="417">
        <v>6</v>
      </c>
      <c r="C12" s="418" t="s">
        <v>56</v>
      </c>
      <c r="D12" s="419" t="s">
        <v>163</v>
      </c>
      <c r="E12" s="375">
        <v>14645</v>
      </c>
      <c r="F12" s="375">
        <v>6.79</v>
      </c>
      <c r="G12" s="371">
        <v>9.0440000000000005</v>
      </c>
      <c r="H12" s="376">
        <v>38.979999999999997</v>
      </c>
      <c r="I12" s="377">
        <v>0.04</v>
      </c>
      <c r="J12" s="376">
        <v>27.88</v>
      </c>
      <c r="K12" s="377">
        <v>0.18</v>
      </c>
      <c r="L12" s="376">
        <v>28.7</v>
      </c>
      <c r="M12" s="377">
        <v>0.3</v>
      </c>
      <c r="N12" s="376">
        <v>23.5</v>
      </c>
      <c r="O12" s="377">
        <v>0.3</v>
      </c>
      <c r="P12" s="376">
        <v>68.760000000000005</v>
      </c>
      <c r="Q12" s="377">
        <v>2.97</v>
      </c>
      <c r="R12" s="376">
        <v>24.2</v>
      </c>
      <c r="S12" s="377">
        <v>1</v>
      </c>
      <c r="T12" s="376">
        <v>14.6</v>
      </c>
      <c r="U12" s="377">
        <v>1.35</v>
      </c>
      <c r="V12" s="376">
        <v>13.81</v>
      </c>
      <c r="W12" s="377">
        <v>0.28999999999999998</v>
      </c>
      <c r="X12" s="376">
        <v>3.1</v>
      </c>
      <c r="Y12" s="377">
        <v>0</v>
      </c>
      <c r="Z12" s="376">
        <v>5.45</v>
      </c>
      <c r="AA12" s="377">
        <v>0</v>
      </c>
      <c r="AB12" s="376">
        <v>5.45</v>
      </c>
      <c r="AC12" s="377">
        <v>0</v>
      </c>
      <c r="AD12" s="372">
        <v>0</v>
      </c>
      <c r="AE12" s="373">
        <v>0</v>
      </c>
      <c r="AF12" s="376">
        <v>2.33</v>
      </c>
      <c r="AG12" s="377">
        <v>0</v>
      </c>
      <c r="AH12" s="376">
        <v>1.1599999999999999</v>
      </c>
      <c r="AI12" s="377">
        <v>0</v>
      </c>
      <c r="AJ12" s="376">
        <v>0.16</v>
      </c>
      <c r="AK12" s="377">
        <v>0</v>
      </c>
      <c r="AL12" s="376">
        <v>1.02</v>
      </c>
      <c r="AM12" s="377">
        <v>0</v>
      </c>
      <c r="AN12" s="376">
        <v>0.27</v>
      </c>
      <c r="AO12" s="377">
        <v>0</v>
      </c>
      <c r="AP12" s="376">
        <v>0.22</v>
      </c>
      <c r="AQ12" s="377">
        <v>0</v>
      </c>
      <c r="AR12" s="376">
        <v>0</v>
      </c>
      <c r="AS12" s="377">
        <v>0</v>
      </c>
      <c r="AT12" s="376">
        <v>0.26</v>
      </c>
      <c r="AU12" s="377">
        <v>0</v>
      </c>
    </row>
    <row r="13" spans="1:47" ht="16.5" customHeight="1">
      <c r="A13" s="362"/>
      <c r="B13" s="417">
        <v>7</v>
      </c>
      <c r="C13" s="418" t="s">
        <v>57</v>
      </c>
      <c r="D13" s="419" t="s">
        <v>141</v>
      </c>
      <c r="E13" s="375">
        <v>452233</v>
      </c>
      <c r="F13" s="375">
        <v>6.34</v>
      </c>
      <c r="G13" s="371">
        <v>0.58799999999999997</v>
      </c>
      <c r="H13" s="376">
        <v>32.700000000000003</v>
      </c>
      <c r="I13" s="377">
        <v>3.25</v>
      </c>
      <c r="J13" s="376">
        <v>25.43</v>
      </c>
      <c r="K13" s="377">
        <v>1.8</v>
      </c>
      <c r="L13" s="376">
        <v>33.700000000000003</v>
      </c>
      <c r="M13" s="377">
        <v>0.4</v>
      </c>
      <c r="N13" s="376">
        <v>27</v>
      </c>
      <c r="O13" s="377">
        <v>0.2</v>
      </c>
      <c r="P13" s="376">
        <v>40.799999999999997</v>
      </c>
      <c r="Q13" s="377">
        <v>0.61</v>
      </c>
      <c r="R13" s="376">
        <v>1</v>
      </c>
      <c r="S13" s="377">
        <v>0</v>
      </c>
      <c r="T13" s="376">
        <v>14.52</v>
      </c>
      <c r="U13" s="377">
        <v>3.28</v>
      </c>
      <c r="V13" s="376">
        <v>15.94</v>
      </c>
      <c r="W13" s="377">
        <v>0.32</v>
      </c>
      <c r="X13" s="376">
        <v>2.5</v>
      </c>
      <c r="Y13" s="377">
        <v>0</v>
      </c>
      <c r="Z13" s="372">
        <v>0</v>
      </c>
      <c r="AA13" s="373">
        <v>0</v>
      </c>
      <c r="AB13" s="372">
        <v>0</v>
      </c>
      <c r="AC13" s="373">
        <v>0</v>
      </c>
      <c r="AD13" s="372">
        <v>0</v>
      </c>
      <c r="AE13" s="373">
        <v>0</v>
      </c>
      <c r="AF13" s="372">
        <v>0</v>
      </c>
      <c r="AG13" s="373">
        <v>0</v>
      </c>
      <c r="AH13" s="372">
        <v>0</v>
      </c>
      <c r="AI13" s="373">
        <v>0</v>
      </c>
      <c r="AJ13" s="372">
        <v>0</v>
      </c>
      <c r="AK13" s="373">
        <v>0</v>
      </c>
      <c r="AL13" s="372">
        <v>0</v>
      </c>
      <c r="AM13" s="373">
        <v>0</v>
      </c>
      <c r="AN13" s="372">
        <v>0</v>
      </c>
      <c r="AO13" s="373">
        <v>0</v>
      </c>
      <c r="AP13" s="372">
        <v>0</v>
      </c>
      <c r="AQ13" s="373">
        <v>0</v>
      </c>
      <c r="AR13" s="372">
        <v>0</v>
      </c>
      <c r="AS13" s="373">
        <v>0</v>
      </c>
      <c r="AT13" s="372">
        <v>0</v>
      </c>
      <c r="AU13" s="373">
        <v>0</v>
      </c>
    </row>
    <row r="14" spans="1:47" ht="16.5" customHeight="1">
      <c r="A14" s="362"/>
      <c r="B14" s="414"/>
      <c r="C14" s="415"/>
      <c r="D14" s="419" t="s">
        <v>317</v>
      </c>
      <c r="E14" s="375">
        <v>20325</v>
      </c>
      <c r="F14" s="375">
        <v>6.55</v>
      </c>
      <c r="G14" s="371">
        <v>2.7120000000000002</v>
      </c>
      <c r="H14" s="376">
        <v>5.65</v>
      </c>
      <c r="I14" s="377">
        <v>7.0000000000000007E-2</v>
      </c>
      <c r="J14" s="376">
        <v>4.17</v>
      </c>
      <c r="K14" s="377">
        <v>0.18</v>
      </c>
      <c r="L14" s="376">
        <v>4.4000000000000004</v>
      </c>
      <c r="M14" s="377">
        <v>0.1</v>
      </c>
      <c r="N14" s="376">
        <v>3.5</v>
      </c>
      <c r="O14" s="377">
        <v>0.1</v>
      </c>
      <c r="P14" s="376">
        <v>11.25</v>
      </c>
      <c r="Q14" s="377">
        <v>0.13</v>
      </c>
      <c r="R14" s="376">
        <v>0.1</v>
      </c>
      <c r="S14" s="377">
        <v>0</v>
      </c>
      <c r="T14" s="376">
        <v>4.51</v>
      </c>
      <c r="U14" s="377">
        <v>0.39</v>
      </c>
      <c r="V14" s="376">
        <v>3.43</v>
      </c>
      <c r="W14" s="377">
        <v>0.24</v>
      </c>
      <c r="X14" s="376">
        <v>0.8</v>
      </c>
      <c r="Y14" s="377">
        <v>0</v>
      </c>
      <c r="Z14" s="372">
        <v>0</v>
      </c>
      <c r="AA14" s="373">
        <v>0</v>
      </c>
      <c r="AB14" s="372">
        <v>0</v>
      </c>
      <c r="AC14" s="373">
        <v>0</v>
      </c>
      <c r="AD14" s="372">
        <v>0</v>
      </c>
      <c r="AE14" s="373">
        <v>0</v>
      </c>
      <c r="AF14" s="372">
        <v>0</v>
      </c>
      <c r="AG14" s="373">
        <v>0</v>
      </c>
      <c r="AH14" s="372">
        <v>0</v>
      </c>
      <c r="AI14" s="373">
        <v>0</v>
      </c>
      <c r="AJ14" s="372">
        <v>0</v>
      </c>
      <c r="AK14" s="373">
        <v>0</v>
      </c>
      <c r="AL14" s="372">
        <v>0</v>
      </c>
      <c r="AM14" s="373">
        <v>0</v>
      </c>
      <c r="AN14" s="372">
        <v>0</v>
      </c>
      <c r="AO14" s="373">
        <v>0</v>
      </c>
      <c r="AP14" s="372">
        <v>0</v>
      </c>
      <c r="AQ14" s="373">
        <v>0</v>
      </c>
      <c r="AR14" s="372">
        <v>0</v>
      </c>
      <c r="AS14" s="373">
        <v>0</v>
      </c>
      <c r="AT14" s="372">
        <v>0</v>
      </c>
      <c r="AU14" s="373">
        <v>0</v>
      </c>
    </row>
    <row r="15" spans="1:47" ht="16.5" customHeight="1">
      <c r="A15" s="362"/>
      <c r="B15" s="414"/>
      <c r="C15" s="415"/>
      <c r="D15" s="420" t="s">
        <v>329</v>
      </c>
      <c r="E15" s="381"/>
      <c r="F15" s="381">
        <v>6.3472214303662513</v>
      </c>
      <c r="G15" s="382">
        <v>0.67935450039995082</v>
      </c>
      <c r="H15" s="382">
        <v>31.536563448296295</v>
      </c>
      <c r="I15" s="383"/>
      <c r="J15" s="382">
        <v>24.515594784132318</v>
      </c>
      <c r="K15" s="383"/>
      <c r="L15" s="382">
        <v>32.439789613126855</v>
      </c>
      <c r="M15" s="383"/>
      <c r="N15" s="382">
        <v>25.989251054896965</v>
      </c>
      <c r="O15" s="383"/>
      <c r="P15" s="382">
        <v>39.52903696477469</v>
      </c>
      <c r="Q15" s="383"/>
      <c r="R15" s="382">
        <v>0.96129046593222423</v>
      </c>
      <c r="S15" s="383"/>
      <c r="T15" s="382">
        <v>14.089463959979517</v>
      </c>
      <c r="U15" s="383"/>
      <c r="V15" s="382">
        <v>15.401937476457915</v>
      </c>
      <c r="W15" s="383"/>
      <c r="X15" s="382">
        <v>2.4268819912053123</v>
      </c>
      <c r="Y15" s="383"/>
      <c r="Z15" s="382">
        <v>0</v>
      </c>
      <c r="AA15" s="422"/>
      <c r="AB15" s="382">
        <v>0</v>
      </c>
      <c r="AC15" s="422"/>
      <c r="AD15" s="382">
        <v>0</v>
      </c>
      <c r="AE15" s="422"/>
      <c r="AF15" s="382">
        <v>0</v>
      </c>
      <c r="AG15" s="422"/>
      <c r="AH15" s="382">
        <v>0</v>
      </c>
      <c r="AI15" s="422"/>
      <c r="AJ15" s="382">
        <v>0</v>
      </c>
      <c r="AK15" s="422"/>
      <c r="AL15" s="382">
        <v>0</v>
      </c>
      <c r="AM15" s="422"/>
      <c r="AN15" s="382">
        <v>0</v>
      </c>
      <c r="AO15" s="422"/>
      <c r="AP15" s="382">
        <v>0</v>
      </c>
      <c r="AQ15" s="422"/>
      <c r="AR15" s="382">
        <v>0</v>
      </c>
      <c r="AS15" s="422"/>
      <c r="AT15" s="382">
        <v>0</v>
      </c>
      <c r="AU15" s="422"/>
    </row>
    <row r="16" spans="1:47" ht="16.5" customHeight="1">
      <c r="A16" s="362"/>
      <c r="B16" s="417">
        <v>8</v>
      </c>
      <c r="C16" s="418" t="s">
        <v>58</v>
      </c>
      <c r="D16" s="419" t="s">
        <v>141</v>
      </c>
      <c r="E16" s="375">
        <v>546356</v>
      </c>
      <c r="F16" s="375">
        <v>5.83</v>
      </c>
      <c r="G16" s="371">
        <v>1.444</v>
      </c>
      <c r="H16" s="376">
        <v>32.35</v>
      </c>
      <c r="I16" s="377">
        <v>2.69</v>
      </c>
      <c r="J16" s="376">
        <v>24.48</v>
      </c>
      <c r="K16" s="377">
        <v>2.16</v>
      </c>
      <c r="L16" s="376">
        <v>30.9</v>
      </c>
      <c r="M16" s="377">
        <v>1.4</v>
      </c>
      <c r="N16" s="376">
        <v>23.9</v>
      </c>
      <c r="O16" s="377">
        <v>1.3</v>
      </c>
      <c r="P16" s="376">
        <v>40.380000000000003</v>
      </c>
      <c r="Q16" s="377">
        <v>0.9</v>
      </c>
      <c r="R16" s="376">
        <v>2.1</v>
      </c>
      <c r="S16" s="377">
        <v>0</v>
      </c>
      <c r="T16" s="376">
        <v>12.51</v>
      </c>
      <c r="U16" s="377">
        <v>3.67</v>
      </c>
      <c r="V16" s="376">
        <v>13.61</v>
      </c>
      <c r="W16" s="377">
        <v>0.42</v>
      </c>
      <c r="X16" s="376">
        <v>3.25</v>
      </c>
      <c r="Y16" s="377">
        <v>0</v>
      </c>
      <c r="Z16" s="376">
        <v>0.23</v>
      </c>
      <c r="AA16" s="377">
        <v>0</v>
      </c>
      <c r="AB16" s="376">
        <v>0.23</v>
      </c>
      <c r="AC16" s="377">
        <v>0</v>
      </c>
      <c r="AD16" s="372">
        <v>0</v>
      </c>
      <c r="AE16" s="373">
        <v>0</v>
      </c>
      <c r="AF16" s="376">
        <v>0.06</v>
      </c>
      <c r="AG16" s="377">
        <v>0</v>
      </c>
      <c r="AH16" s="376">
        <v>0.09</v>
      </c>
      <c r="AI16" s="377">
        <v>0</v>
      </c>
      <c r="AJ16" s="376">
        <v>0</v>
      </c>
      <c r="AK16" s="377">
        <v>0</v>
      </c>
      <c r="AL16" s="376">
        <v>0.04</v>
      </c>
      <c r="AM16" s="377">
        <v>0</v>
      </c>
      <c r="AN16" s="376">
        <v>0.01</v>
      </c>
      <c r="AO16" s="377">
        <v>0</v>
      </c>
      <c r="AP16" s="376">
        <v>0.02</v>
      </c>
      <c r="AQ16" s="377">
        <v>0</v>
      </c>
      <c r="AR16" s="376">
        <v>0</v>
      </c>
      <c r="AS16" s="377">
        <v>0</v>
      </c>
      <c r="AT16" s="376">
        <v>0</v>
      </c>
      <c r="AU16" s="377">
        <v>0</v>
      </c>
    </row>
    <row r="17" spans="1:47" ht="16.5" customHeight="1">
      <c r="A17" s="362"/>
      <c r="B17" s="414"/>
      <c r="C17" s="415"/>
      <c r="D17" s="419" t="s">
        <v>192</v>
      </c>
      <c r="E17" s="375">
        <v>147781</v>
      </c>
      <c r="F17" s="375">
        <v>3.95</v>
      </c>
      <c r="G17" s="371" t="s">
        <v>46</v>
      </c>
      <c r="H17" s="376">
        <v>33.950000000000003</v>
      </c>
      <c r="I17" s="377">
        <v>0.14000000000000001</v>
      </c>
      <c r="J17" s="376">
        <v>28.2</v>
      </c>
      <c r="K17" s="377">
        <v>0.28000000000000003</v>
      </c>
      <c r="L17" s="376">
        <v>16.7</v>
      </c>
      <c r="M17" s="377">
        <v>0.8</v>
      </c>
      <c r="N17" s="376">
        <v>16.3</v>
      </c>
      <c r="O17" s="377">
        <v>0.8</v>
      </c>
      <c r="P17" s="376">
        <v>81.62</v>
      </c>
      <c r="Q17" s="377">
        <v>2.5099999999999998</v>
      </c>
      <c r="R17" s="376">
        <v>33.200000000000003</v>
      </c>
      <c r="S17" s="377">
        <v>1</v>
      </c>
      <c r="T17" s="376">
        <v>12.78</v>
      </c>
      <c r="U17" s="377">
        <v>2.98</v>
      </c>
      <c r="V17" s="376">
        <v>14.78</v>
      </c>
      <c r="W17" s="377">
        <v>0.06</v>
      </c>
      <c r="X17" s="376">
        <v>5.3</v>
      </c>
      <c r="Y17" s="377">
        <v>0</v>
      </c>
      <c r="Z17" s="376">
        <v>0.8</v>
      </c>
      <c r="AA17" s="377">
        <v>0</v>
      </c>
      <c r="AB17" s="376">
        <v>0.8</v>
      </c>
      <c r="AC17" s="377">
        <v>0</v>
      </c>
      <c r="AD17" s="372">
        <v>0</v>
      </c>
      <c r="AE17" s="373">
        <v>0</v>
      </c>
      <c r="AF17" s="376">
        <v>0.8</v>
      </c>
      <c r="AG17" s="377">
        <v>0</v>
      </c>
      <c r="AH17" s="372">
        <v>0</v>
      </c>
      <c r="AI17" s="373">
        <v>0</v>
      </c>
      <c r="AJ17" s="372">
        <v>0</v>
      </c>
      <c r="AK17" s="373">
        <v>0</v>
      </c>
      <c r="AL17" s="372">
        <v>0</v>
      </c>
      <c r="AM17" s="373">
        <v>0</v>
      </c>
      <c r="AN17" s="372">
        <v>0</v>
      </c>
      <c r="AO17" s="373">
        <v>0</v>
      </c>
      <c r="AP17" s="372">
        <v>0</v>
      </c>
      <c r="AQ17" s="373">
        <v>0</v>
      </c>
      <c r="AR17" s="372">
        <v>0</v>
      </c>
      <c r="AS17" s="373">
        <v>0</v>
      </c>
      <c r="AT17" s="372">
        <v>0</v>
      </c>
      <c r="AU17" s="373">
        <v>0</v>
      </c>
    </row>
    <row r="18" spans="1:47" ht="16.5" customHeight="1">
      <c r="A18" s="362"/>
      <c r="B18" s="414"/>
      <c r="C18" s="415"/>
      <c r="D18" s="420" t="s">
        <v>310</v>
      </c>
      <c r="E18" s="381"/>
      <c r="F18" s="381">
        <v>4.601160080989902</v>
      </c>
      <c r="G18" s="421" t="s">
        <v>46</v>
      </c>
      <c r="H18" s="382">
        <v>32.690638231357788</v>
      </c>
      <c r="I18" s="383"/>
      <c r="J18" s="382">
        <v>25.271983887906856</v>
      </c>
      <c r="K18" s="383"/>
      <c r="L18" s="382">
        <v>27.87683569669964</v>
      </c>
      <c r="M18" s="383"/>
      <c r="N18" s="382">
        <v>22.281968401050513</v>
      </c>
      <c r="O18" s="383"/>
      <c r="P18" s="382">
        <v>49.159950413246953</v>
      </c>
      <c r="Q18" s="383"/>
      <c r="R18" s="382">
        <v>8.7211556220169797</v>
      </c>
      <c r="S18" s="383"/>
      <c r="T18" s="382">
        <v>12.567482701541627</v>
      </c>
      <c r="U18" s="383"/>
      <c r="V18" s="382">
        <v>13.859091706680381</v>
      </c>
      <c r="W18" s="383"/>
      <c r="X18" s="382">
        <v>3.6864427339271639</v>
      </c>
      <c r="Y18" s="383"/>
      <c r="Z18" s="382">
        <v>0.35135236992121149</v>
      </c>
      <c r="AA18" s="383"/>
      <c r="AB18" s="382">
        <v>0.35135236992121149</v>
      </c>
      <c r="AC18" s="383"/>
      <c r="AD18" s="382">
        <v>0</v>
      </c>
      <c r="AE18" s="422"/>
      <c r="AF18" s="382">
        <v>0.21754518200297637</v>
      </c>
      <c r="AG18" s="383"/>
      <c r="AH18" s="382">
        <v>7.0839099486124504E-2</v>
      </c>
      <c r="AI18" s="422"/>
      <c r="AJ18" s="382">
        <v>0</v>
      </c>
      <c r="AK18" s="422"/>
      <c r="AL18" s="382">
        <v>3.1484044216055336E-2</v>
      </c>
      <c r="AM18" s="422"/>
      <c r="AN18" s="382">
        <v>7.871011054013834E-3</v>
      </c>
      <c r="AO18" s="422"/>
      <c r="AP18" s="382">
        <v>1.5742022108027668E-2</v>
      </c>
      <c r="AQ18" s="422"/>
      <c r="AR18" s="382">
        <v>0</v>
      </c>
      <c r="AS18" s="422"/>
      <c r="AT18" s="382">
        <v>0</v>
      </c>
      <c r="AU18" s="422"/>
    </row>
    <row r="19" spans="1:47" ht="16.5" customHeight="1">
      <c r="A19" s="362"/>
      <c r="B19" s="417">
        <v>9</v>
      </c>
      <c r="C19" s="418" t="s">
        <v>59</v>
      </c>
      <c r="D19" s="419" t="s">
        <v>123</v>
      </c>
      <c r="E19" s="375">
        <v>72778</v>
      </c>
      <c r="F19" s="375">
        <v>4.75</v>
      </c>
      <c r="G19" s="371">
        <v>0</v>
      </c>
      <c r="H19" s="376">
        <v>181.25</v>
      </c>
      <c r="I19" s="377">
        <v>9.5500000000000007</v>
      </c>
      <c r="J19" s="376">
        <v>162.13</v>
      </c>
      <c r="K19" s="377">
        <v>10.78</v>
      </c>
      <c r="L19" s="376">
        <v>115.3</v>
      </c>
      <c r="M19" s="377">
        <v>4.5999999999999996</v>
      </c>
      <c r="N19" s="376">
        <v>110.5</v>
      </c>
      <c r="O19" s="377">
        <v>8.5</v>
      </c>
      <c r="P19" s="376">
        <v>287.64</v>
      </c>
      <c r="Q19" s="377">
        <v>5.07</v>
      </c>
      <c r="R19" s="376">
        <v>110.6</v>
      </c>
      <c r="S19" s="377">
        <v>2</v>
      </c>
      <c r="T19" s="376">
        <v>122.91</v>
      </c>
      <c r="U19" s="377">
        <v>10.14</v>
      </c>
      <c r="V19" s="376">
        <v>12.69</v>
      </c>
      <c r="W19" s="377">
        <v>0.35</v>
      </c>
      <c r="X19" s="376">
        <v>4.3499999999999996</v>
      </c>
      <c r="Y19" s="377">
        <v>0</v>
      </c>
      <c r="Z19" s="376">
        <v>0.69</v>
      </c>
      <c r="AA19" s="377">
        <v>0</v>
      </c>
      <c r="AB19" s="376">
        <v>0.69</v>
      </c>
      <c r="AC19" s="377">
        <v>0</v>
      </c>
      <c r="AD19" s="372">
        <v>0</v>
      </c>
      <c r="AE19" s="373">
        <v>0</v>
      </c>
      <c r="AF19" s="376">
        <v>0.69</v>
      </c>
      <c r="AG19" s="377">
        <v>0</v>
      </c>
      <c r="AH19" s="372">
        <v>0</v>
      </c>
      <c r="AI19" s="373">
        <v>0</v>
      </c>
      <c r="AJ19" s="372">
        <v>0</v>
      </c>
      <c r="AK19" s="373">
        <v>0</v>
      </c>
      <c r="AL19" s="372">
        <v>0</v>
      </c>
      <c r="AM19" s="373">
        <v>0</v>
      </c>
      <c r="AN19" s="372">
        <v>0</v>
      </c>
      <c r="AO19" s="373">
        <v>0</v>
      </c>
      <c r="AP19" s="372">
        <v>0</v>
      </c>
      <c r="AQ19" s="373">
        <v>0</v>
      </c>
      <c r="AR19" s="372">
        <v>0</v>
      </c>
      <c r="AS19" s="373">
        <v>0</v>
      </c>
      <c r="AT19" s="372">
        <v>0</v>
      </c>
      <c r="AU19" s="373">
        <v>0</v>
      </c>
    </row>
    <row r="20" spans="1:47" ht="16.5" customHeight="1">
      <c r="A20" s="362"/>
      <c r="B20" s="417">
        <v>10</v>
      </c>
      <c r="C20" s="418" t="s">
        <v>60</v>
      </c>
      <c r="D20" s="419" t="s">
        <v>141</v>
      </c>
      <c r="E20" s="375">
        <v>182865</v>
      </c>
      <c r="F20" s="375">
        <v>6.37</v>
      </c>
      <c r="G20" s="371">
        <v>1.615</v>
      </c>
      <c r="H20" s="376">
        <v>29.55</v>
      </c>
      <c r="I20" s="377">
        <v>0.14000000000000001</v>
      </c>
      <c r="J20" s="376">
        <v>21.75</v>
      </c>
      <c r="K20" s="377">
        <v>7.0000000000000007E-2</v>
      </c>
      <c r="L20" s="376">
        <v>30.9</v>
      </c>
      <c r="M20" s="377">
        <v>0.2</v>
      </c>
      <c r="N20" s="376">
        <v>23</v>
      </c>
      <c r="O20" s="377">
        <v>0.1</v>
      </c>
      <c r="P20" s="376">
        <v>34.79</v>
      </c>
      <c r="Q20" s="377">
        <v>2.27</v>
      </c>
      <c r="R20" s="376">
        <v>0.8</v>
      </c>
      <c r="S20" s="377">
        <v>0</v>
      </c>
      <c r="T20" s="376">
        <v>8.23</v>
      </c>
      <c r="U20" s="377">
        <v>0.45</v>
      </c>
      <c r="V20" s="376">
        <v>10.75</v>
      </c>
      <c r="W20" s="377">
        <v>0.45</v>
      </c>
      <c r="X20" s="376">
        <v>2.5499999999999998</v>
      </c>
      <c r="Y20" s="377">
        <v>0</v>
      </c>
      <c r="Z20" s="376">
        <v>0.66</v>
      </c>
      <c r="AA20" s="377">
        <v>0</v>
      </c>
      <c r="AB20" s="376">
        <v>0.66</v>
      </c>
      <c r="AC20" s="377">
        <v>0</v>
      </c>
      <c r="AD20" s="372">
        <v>0</v>
      </c>
      <c r="AE20" s="373">
        <v>0</v>
      </c>
      <c r="AF20" s="376">
        <v>0.05</v>
      </c>
      <c r="AG20" s="377">
        <v>0</v>
      </c>
      <c r="AH20" s="376">
        <v>0.44</v>
      </c>
      <c r="AI20" s="377">
        <v>0</v>
      </c>
      <c r="AJ20" s="376">
        <v>0.02</v>
      </c>
      <c r="AK20" s="377">
        <v>0</v>
      </c>
      <c r="AL20" s="376">
        <v>0.04</v>
      </c>
      <c r="AM20" s="377">
        <v>0</v>
      </c>
      <c r="AN20" s="376">
        <v>0.06</v>
      </c>
      <c r="AO20" s="377">
        <v>0</v>
      </c>
      <c r="AP20" s="376">
        <v>0.05</v>
      </c>
      <c r="AQ20" s="377">
        <v>0</v>
      </c>
      <c r="AR20" s="376">
        <v>0</v>
      </c>
      <c r="AS20" s="377">
        <v>0</v>
      </c>
      <c r="AT20" s="376">
        <v>0</v>
      </c>
      <c r="AU20" s="377">
        <v>0</v>
      </c>
    </row>
    <row r="21" spans="1:47" ht="16.5" customHeight="1">
      <c r="A21" s="362"/>
      <c r="B21" s="417">
        <v>11</v>
      </c>
      <c r="C21" s="418" t="s">
        <v>61</v>
      </c>
      <c r="D21" s="419" t="s">
        <v>216</v>
      </c>
      <c r="E21" s="381">
        <v>31628</v>
      </c>
      <c r="F21" s="375">
        <v>6.5</v>
      </c>
      <c r="G21" s="371">
        <v>1.2725</v>
      </c>
      <c r="H21" s="376">
        <v>12.03</v>
      </c>
      <c r="I21" s="377">
        <v>0.81</v>
      </c>
      <c r="J21" s="376">
        <v>8.0299999999999994</v>
      </c>
      <c r="K21" s="377">
        <v>0.81</v>
      </c>
      <c r="L21" s="376">
        <v>10.8</v>
      </c>
      <c r="M21" s="377">
        <v>0.3</v>
      </c>
      <c r="N21" s="376">
        <v>7.9</v>
      </c>
      <c r="O21" s="377">
        <v>0</v>
      </c>
      <c r="P21" s="376">
        <v>62.08</v>
      </c>
      <c r="Q21" s="377">
        <v>1.97</v>
      </c>
      <c r="R21" s="376">
        <v>1</v>
      </c>
      <c r="S21" s="377">
        <v>0</v>
      </c>
      <c r="T21" s="376">
        <v>10.44</v>
      </c>
      <c r="U21" s="377">
        <v>0</v>
      </c>
      <c r="V21" s="376">
        <v>5.17</v>
      </c>
      <c r="W21" s="377">
        <v>0.55000000000000004</v>
      </c>
      <c r="X21" s="376">
        <v>1.25</v>
      </c>
      <c r="Y21" s="377">
        <v>0</v>
      </c>
      <c r="Z21" s="372">
        <v>0</v>
      </c>
      <c r="AA21" s="373">
        <v>0</v>
      </c>
      <c r="AB21" s="372">
        <v>0</v>
      </c>
      <c r="AC21" s="373">
        <v>0</v>
      </c>
      <c r="AD21" s="372">
        <v>0</v>
      </c>
      <c r="AE21" s="373">
        <v>0</v>
      </c>
      <c r="AF21" s="372">
        <v>0</v>
      </c>
      <c r="AG21" s="373">
        <v>0</v>
      </c>
      <c r="AH21" s="372">
        <v>0</v>
      </c>
      <c r="AI21" s="373">
        <v>0</v>
      </c>
      <c r="AJ21" s="372">
        <v>0</v>
      </c>
      <c r="AK21" s="373">
        <v>0</v>
      </c>
      <c r="AL21" s="372">
        <v>0</v>
      </c>
      <c r="AM21" s="373">
        <v>0</v>
      </c>
      <c r="AN21" s="372">
        <v>0</v>
      </c>
      <c r="AO21" s="373">
        <v>0</v>
      </c>
      <c r="AP21" s="372">
        <v>0</v>
      </c>
      <c r="AQ21" s="373">
        <v>0</v>
      </c>
      <c r="AR21" s="372">
        <v>0</v>
      </c>
      <c r="AS21" s="373">
        <v>0</v>
      </c>
      <c r="AT21" s="372">
        <v>0</v>
      </c>
      <c r="AU21" s="373">
        <v>0</v>
      </c>
    </row>
    <row r="22" spans="1:47" ht="16.5" customHeight="1">
      <c r="A22" s="362"/>
      <c r="B22" s="414"/>
      <c r="C22" s="415"/>
      <c r="D22" s="419" t="s">
        <v>227</v>
      </c>
      <c r="E22" s="381">
        <v>61715</v>
      </c>
      <c r="F22" s="375">
        <v>6.54</v>
      </c>
      <c r="G22" s="371">
        <v>0.73499999999999999</v>
      </c>
      <c r="H22" s="376">
        <v>42.83</v>
      </c>
      <c r="I22" s="377">
        <v>1.17</v>
      </c>
      <c r="J22" s="376">
        <v>32.049999999999997</v>
      </c>
      <c r="K22" s="377">
        <v>0.64</v>
      </c>
      <c r="L22" s="376">
        <v>42.8</v>
      </c>
      <c r="M22" s="377">
        <v>0.5</v>
      </c>
      <c r="N22" s="376">
        <v>32.1</v>
      </c>
      <c r="O22" s="377">
        <v>0.9</v>
      </c>
      <c r="P22" s="376">
        <v>52.74</v>
      </c>
      <c r="Q22" s="377">
        <v>0.28000000000000003</v>
      </c>
      <c r="R22" s="376">
        <v>0.5</v>
      </c>
      <c r="S22" s="377">
        <v>0</v>
      </c>
      <c r="T22" s="376">
        <v>12.47</v>
      </c>
      <c r="U22" s="377">
        <v>0.02</v>
      </c>
      <c r="V22" s="376">
        <v>23.24</v>
      </c>
      <c r="W22" s="377">
        <v>0.3</v>
      </c>
      <c r="X22" s="376">
        <v>1.75</v>
      </c>
      <c r="Y22" s="377">
        <v>0</v>
      </c>
      <c r="Z22" s="372">
        <v>0</v>
      </c>
      <c r="AA22" s="373">
        <v>0</v>
      </c>
      <c r="AB22" s="372">
        <v>0</v>
      </c>
      <c r="AC22" s="373">
        <v>0</v>
      </c>
      <c r="AD22" s="372">
        <v>0</v>
      </c>
      <c r="AE22" s="373">
        <v>0</v>
      </c>
      <c r="AF22" s="372">
        <v>0</v>
      </c>
      <c r="AG22" s="373">
        <v>0</v>
      </c>
      <c r="AH22" s="372">
        <v>0</v>
      </c>
      <c r="AI22" s="373">
        <v>0</v>
      </c>
      <c r="AJ22" s="372">
        <v>0</v>
      </c>
      <c r="AK22" s="373">
        <v>0</v>
      </c>
      <c r="AL22" s="372">
        <v>0</v>
      </c>
      <c r="AM22" s="373">
        <v>0</v>
      </c>
      <c r="AN22" s="372">
        <v>0</v>
      </c>
      <c r="AO22" s="373">
        <v>0</v>
      </c>
      <c r="AP22" s="372">
        <v>0</v>
      </c>
      <c r="AQ22" s="373">
        <v>0</v>
      </c>
      <c r="AR22" s="372">
        <v>0</v>
      </c>
      <c r="AS22" s="373">
        <v>0</v>
      </c>
      <c r="AT22" s="372">
        <v>0</v>
      </c>
      <c r="AU22" s="373">
        <v>0</v>
      </c>
    </row>
    <row r="23" spans="1:47" ht="16.5" customHeight="1">
      <c r="A23" s="362"/>
      <c r="B23" s="414"/>
      <c r="C23" s="415"/>
      <c r="D23" s="420" t="s">
        <v>314</v>
      </c>
      <c r="E23" s="381"/>
      <c r="F23" s="381">
        <v>6.5260297279756223</v>
      </c>
      <c r="G23" s="382">
        <v>0.91712673649152021</v>
      </c>
      <c r="H23" s="382">
        <v>32.393714448485909</v>
      </c>
      <c r="I23" s="383"/>
      <c r="J23" s="382">
        <v>23.911052631578947</v>
      </c>
      <c r="K23" s="383"/>
      <c r="L23" s="382">
        <v>31.957105920504841</v>
      </c>
      <c r="M23" s="383"/>
      <c r="N23" s="382">
        <v>23.90006135238179</v>
      </c>
      <c r="O23" s="383"/>
      <c r="P23" s="382">
        <v>55.904769709452651</v>
      </c>
      <c r="Q23" s="383"/>
      <c r="R23" s="382">
        <v>0.66942021999211188</v>
      </c>
      <c r="S23" s="383"/>
      <c r="T23" s="382">
        <v>11.782153906832026</v>
      </c>
      <c r="U23" s="383"/>
      <c r="V23" s="382">
        <v>17.117153249485078</v>
      </c>
      <c r="W23" s="383"/>
      <c r="X23" s="382">
        <v>1.5805797800078882</v>
      </c>
      <c r="Y23" s="383"/>
      <c r="Z23" s="382">
        <v>0</v>
      </c>
      <c r="AA23" s="422"/>
      <c r="AB23" s="382">
        <v>0</v>
      </c>
      <c r="AC23" s="422"/>
      <c r="AD23" s="382">
        <v>0</v>
      </c>
      <c r="AE23" s="422"/>
      <c r="AF23" s="382">
        <v>0</v>
      </c>
      <c r="AG23" s="422"/>
      <c r="AH23" s="382">
        <v>0</v>
      </c>
      <c r="AI23" s="422"/>
      <c r="AJ23" s="382">
        <v>0</v>
      </c>
      <c r="AK23" s="422"/>
      <c r="AL23" s="382">
        <v>0</v>
      </c>
      <c r="AM23" s="422"/>
      <c r="AN23" s="382">
        <v>0</v>
      </c>
      <c r="AO23" s="422"/>
      <c r="AP23" s="382">
        <v>0</v>
      </c>
      <c r="AQ23" s="422"/>
      <c r="AR23" s="382">
        <v>0</v>
      </c>
      <c r="AS23" s="422"/>
      <c r="AT23" s="382">
        <v>0</v>
      </c>
      <c r="AU23" s="422"/>
    </row>
    <row r="24" spans="1:47" ht="16.5" customHeight="1">
      <c r="A24" s="362"/>
      <c r="B24" s="417">
        <v>12</v>
      </c>
      <c r="C24" s="418" t="s">
        <v>64</v>
      </c>
      <c r="D24" s="419" t="s">
        <v>187</v>
      </c>
      <c r="E24" s="375">
        <v>36812</v>
      </c>
      <c r="F24" s="375">
        <v>5.53</v>
      </c>
      <c r="G24" s="371">
        <v>4.3733000000000004</v>
      </c>
      <c r="H24" s="376">
        <v>43</v>
      </c>
      <c r="I24" s="377">
        <v>0.92</v>
      </c>
      <c r="J24" s="376">
        <v>29.33</v>
      </c>
      <c r="K24" s="377">
        <v>0.88</v>
      </c>
      <c r="L24" s="376">
        <v>22.1</v>
      </c>
      <c r="M24" s="377">
        <v>0.7</v>
      </c>
      <c r="N24" s="376">
        <v>19.2</v>
      </c>
      <c r="O24" s="377">
        <v>0.6</v>
      </c>
      <c r="P24" s="376">
        <v>98.87</v>
      </c>
      <c r="Q24" s="377">
        <v>1.62</v>
      </c>
      <c r="R24" s="376">
        <v>36.6</v>
      </c>
      <c r="S24" s="377">
        <v>0.6</v>
      </c>
      <c r="T24" s="376">
        <v>10.53</v>
      </c>
      <c r="U24" s="377">
        <v>0.69</v>
      </c>
      <c r="V24" s="376">
        <v>15.39</v>
      </c>
      <c r="W24" s="377">
        <v>0.28999999999999998</v>
      </c>
      <c r="X24" s="376">
        <v>2.2999999999999998</v>
      </c>
      <c r="Y24" s="377">
        <v>0</v>
      </c>
      <c r="Z24" s="376">
        <v>9.1300000000000008</v>
      </c>
      <c r="AA24" s="377">
        <v>0</v>
      </c>
      <c r="AB24" s="376">
        <v>9.1300000000000008</v>
      </c>
      <c r="AC24" s="377">
        <v>0</v>
      </c>
      <c r="AD24" s="372">
        <v>0</v>
      </c>
      <c r="AE24" s="373">
        <v>0</v>
      </c>
      <c r="AF24" s="376">
        <v>2.73</v>
      </c>
      <c r="AG24" s="377">
        <v>0</v>
      </c>
      <c r="AH24" s="376">
        <v>0.26</v>
      </c>
      <c r="AI24" s="377">
        <v>0</v>
      </c>
      <c r="AJ24" s="376">
        <v>0.16</v>
      </c>
      <c r="AK24" s="377">
        <v>0</v>
      </c>
      <c r="AL24" s="376">
        <v>2.37</v>
      </c>
      <c r="AM24" s="377">
        <v>0</v>
      </c>
      <c r="AN24" s="376">
        <v>0.33</v>
      </c>
      <c r="AO24" s="377">
        <v>0</v>
      </c>
      <c r="AP24" s="376">
        <v>0.41</v>
      </c>
      <c r="AQ24" s="377">
        <v>0</v>
      </c>
      <c r="AR24" s="376">
        <v>0</v>
      </c>
      <c r="AS24" s="377">
        <v>0</v>
      </c>
      <c r="AT24" s="376">
        <v>2.84</v>
      </c>
      <c r="AU24" s="377">
        <v>0</v>
      </c>
    </row>
    <row r="25" spans="1:47" ht="16.5" customHeight="1">
      <c r="A25" s="362"/>
      <c r="B25" s="423">
        <v>13</v>
      </c>
      <c r="C25" s="424" t="s">
        <v>65</v>
      </c>
      <c r="D25" s="419" t="s">
        <v>305</v>
      </c>
      <c r="E25" s="375">
        <v>56007</v>
      </c>
      <c r="F25" s="375">
        <v>5.76</v>
      </c>
      <c r="G25" s="371">
        <v>5.74</v>
      </c>
      <c r="H25" s="376">
        <v>59.75</v>
      </c>
      <c r="I25" s="377">
        <v>6.4</v>
      </c>
      <c r="J25" s="376">
        <v>48.77</v>
      </c>
      <c r="K25" s="377">
        <v>5.14</v>
      </c>
      <c r="L25" s="376">
        <v>87.13</v>
      </c>
      <c r="M25" s="377">
        <v>11.700000000000001</v>
      </c>
      <c r="N25" s="376">
        <v>71.3</v>
      </c>
      <c r="O25" s="377">
        <v>10.199999999999999</v>
      </c>
      <c r="P25" s="376">
        <v>101.6</v>
      </c>
      <c r="Q25" s="377">
        <v>20.6</v>
      </c>
      <c r="R25" s="376">
        <v>45.21</v>
      </c>
      <c r="S25" s="377">
        <v>1.06</v>
      </c>
      <c r="T25" s="376">
        <v>25.3</v>
      </c>
      <c r="U25" s="377">
        <v>11.08</v>
      </c>
      <c r="V25" s="376">
        <v>14.802999999999999</v>
      </c>
      <c r="W25" s="377">
        <v>6.2029999999999994</v>
      </c>
      <c r="X25" s="376">
        <v>4.7</v>
      </c>
      <c r="Y25" s="377">
        <v>0</v>
      </c>
      <c r="Z25" s="376">
        <v>1.54</v>
      </c>
      <c r="AA25" s="377">
        <v>0</v>
      </c>
      <c r="AB25" s="376">
        <v>1.54</v>
      </c>
      <c r="AC25" s="377">
        <v>0</v>
      </c>
      <c r="AD25" s="372">
        <v>0</v>
      </c>
      <c r="AE25" s="373">
        <v>0</v>
      </c>
      <c r="AF25" s="376">
        <v>0.7</v>
      </c>
      <c r="AG25" s="377">
        <v>0</v>
      </c>
      <c r="AH25" s="376">
        <v>0.26</v>
      </c>
      <c r="AI25" s="377">
        <v>0</v>
      </c>
      <c r="AJ25" s="376">
        <v>0.03</v>
      </c>
      <c r="AK25" s="377">
        <v>0</v>
      </c>
      <c r="AL25" s="376">
        <v>0.41</v>
      </c>
      <c r="AM25" s="377">
        <v>0</v>
      </c>
      <c r="AN25" s="376">
        <v>0.06</v>
      </c>
      <c r="AO25" s="377">
        <v>0</v>
      </c>
      <c r="AP25" s="376">
        <v>0.03</v>
      </c>
      <c r="AQ25" s="377">
        <v>0</v>
      </c>
      <c r="AR25" s="376">
        <v>0</v>
      </c>
      <c r="AS25" s="377">
        <v>0</v>
      </c>
      <c r="AT25" s="376">
        <v>0.04</v>
      </c>
      <c r="AU25" s="377">
        <v>0</v>
      </c>
    </row>
    <row r="26" spans="1:47" ht="16.5" customHeight="1">
      <c r="A26" s="362"/>
      <c r="B26" s="414"/>
      <c r="C26" s="415"/>
      <c r="D26" s="419" t="s">
        <v>123</v>
      </c>
      <c r="E26" s="375">
        <v>69453</v>
      </c>
      <c r="F26" s="375">
        <v>4.28</v>
      </c>
      <c r="G26" s="371" t="s">
        <v>46</v>
      </c>
      <c r="H26" s="376">
        <v>74.88</v>
      </c>
      <c r="I26" s="377">
        <v>11.34</v>
      </c>
      <c r="J26" s="376">
        <v>42.62</v>
      </c>
      <c r="K26" s="377">
        <v>20.14</v>
      </c>
      <c r="L26" s="376">
        <v>43.300000000000004</v>
      </c>
      <c r="M26" s="377">
        <v>11.52</v>
      </c>
      <c r="N26" s="376">
        <v>45.4</v>
      </c>
      <c r="O26" s="377">
        <v>31.433333333333334</v>
      </c>
      <c r="P26" s="376">
        <v>43.196666666666665</v>
      </c>
      <c r="Q26" s="377">
        <v>58.426666666666669</v>
      </c>
      <c r="R26" s="376">
        <v>4.3</v>
      </c>
      <c r="S26" s="377">
        <v>22.466666666666669</v>
      </c>
      <c r="T26" s="376">
        <v>9.4666666666666668</v>
      </c>
      <c r="U26" s="377">
        <v>27.123333333333335</v>
      </c>
      <c r="V26" s="376">
        <v>19.279666666666667</v>
      </c>
      <c r="W26" s="377">
        <v>9.5419999999999998</v>
      </c>
      <c r="X26" s="376">
        <v>8.4499999999999993</v>
      </c>
      <c r="Y26" s="377">
        <v>0</v>
      </c>
      <c r="Z26" s="376">
        <v>0.33</v>
      </c>
      <c r="AA26" s="377">
        <v>0</v>
      </c>
      <c r="AB26" s="376">
        <v>0.33</v>
      </c>
      <c r="AC26" s="377">
        <v>0</v>
      </c>
      <c r="AD26" s="372">
        <v>0</v>
      </c>
      <c r="AE26" s="373">
        <v>0</v>
      </c>
      <c r="AF26" s="376">
        <v>0.28000000000000003</v>
      </c>
      <c r="AG26" s="377">
        <v>0</v>
      </c>
      <c r="AH26" s="376">
        <v>0</v>
      </c>
      <c r="AI26" s="377">
        <v>0</v>
      </c>
      <c r="AJ26" s="376">
        <v>0</v>
      </c>
      <c r="AK26" s="377">
        <v>0</v>
      </c>
      <c r="AL26" s="376">
        <v>0</v>
      </c>
      <c r="AM26" s="377">
        <v>0</v>
      </c>
      <c r="AN26" s="376">
        <v>0</v>
      </c>
      <c r="AO26" s="377">
        <v>0</v>
      </c>
      <c r="AP26" s="376">
        <v>0</v>
      </c>
      <c r="AQ26" s="377">
        <v>0</v>
      </c>
      <c r="AR26" s="376">
        <v>0</v>
      </c>
      <c r="AS26" s="377">
        <v>0</v>
      </c>
      <c r="AT26" s="376">
        <v>0.05</v>
      </c>
      <c r="AU26" s="377">
        <v>0</v>
      </c>
    </row>
    <row r="27" spans="1:47" ht="16.5" customHeight="1">
      <c r="A27" s="362"/>
      <c r="B27" s="414"/>
      <c r="C27" s="415"/>
      <c r="D27" s="420" t="s">
        <v>316</v>
      </c>
      <c r="E27" s="381"/>
      <c r="F27" s="381">
        <v>4.5253696701934034</v>
      </c>
      <c r="G27" s="421" t="s">
        <v>46</v>
      </c>
      <c r="H27" s="382">
        <v>68.125768292682935</v>
      </c>
      <c r="I27" s="383"/>
      <c r="J27" s="382">
        <v>45.36544117647059</v>
      </c>
      <c r="K27" s="383"/>
      <c r="L27" s="382">
        <v>62.866290530846491</v>
      </c>
      <c r="M27" s="383"/>
      <c r="N27" s="382">
        <v>56.96210186513629</v>
      </c>
      <c r="O27" s="383"/>
      <c r="P27" s="382">
        <v>69.268685557149681</v>
      </c>
      <c r="Q27" s="383"/>
      <c r="R27" s="382">
        <v>22.562763988522239</v>
      </c>
      <c r="S27" s="383"/>
      <c r="T27" s="382">
        <v>16.534875657580105</v>
      </c>
      <c r="U27" s="383"/>
      <c r="V27" s="382">
        <v>17.281223577235775</v>
      </c>
      <c r="W27" s="383"/>
      <c r="X27" s="382">
        <v>6.7759505021520807</v>
      </c>
      <c r="Y27" s="383"/>
      <c r="Z27" s="382">
        <v>0.87015997130559541</v>
      </c>
      <c r="AA27" s="383"/>
      <c r="AB27" s="382">
        <v>0.87015997130559541</v>
      </c>
      <c r="AC27" s="383"/>
      <c r="AD27" s="382">
        <v>0</v>
      </c>
      <c r="AE27" s="422"/>
      <c r="AF27" s="382">
        <v>0.4674935437589669</v>
      </c>
      <c r="AG27" s="383"/>
      <c r="AH27" s="382">
        <v>0.11606743185078909</v>
      </c>
      <c r="AI27" s="383"/>
      <c r="AJ27" s="382">
        <v>1.3392395982783358E-2</v>
      </c>
      <c r="AK27" s="383"/>
      <c r="AL27" s="382">
        <v>0.18302941176470588</v>
      </c>
      <c r="AM27" s="383"/>
      <c r="AN27" s="382">
        <v>2.6784791965566716E-2</v>
      </c>
      <c r="AO27" s="383"/>
      <c r="AP27" s="382">
        <v>1.3392395982783358E-2</v>
      </c>
      <c r="AQ27" s="383"/>
      <c r="AR27" s="382">
        <v>0</v>
      </c>
      <c r="AS27" s="383"/>
      <c r="AT27" s="382">
        <v>4.5535868005738882E-2</v>
      </c>
      <c r="AU27" s="383"/>
    </row>
    <row r="28" spans="1:47" ht="16.5" customHeight="1">
      <c r="A28" s="362"/>
      <c r="B28" s="417">
        <v>14</v>
      </c>
      <c r="C28" s="418" t="s">
        <v>67</v>
      </c>
      <c r="D28" s="419" t="s">
        <v>192</v>
      </c>
      <c r="E28" s="375">
        <v>131768</v>
      </c>
      <c r="F28" s="375">
        <v>3.33</v>
      </c>
      <c r="G28" s="371" t="s">
        <v>46</v>
      </c>
      <c r="H28" s="376">
        <v>94.45</v>
      </c>
      <c r="I28" s="377">
        <v>0.28000000000000003</v>
      </c>
      <c r="J28" s="376">
        <v>77.599999999999994</v>
      </c>
      <c r="K28" s="377">
        <v>0.71</v>
      </c>
      <c r="L28" s="376">
        <v>41.3</v>
      </c>
      <c r="M28" s="377">
        <v>1</v>
      </c>
      <c r="N28" s="376">
        <v>40.9</v>
      </c>
      <c r="O28" s="377">
        <v>0.4</v>
      </c>
      <c r="P28" s="376">
        <v>106.61</v>
      </c>
      <c r="Q28" s="377">
        <v>0.68</v>
      </c>
      <c r="R28" s="376">
        <v>66.5</v>
      </c>
      <c r="S28" s="377">
        <v>0.4</v>
      </c>
      <c r="T28" s="376">
        <v>29.97</v>
      </c>
      <c r="U28" s="377">
        <v>0.68</v>
      </c>
      <c r="V28" s="376">
        <v>23.17</v>
      </c>
      <c r="W28" s="377">
        <v>0.74</v>
      </c>
      <c r="X28" s="376">
        <v>20.65</v>
      </c>
      <c r="Y28" s="377">
        <v>0</v>
      </c>
      <c r="Z28" s="376">
        <v>37.1</v>
      </c>
      <c r="AA28" s="377">
        <v>0</v>
      </c>
      <c r="AB28" s="376">
        <v>37.1</v>
      </c>
      <c r="AC28" s="377">
        <v>0</v>
      </c>
      <c r="AD28" s="372">
        <v>0</v>
      </c>
      <c r="AE28" s="373">
        <v>0</v>
      </c>
      <c r="AF28" s="376">
        <v>34.700000000000003</v>
      </c>
      <c r="AG28" s="377">
        <v>0</v>
      </c>
      <c r="AH28" s="376">
        <v>1.06</v>
      </c>
      <c r="AI28" s="377">
        <v>0</v>
      </c>
      <c r="AJ28" s="376">
        <v>0</v>
      </c>
      <c r="AK28" s="377">
        <v>0</v>
      </c>
      <c r="AL28" s="376">
        <v>0.73</v>
      </c>
      <c r="AM28" s="377">
        <v>0</v>
      </c>
      <c r="AN28" s="376">
        <v>0.21</v>
      </c>
      <c r="AO28" s="377">
        <v>0</v>
      </c>
      <c r="AP28" s="376">
        <v>0.18</v>
      </c>
      <c r="AQ28" s="377">
        <v>0</v>
      </c>
      <c r="AR28" s="376">
        <v>0</v>
      </c>
      <c r="AS28" s="377">
        <v>0</v>
      </c>
      <c r="AT28" s="376">
        <v>0.17</v>
      </c>
      <c r="AU28" s="377">
        <v>0</v>
      </c>
    </row>
    <row r="29" spans="1:47" ht="16.5" customHeight="1">
      <c r="A29" s="362"/>
      <c r="B29" s="417">
        <v>15</v>
      </c>
      <c r="C29" s="418" t="s">
        <v>69</v>
      </c>
      <c r="D29" s="419" t="s">
        <v>141</v>
      </c>
      <c r="E29" s="375">
        <v>43070</v>
      </c>
      <c r="F29" s="375">
        <v>5.43</v>
      </c>
      <c r="G29" s="371">
        <v>0.92600000000000005</v>
      </c>
      <c r="H29" s="376">
        <v>40.130000000000003</v>
      </c>
      <c r="I29" s="377">
        <v>0.74</v>
      </c>
      <c r="J29" s="376">
        <v>33.880000000000003</v>
      </c>
      <c r="K29" s="377">
        <v>0.67</v>
      </c>
      <c r="L29" s="376">
        <v>48.2</v>
      </c>
      <c r="M29" s="377">
        <v>1.6</v>
      </c>
      <c r="N29" s="376">
        <v>41.3</v>
      </c>
      <c r="O29" s="377">
        <v>1.6</v>
      </c>
      <c r="P29" s="376">
        <v>86.75</v>
      </c>
      <c r="Q29" s="377">
        <v>3.46</v>
      </c>
      <c r="R29" s="376">
        <v>2.7</v>
      </c>
      <c r="S29" s="377">
        <v>0.1</v>
      </c>
      <c r="T29" s="376">
        <v>19.399999999999999</v>
      </c>
      <c r="U29" s="377">
        <v>0.28000000000000003</v>
      </c>
      <c r="V29" s="376">
        <v>24.17</v>
      </c>
      <c r="W29" s="377">
        <v>0.26</v>
      </c>
      <c r="X29" s="376">
        <v>2.2000000000000002</v>
      </c>
      <c r="Y29" s="377">
        <v>0</v>
      </c>
      <c r="Z29" s="376">
        <v>0.27</v>
      </c>
      <c r="AA29" s="377">
        <v>0</v>
      </c>
      <c r="AB29" s="376">
        <v>0.27</v>
      </c>
      <c r="AC29" s="377">
        <v>0</v>
      </c>
      <c r="AD29" s="372">
        <v>0</v>
      </c>
      <c r="AE29" s="373">
        <v>0</v>
      </c>
      <c r="AF29" s="376">
        <v>0.06</v>
      </c>
      <c r="AG29" s="377">
        <v>0</v>
      </c>
      <c r="AH29" s="376">
        <v>0</v>
      </c>
      <c r="AI29" s="377">
        <v>0</v>
      </c>
      <c r="AJ29" s="376">
        <v>0.03</v>
      </c>
      <c r="AK29" s="377">
        <v>0</v>
      </c>
      <c r="AL29" s="376">
        <v>0.05</v>
      </c>
      <c r="AM29" s="377">
        <v>0</v>
      </c>
      <c r="AN29" s="376">
        <v>0.05</v>
      </c>
      <c r="AO29" s="377">
        <v>0</v>
      </c>
      <c r="AP29" s="376">
        <v>0.06</v>
      </c>
      <c r="AQ29" s="377">
        <v>0</v>
      </c>
      <c r="AR29" s="376">
        <v>0</v>
      </c>
      <c r="AS29" s="377">
        <v>0</v>
      </c>
      <c r="AT29" s="376">
        <v>0.04</v>
      </c>
      <c r="AU29" s="377">
        <v>0</v>
      </c>
    </row>
    <row r="30" spans="1:47" ht="16.5" customHeight="1">
      <c r="A30" s="362"/>
      <c r="B30" s="417">
        <v>16</v>
      </c>
      <c r="C30" s="418" t="s">
        <v>70</v>
      </c>
      <c r="D30" s="419" t="s">
        <v>196</v>
      </c>
      <c r="E30" s="375">
        <v>36865</v>
      </c>
      <c r="F30" s="375">
        <v>5.77</v>
      </c>
      <c r="G30" s="371">
        <v>0.127</v>
      </c>
      <c r="H30" s="376">
        <v>27.43</v>
      </c>
      <c r="I30" s="377">
        <v>2.37</v>
      </c>
      <c r="J30" s="376">
        <v>24.8</v>
      </c>
      <c r="K30" s="377">
        <v>2.0499999999999998</v>
      </c>
      <c r="L30" s="376">
        <v>26.5</v>
      </c>
      <c r="M30" s="377">
        <v>0.3</v>
      </c>
      <c r="N30" s="376">
        <v>25.2</v>
      </c>
      <c r="O30" s="377">
        <v>0.9</v>
      </c>
      <c r="P30" s="376">
        <v>27.98</v>
      </c>
      <c r="Q30" s="377">
        <v>0.53</v>
      </c>
      <c r="R30" s="376">
        <v>1.7</v>
      </c>
      <c r="S30" s="377">
        <v>0</v>
      </c>
      <c r="T30" s="376">
        <v>28.5</v>
      </c>
      <c r="U30" s="377">
        <v>3.5</v>
      </c>
      <c r="V30" s="376">
        <v>12.08</v>
      </c>
      <c r="W30" s="377">
        <v>0.37</v>
      </c>
      <c r="X30" s="376">
        <v>5.15</v>
      </c>
      <c r="Y30" s="377">
        <v>0</v>
      </c>
      <c r="Z30" s="376">
        <v>0.37</v>
      </c>
      <c r="AA30" s="377">
        <v>0</v>
      </c>
      <c r="AB30" s="376">
        <v>0.37</v>
      </c>
      <c r="AC30" s="377">
        <v>0</v>
      </c>
      <c r="AD30" s="372">
        <v>0</v>
      </c>
      <c r="AE30" s="373">
        <v>0</v>
      </c>
      <c r="AF30" s="376">
        <v>0.16</v>
      </c>
      <c r="AG30" s="377">
        <v>0</v>
      </c>
      <c r="AH30" s="376">
        <v>0.13</v>
      </c>
      <c r="AI30" s="377">
        <v>0</v>
      </c>
      <c r="AJ30" s="376">
        <v>0</v>
      </c>
      <c r="AK30" s="377">
        <v>0</v>
      </c>
      <c r="AL30" s="376">
        <v>0.05</v>
      </c>
      <c r="AM30" s="377">
        <v>0</v>
      </c>
      <c r="AN30" s="376">
        <v>0</v>
      </c>
      <c r="AO30" s="377">
        <v>0</v>
      </c>
      <c r="AP30" s="376">
        <v>0.02</v>
      </c>
      <c r="AQ30" s="377">
        <v>0</v>
      </c>
      <c r="AR30" s="376">
        <v>0</v>
      </c>
      <c r="AS30" s="377">
        <v>0</v>
      </c>
      <c r="AT30" s="376">
        <v>0</v>
      </c>
      <c r="AU30" s="377">
        <v>0</v>
      </c>
    </row>
    <row r="31" spans="1:47" ht="16.5" customHeight="1">
      <c r="A31" s="362"/>
      <c r="B31" s="417">
        <v>17</v>
      </c>
      <c r="C31" s="418" t="s">
        <v>72</v>
      </c>
      <c r="D31" s="419" t="s">
        <v>201</v>
      </c>
      <c r="E31" s="375">
        <v>25915</v>
      </c>
      <c r="F31" s="375">
        <v>6.92</v>
      </c>
      <c r="G31" s="371">
        <v>5.97</v>
      </c>
      <c r="H31" s="376">
        <v>38.32</v>
      </c>
      <c r="I31" s="377">
        <v>0.88</v>
      </c>
      <c r="J31" s="376">
        <v>27.57</v>
      </c>
      <c r="K31" s="377">
        <v>0.67</v>
      </c>
      <c r="L31" s="376">
        <v>33.299999999999997</v>
      </c>
      <c r="M31" s="377">
        <v>0.4</v>
      </c>
      <c r="N31" s="376">
        <v>27</v>
      </c>
      <c r="O31" s="377">
        <v>0.6</v>
      </c>
      <c r="P31" s="376">
        <v>56.54</v>
      </c>
      <c r="Q31" s="377">
        <v>1.1200000000000001</v>
      </c>
      <c r="R31" s="376">
        <v>2.4</v>
      </c>
      <c r="S31" s="377">
        <v>0</v>
      </c>
      <c r="T31" s="376">
        <v>9.57</v>
      </c>
      <c r="U31" s="377">
        <v>1.51</v>
      </c>
      <c r="V31" s="376">
        <v>11.95</v>
      </c>
      <c r="W31" s="377">
        <v>0.47</v>
      </c>
      <c r="X31" s="376">
        <v>4.5999999999999996</v>
      </c>
      <c r="Y31" s="377">
        <v>0</v>
      </c>
      <c r="Z31" s="376">
        <v>1.96</v>
      </c>
      <c r="AA31" s="377">
        <v>0</v>
      </c>
      <c r="AB31" s="376">
        <v>1.96</v>
      </c>
      <c r="AC31" s="377">
        <v>0</v>
      </c>
      <c r="AD31" s="372">
        <v>0</v>
      </c>
      <c r="AE31" s="373">
        <v>0</v>
      </c>
      <c r="AF31" s="376">
        <v>0.89</v>
      </c>
      <c r="AG31" s="377">
        <v>0</v>
      </c>
      <c r="AH31" s="376">
        <v>0.37</v>
      </c>
      <c r="AI31" s="377">
        <v>0</v>
      </c>
      <c r="AJ31" s="376">
        <v>0.08</v>
      </c>
      <c r="AK31" s="377">
        <v>0</v>
      </c>
      <c r="AL31" s="376">
        <v>0.32</v>
      </c>
      <c r="AM31" s="377">
        <v>0</v>
      </c>
      <c r="AN31" s="376">
        <v>0.11</v>
      </c>
      <c r="AO31" s="377">
        <v>0</v>
      </c>
      <c r="AP31" s="376">
        <v>0.08</v>
      </c>
      <c r="AQ31" s="377">
        <v>0</v>
      </c>
      <c r="AR31" s="376">
        <v>0</v>
      </c>
      <c r="AS31" s="377">
        <v>0</v>
      </c>
      <c r="AT31" s="376">
        <v>0.11</v>
      </c>
      <c r="AU31" s="377">
        <v>0</v>
      </c>
    </row>
    <row r="32" spans="1:47" ht="16.5" customHeight="1">
      <c r="A32" s="362"/>
      <c r="B32" s="417">
        <v>18</v>
      </c>
      <c r="C32" s="418" t="s">
        <v>73</v>
      </c>
      <c r="D32" s="419" t="s">
        <v>196</v>
      </c>
      <c r="E32" s="375">
        <v>47085</v>
      </c>
      <c r="F32" s="375">
        <v>5.58</v>
      </c>
      <c r="G32" s="371">
        <v>1.0332999999999999</v>
      </c>
      <c r="H32" s="376">
        <v>34.450000000000003</v>
      </c>
      <c r="I32" s="377">
        <v>0.49</v>
      </c>
      <c r="J32" s="376">
        <v>27.95</v>
      </c>
      <c r="K32" s="377">
        <v>0.42</v>
      </c>
      <c r="L32" s="376">
        <v>22.5</v>
      </c>
      <c r="M32" s="377">
        <v>0.45</v>
      </c>
      <c r="N32" s="376">
        <v>18.8</v>
      </c>
      <c r="O32" s="377">
        <v>0.35</v>
      </c>
      <c r="P32" s="376">
        <v>37.9</v>
      </c>
      <c r="Q32" s="377">
        <v>0.61</v>
      </c>
      <c r="R32" s="376">
        <v>1.1000000000000001</v>
      </c>
      <c r="S32" s="377">
        <v>0</v>
      </c>
      <c r="T32" s="376">
        <v>15.8</v>
      </c>
      <c r="U32" s="377">
        <v>2.79</v>
      </c>
      <c r="V32" s="376">
        <v>11.96</v>
      </c>
      <c r="W32" s="377">
        <v>0.67</v>
      </c>
      <c r="X32" s="376">
        <v>3.35</v>
      </c>
      <c r="Y32" s="377">
        <v>0</v>
      </c>
      <c r="Z32" s="376">
        <v>0.45</v>
      </c>
      <c r="AA32" s="377">
        <v>0</v>
      </c>
      <c r="AB32" s="376">
        <v>0.45</v>
      </c>
      <c r="AC32" s="377">
        <v>0</v>
      </c>
      <c r="AD32" s="372">
        <v>0</v>
      </c>
      <c r="AE32" s="373">
        <v>0</v>
      </c>
      <c r="AF32" s="376">
        <v>0.21</v>
      </c>
      <c r="AG32" s="377">
        <v>0</v>
      </c>
      <c r="AH32" s="376">
        <v>0.13</v>
      </c>
      <c r="AI32" s="377">
        <v>0</v>
      </c>
      <c r="AJ32" s="376">
        <v>0</v>
      </c>
      <c r="AK32" s="377">
        <v>0</v>
      </c>
      <c r="AL32" s="376">
        <v>0.06</v>
      </c>
      <c r="AM32" s="377">
        <v>0</v>
      </c>
      <c r="AN32" s="376">
        <v>0.02</v>
      </c>
      <c r="AO32" s="377">
        <v>0</v>
      </c>
      <c r="AP32" s="376">
        <v>0.03</v>
      </c>
      <c r="AQ32" s="377">
        <v>0</v>
      </c>
      <c r="AR32" s="376">
        <v>0</v>
      </c>
      <c r="AS32" s="377">
        <v>0</v>
      </c>
      <c r="AT32" s="376">
        <v>0</v>
      </c>
      <c r="AU32" s="377">
        <v>0</v>
      </c>
    </row>
    <row r="33" spans="1:47" ht="16.5" customHeight="1">
      <c r="A33" s="362"/>
      <c r="B33" s="414"/>
      <c r="C33" s="415"/>
      <c r="D33" s="419" t="s">
        <v>317</v>
      </c>
      <c r="E33" s="375">
        <v>15148</v>
      </c>
      <c r="F33" s="375">
        <v>7.06</v>
      </c>
      <c r="G33" s="371">
        <v>0.76329999999999998</v>
      </c>
      <c r="H33" s="376">
        <v>14.95</v>
      </c>
      <c r="I33" s="377">
        <v>0.35</v>
      </c>
      <c r="J33" s="376">
        <v>10.63</v>
      </c>
      <c r="K33" s="377">
        <v>0.39</v>
      </c>
      <c r="L33" s="376">
        <v>11.6</v>
      </c>
      <c r="M33" s="377">
        <v>0.6</v>
      </c>
      <c r="N33" s="376">
        <v>10.6</v>
      </c>
      <c r="O33" s="377">
        <v>0.3</v>
      </c>
      <c r="P33" s="376">
        <v>6.93</v>
      </c>
      <c r="Q33" s="377">
        <v>0.15</v>
      </c>
      <c r="R33" s="376">
        <v>0.1</v>
      </c>
      <c r="S33" s="377">
        <v>0</v>
      </c>
      <c r="T33" s="376">
        <v>4.32</v>
      </c>
      <c r="U33" s="377">
        <v>0.2</v>
      </c>
      <c r="V33" s="376">
        <v>6.33</v>
      </c>
      <c r="W33" s="377">
        <v>0.28999999999999998</v>
      </c>
      <c r="X33" s="376">
        <v>1.75</v>
      </c>
      <c r="Y33" s="377">
        <v>0</v>
      </c>
      <c r="Z33" s="372">
        <v>0</v>
      </c>
      <c r="AA33" s="373">
        <v>0</v>
      </c>
      <c r="AB33" s="372">
        <v>0</v>
      </c>
      <c r="AC33" s="373">
        <v>0</v>
      </c>
      <c r="AD33" s="372">
        <v>0</v>
      </c>
      <c r="AE33" s="373">
        <v>0</v>
      </c>
      <c r="AF33" s="372">
        <v>0</v>
      </c>
      <c r="AG33" s="373">
        <v>0</v>
      </c>
      <c r="AH33" s="372">
        <v>0</v>
      </c>
      <c r="AI33" s="373">
        <v>0</v>
      </c>
      <c r="AJ33" s="372">
        <v>0</v>
      </c>
      <c r="AK33" s="373">
        <v>0</v>
      </c>
      <c r="AL33" s="372">
        <v>0</v>
      </c>
      <c r="AM33" s="373">
        <v>0</v>
      </c>
      <c r="AN33" s="372">
        <v>0</v>
      </c>
      <c r="AO33" s="373">
        <v>0</v>
      </c>
      <c r="AP33" s="372">
        <v>0</v>
      </c>
      <c r="AQ33" s="373">
        <v>0</v>
      </c>
      <c r="AR33" s="372">
        <v>0</v>
      </c>
      <c r="AS33" s="373">
        <v>0</v>
      </c>
      <c r="AT33" s="372">
        <v>0</v>
      </c>
      <c r="AU33" s="373">
        <v>0</v>
      </c>
    </row>
    <row r="34" spans="1:47" ht="16.5" customHeight="1">
      <c r="A34" s="362"/>
      <c r="B34" s="414"/>
      <c r="C34" s="415"/>
      <c r="D34" s="419" t="s">
        <v>318</v>
      </c>
      <c r="E34" s="375">
        <v>7264</v>
      </c>
      <c r="F34" s="375">
        <v>8.26</v>
      </c>
      <c r="G34" s="371">
        <v>4.3333000000000004</v>
      </c>
      <c r="H34" s="376">
        <v>23.25</v>
      </c>
      <c r="I34" s="377">
        <v>2.5499999999999998</v>
      </c>
      <c r="J34" s="376">
        <v>14.15</v>
      </c>
      <c r="K34" s="377">
        <v>2.62</v>
      </c>
      <c r="L34" s="376">
        <v>13.4</v>
      </c>
      <c r="M34" s="377">
        <v>0.6</v>
      </c>
      <c r="N34" s="376">
        <v>11.7</v>
      </c>
      <c r="O34" s="377">
        <v>1.3</v>
      </c>
      <c r="P34" s="376">
        <v>24.24</v>
      </c>
      <c r="Q34" s="377">
        <v>3.28</v>
      </c>
      <c r="R34" s="376">
        <v>1.3</v>
      </c>
      <c r="S34" s="377">
        <v>0.2</v>
      </c>
      <c r="T34" s="376">
        <v>2.2200000000000002</v>
      </c>
      <c r="U34" s="377">
        <v>0.01</v>
      </c>
      <c r="V34" s="376">
        <v>10.39</v>
      </c>
      <c r="W34" s="377">
        <v>0.34</v>
      </c>
      <c r="X34" s="376">
        <v>2.4500000000000002</v>
      </c>
      <c r="Y34" s="377">
        <v>0</v>
      </c>
      <c r="Z34" s="376">
        <v>0.09</v>
      </c>
      <c r="AA34" s="377">
        <v>0</v>
      </c>
      <c r="AB34" s="376">
        <v>0.09</v>
      </c>
      <c r="AC34" s="377">
        <v>0</v>
      </c>
      <c r="AD34" s="372">
        <v>0</v>
      </c>
      <c r="AE34" s="373">
        <v>0</v>
      </c>
      <c r="AF34" s="376">
        <v>7.0000000000000007E-2</v>
      </c>
      <c r="AG34" s="377">
        <v>0</v>
      </c>
      <c r="AH34" s="376">
        <v>0</v>
      </c>
      <c r="AI34" s="377">
        <v>0</v>
      </c>
      <c r="AJ34" s="376">
        <v>0</v>
      </c>
      <c r="AK34" s="377">
        <v>0</v>
      </c>
      <c r="AL34" s="376">
        <v>0</v>
      </c>
      <c r="AM34" s="377">
        <v>0</v>
      </c>
      <c r="AN34" s="376">
        <v>0.02</v>
      </c>
      <c r="AO34" s="377">
        <v>0</v>
      </c>
      <c r="AP34" s="376">
        <v>0</v>
      </c>
      <c r="AQ34" s="377">
        <v>0</v>
      </c>
      <c r="AR34" s="376">
        <v>0</v>
      </c>
      <c r="AS34" s="377">
        <v>0</v>
      </c>
      <c r="AT34" s="376">
        <v>0</v>
      </c>
      <c r="AU34" s="377">
        <v>0</v>
      </c>
    </row>
    <row r="35" spans="1:47" ht="16.5" customHeight="1">
      <c r="A35" s="362"/>
      <c r="B35" s="414"/>
      <c r="C35" s="415"/>
      <c r="D35" s="420" t="s">
        <v>319</v>
      </c>
      <c r="E35" s="381"/>
      <c r="F35" s="381">
        <v>5.7443429189234312</v>
      </c>
      <c r="G35" s="382">
        <v>1.319373355684418</v>
      </c>
      <c r="H35" s="382">
        <v>29.029006288041213</v>
      </c>
      <c r="I35" s="383"/>
      <c r="J35" s="382">
        <v>22.732414204929711</v>
      </c>
      <c r="K35" s="383"/>
      <c r="L35" s="382">
        <v>19.173013223592388</v>
      </c>
      <c r="M35" s="383"/>
      <c r="N35" s="382">
        <v>16.270567074837764</v>
      </c>
      <c r="O35" s="383"/>
      <c r="P35" s="382">
        <v>29.721808135602977</v>
      </c>
      <c r="Q35" s="383"/>
      <c r="R35" s="382">
        <v>0.90293825632761149</v>
      </c>
      <c r="S35" s="383"/>
      <c r="T35" s="382">
        <v>11.878332014331553</v>
      </c>
      <c r="U35" s="383"/>
      <c r="V35" s="382">
        <v>10.568749730204182</v>
      </c>
      <c r="W35" s="383"/>
      <c r="X35" s="382">
        <v>2.9071837633279132</v>
      </c>
      <c r="Y35" s="383"/>
      <c r="Z35" s="382">
        <v>0.31428709152913076</v>
      </c>
      <c r="AA35" s="383"/>
      <c r="AB35" s="382">
        <v>0.31428709152913076</v>
      </c>
      <c r="AC35" s="383"/>
      <c r="AD35" s="382">
        <v>0</v>
      </c>
      <c r="AE35" s="422"/>
      <c r="AF35" s="382">
        <v>0.14959393930673268</v>
      </c>
      <c r="AG35" s="383"/>
      <c r="AH35" s="382">
        <v>8.8076463732247437E-2</v>
      </c>
      <c r="AI35" s="383"/>
      <c r="AJ35" s="382">
        <v>0</v>
      </c>
      <c r="AK35" s="383"/>
      <c r="AL35" s="382">
        <v>4.0650675568729581E-2</v>
      </c>
      <c r="AM35" s="383"/>
      <c r="AN35" s="382">
        <v>1.5640675137056276E-2</v>
      </c>
      <c r="AO35" s="383"/>
      <c r="AP35" s="382">
        <v>2.0325337784364791E-2</v>
      </c>
      <c r="AQ35" s="383"/>
      <c r="AR35" s="382">
        <v>0</v>
      </c>
      <c r="AS35" s="383"/>
      <c r="AT35" s="382">
        <v>0</v>
      </c>
      <c r="AU35" s="383"/>
    </row>
    <row r="36" spans="1:47" ht="16.5" customHeight="1">
      <c r="A36" s="362"/>
      <c r="B36" s="417">
        <v>19</v>
      </c>
      <c r="C36" s="418" t="s">
        <v>74</v>
      </c>
      <c r="D36" s="419" t="s">
        <v>123</v>
      </c>
      <c r="E36" s="375">
        <v>21295</v>
      </c>
      <c r="F36" s="375" t="s">
        <v>46</v>
      </c>
      <c r="G36" s="371" t="s">
        <v>46</v>
      </c>
      <c r="H36" s="376" t="s">
        <v>46</v>
      </c>
      <c r="I36" s="377" t="s">
        <v>46</v>
      </c>
      <c r="J36" s="376" t="s">
        <v>46</v>
      </c>
      <c r="K36" s="377" t="s">
        <v>46</v>
      </c>
      <c r="L36" s="376" t="s">
        <v>46</v>
      </c>
      <c r="M36" s="377" t="s">
        <v>46</v>
      </c>
      <c r="N36" s="376" t="s">
        <v>46</v>
      </c>
      <c r="O36" s="377" t="s">
        <v>46</v>
      </c>
      <c r="P36" s="376" t="s">
        <v>46</v>
      </c>
      <c r="Q36" s="377" t="s">
        <v>46</v>
      </c>
      <c r="R36" s="376" t="s">
        <v>46</v>
      </c>
      <c r="S36" s="377" t="s">
        <v>46</v>
      </c>
      <c r="T36" s="376" t="s">
        <v>46</v>
      </c>
      <c r="U36" s="377" t="s">
        <v>46</v>
      </c>
      <c r="V36" s="376" t="s">
        <v>46</v>
      </c>
      <c r="W36" s="377" t="s">
        <v>46</v>
      </c>
      <c r="X36" s="376" t="s">
        <v>46</v>
      </c>
      <c r="Y36" s="377" t="s">
        <v>46</v>
      </c>
      <c r="Z36" s="376" t="s">
        <v>46</v>
      </c>
      <c r="AA36" s="377" t="s">
        <v>46</v>
      </c>
      <c r="AB36" s="376" t="s">
        <v>46</v>
      </c>
      <c r="AC36" s="377" t="s">
        <v>46</v>
      </c>
      <c r="AD36" s="372" t="s">
        <v>46</v>
      </c>
      <c r="AE36" s="373" t="s">
        <v>46</v>
      </c>
      <c r="AF36" s="376" t="s">
        <v>46</v>
      </c>
      <c r="AG36" s="377" t="s">
        <v>46</v>
      </c>
      <c r="AH36" s="376" t="s">
        <v>46</v>
      </c>
      <c r="AI36" s="377" t="s">
        <v>46</v>
      </c>
      <c r="AJ36" s="376" t="s">
        <v>46</v>
      </c>
      <c r="AK36" s="377" t="s">
        <v>46</v>
      </c>
      <c r="AL36" s="376" t="s">
        <v>46</v>
      </c>
      <c r="AM36" s="377" t="s">
        <v>46</v>
      </c>
      <c r="AN36" s="376" t="s">
        <v>46</v>
      </c>
      <c r="AO36" s="377" t="s">
        <v>46</v>
      </c>
      <c r="AP36" s="376" t="s">
        <v>46</v>
      </c>
      <c r="AQ36" s="377" t="s">
        <v>46</v>
      </c>
      <c r="AR36" s="376" t="s">
        <v>46</v>
      </c>
      <c r="AS36" s="377" t="s">
        <v>46</v>
      </c>
      <c r="AT36" s="376" t="s">
        <v>46</v>
      </c>
      <c r="AU36" s="377" t="s">
        <v>46</v>
      </c>
    </row>
    <row r="37" spans="1:47" ht="16.5" customHeight="1">
      <c r="A37" s="362"/>
      <c r="B37" s="423">
        <v>20</v>
      </c>
      <c r="C37" s="424" t="s">
        <v>76</v>
      </c>
      <c r="D37" s="419" t="s">
        <v>212</v>
      </c>
      <c r="E37" s="381">
        <v>84678</v>
      </c>
      <c r="F37" s="375" t="s">
        <v>46</v>
      </c>
      <c r="G37" s="371" t="s">
        <v>46</v>
      </c>
      <c r="H37" s="376" t="s">
        <v>46</v>
      </c>
      <c r="I37" s="377" t="s">
        <v>46</v>
      </c>
      <c r="J37" s="376" t="s">
        <v>46</v>
      </c>
      <c r="K37" s="377" t="s">
        <v>46</v>
      </c>
      <c r="L37" s="376" t="s">
        <v>46</v>
      </c>
      <c r="M37" s="377" t="s">
        <v>46</v>
      </c>
      <c r="N37" s="376" t="s">
        <v>46</v>
      </c>
      <c r="O37" s="377" t="s">
        <v>46</v>
      </c>
      <c r="P37" s="376" t="s">
        <v>46</v>
      </c>
      <c r="Q37" s="377" t="s">
        <v>46</v>
      </c>
      <c r="R37" s="376" t="s">
        <v>46</v>
      </c>
      <c r="S37" s="377" t="s">
        <v>46</v>
      </c>
      <c r="T37" s="376" t="s">
        <v>46</v>
      </c>
      <c r="U37" s="377" t="s">
        <v>46</v>
      </c>
      <c r="V37" s="376" t="s">
        <v>46</v>
      </c>
      <c r="W37" s="377" t="s">
        <v>46</v>
      </c>
      <c r="X37" s="376" t="s">
        <v>46</v>
      </c>
      <c r="Y37" s="377" t="s">
        <v>46</v>
      </c>
      <c r="Z37" s="376" t="s">
        <v>46</v>
      </c>
      <c r="AA37" s="377" t="s">
        <v>46</v>
      </c>
      <c r="AB37" s="376" t="s">
        <v>46</v>
      </c>
      <c r="AC37" s="377" t="s">
        <v>46</v>
      </c>
      <c r="AD37" s="372" t="s">
        <v>46</v>
      </c>
      <c r="AE37" s="373" t="s">
        <v>46</v>
      </c>
      <c r="AF37" s="376" t="s">
        <v>46</v>
      </c>
      <c r="AG37" s="377" t="s">
        <v>46</v>
      </c>
      <c r="AH37" s="376" t="s">
        <v>46</v>
      </c>
      <c r="AI37" s="377" t="s">
        <v>46</v>
      </c>
      <c r="AJ37" s="376" t="s">
        <v>46</v>
      </c>
      <c r="AK37" s="377" t="s">
        <v>46</v>
      </c>
      <c r="AL37" s="376" t="s">
        <v>46</v>
      </c>
      <c r="AM37" s="377" t="s">
        <v>46</v>
      </c>
      <c r="AN37" s="376" t="s">
        <v>46</v>
      </c>
      <c r="AO37" s="377" t="s">
        <v>46</v>
      </c>
      <c r="AP37" s="376" t="s">
        <v>46</v>
      </c>
      <c r="AQ37" s="377" t="s">
        <v>46</v>
      </c>
      <c r="AR37" s="376" t="s">
        <v>46</v>
      </c>
      <c r="AS37" s="377" t="s">
        <v>46</v>
      </c>
      <c r="AT37" s="376" t="s">
        <v>46</v>
      </c>
      <c r="AU37" s="377" t="s">
        <v>46</v>
      </c>
    </row>
    <row r="38" spans="1:47" ht="16.5" customHeight="1">
      <c r="A38" s="362"/>
      <c r="B38" s="417">
        <v>21</v>
      </c>
      <c r="C38" s="418" t="s">
        <v>77</v>
      </c>
      <c r="D38" s="419" t="s">
        <v>216</v>
      </c>
      <c r="E38" s="375">
        <v>17605</v>
      </c>
      <c r="F38" s="375">
        <v>6.27</v>
      </c>
      <c r="G38" s="371">
        <v>0.50409999999999999</v>
      </c>
      <c r="H38" s="376">
        <v>26.25</v>
      </c>
      <c r="I38" s="377">
        <v>1.34</v>
      </c>
      <c r="J38" s="376">
        <v>21.17</v>
      </c>
      <c r="K38" s="377">
        <v>1.38</v>
      </c>
      <c r="L38" s="376">
        <v>28</v>
      </c>
      <c r="M38" s="377">
        <v>8.1</v>
      </c>
      <c r="N38" s="376">
        <v>23.2</v>
      </c>
      <c r="O38" s="377">
        <v>8</v>
      </c>
      <c r="P38" s="376">
        <v>38.590000000000003</v>
      </c>
      <c r="Q38" s="377">
        <v>1.3</v>
      </c>
      <c r="R38" s="376">
        <v>0.6</v>
      </c>
      <c r="S38" s="377">
        <v>0</v>
      </c>
      <c r="T38" s="376">
        <v>7.57</v>
      </c>
      <c r="U38" s="377">
        <v>0.06</v>
      </c>
      <c r="V38" s="376">
        <v>22.66</v>
      </c>
      <c r="W38" s="377">
        <v>0.22</v>
      </c>
      <c r="X38" s="376">
        <v>2</v>
      </c>
      <c r="Y38" s="377">
        <v>0</v>
      </c>
      <c r="Z38" s="372">
        <v>0</v>
      </c>
      <c r="AA38" s="373">
        <v>0</v>
      </c>
      <c r="AB38" s="372">
        <v>0</v>
      </c>
      <c r="AC38" s="373">
        <v>0</v>
      </c>
      <c r="AD38" s="372">
        <v>0</v>
      </c>
      <c r="AE38" s="373">
        <v>0</v>
      </c>
      <c r="AF38" s="372">
        <v>0</v>
      </c>
      <c r="AG38" s="373">
        <v>0</v>
      </c>
      <c r="AH38" s="372">
        <v>0</v>
      </c>
      <c r="AI38" s="373">
        <v>0</v>
      </c>
      <c r="AJ38" s="372">
        <v>0</v>
      </c>
      <c r="AK38" s="373">
        <v>0</v>
      </c>
      <c r="AL38" s="372">
        <v>0</v>
      </c>
      <c r="AM38" s="373">
        <v>0</v>
      </c>
      <c r="AN38" s="372">
        <v>0</v>
      </c>
      <c r="AO38" s="373">
        <v>0</v>
      </c>
      <c r="AP38" s="372">
        <v>0</v>
      </c>
      <c r="AQ38" s="373">
        <v>0</v>
      </c>
      <c r="AR38" s="372">
        <v>0</v>
      </c>
      <c r="AS38" s="373">
        <v>0</v>
      </c>
      <c r="AT38" s="372">
        <v>0</v>
      </c>
      <c r="AU38" s="373">
        <v>0</v>
      </c>
    </row>
    <row r="39" spans="1:47" ht="16.5" customHeight="1">
      <c r="A39" s="362"/>
      <c r="B39" s="417">
        <v>22</v>
      </c>
      <c r="C39" s="418" t="s">
        <v>79</v>
      </c>
      <c r="D39" s="419" t="s">
        <v>163</v>
      </c>
      <c r="E39" s="375">
        <v>17134</v>
      </c>
      <c r="F39" s="375">
        <v>6.41</v>
      </c>
      <c r="G39" s="371">
        <v>3.79</v>
      </c>
      <c r="H39" s="376">
        <v>40.75</v>
      </c>
      <c r="I39" s="377">
        <v>0.35</v>
      </c>
      <c r="J39" s="376">
        <v>31.08</v>
      </c>
      <c r="K39" s="377">
        <v>0.6</v>
      </c>
      <c r="L39" s="376">
        <v>23.3</v>
      </c>
      <c r="M39" s="377">
        <v>0.5</v>
      </c>
      <c r="N39" s="376">
        <v>21.3</v>
      </c>
      <c r="O39" s="377">
        <v>0.5</v>
      </c>
      <c r="P39" s="376">
        <v>60.63</v>
      </c>
      <c r="Q39" s="377">
        <v>0.91</v>
      </c>
      <c r="R39" s="376">
        <v>29.8</v>
      </c>
      <c r="S39" s="377">
        <v>0.4</v>
      </c>
      <c r="T39" s="376">
        <v>20.03</v>
      </c>
      <c r="U39" s="377">
        <v>7.05</v>
      </c>
      <c r="V39" s="376">
        <v>13.07</v>
      </c>
      <c r="W39" s="377">
        <v>0.18</v>
      </c>
      <c r="X39" s="376">
        <v>4.3</v>
      </c>
      <c r="Y39" s="377">
        <v>0</v>
      </c>
      <c r="Z39" s="376">
        <v>1.72</v>
      </c>
      <c r="AA39" s="377">
        <v>0</v>
      </c>
      <c r="AB39" s="376">
        <v>1.72</v>
      </c>
      <c r="AC39" s="377">
        <v>0</v>
      </c>
      <c r="AD39" s="372">
        <v>0</v>
      </c>
      <c r="AE39" s="373">
        <v>0</v>
      </c>
      <c r="AF39" s="376">
        <v>1.24</v>
      </c>
      <c r="AG39" s="377">
        <v>0</v>
      </c>
      <c r="AH39" s="376">
        <v>0.33</v>
      </c>
      <c r="AI39" s="377">
        <v>0</v>
      </c>
      <c r="AJ39" s="376">
        <v>0</v>
      </c>
      <c r="AK39" s="377">
        <v>0</v>
      </c>
      <c r="AL39" s="376">
        <v>0.15</v>
      </c>
      <c r="AM39" s="377">
        <v>0</v>
      </c>
      <c r="AN39" s="376">
        <v>0</v>
      </c>
      <c r="AO39" s="377">
        <v>0</v>
      </c>
      <c r="AP39" s="376">
        <v>0</v>
      </c>
      <c r="AQ39" s="377">
        <v>0</v>
      </c>
      <c r="AR39" s="376">
        <v>0</v>
      </c>
      <c r="AS39" s="377">
        <v>0</v>
      </c>
      <c r="AT39" s="376">
        <v>0</v>
      </c>
      <c r="AU39" s="377">
        <v>0</v>
      </c>
    </row>
    <row r="40" spans="1:47" ht="16.5" customHeight="1">
      <c r="A40" s="362"/>
      <c r="B40" s="417">
        <v>23</v>
      </c>
      <c r="C40" s="418" t="s">
        <v>81</v>
      </c>
      <c r="D40" s="419" t="s">
        <v>305</v>
      </c>
      <c r="E40" s="375">
        <v>125697</v>
      </c>
      <c r="F40" s="375">
        <v>4.84</v>
      </c>
      <c r="G40" s="371">
        <v>0</v>
      </c>
      <c r="H40" s="376">
        <v>41.13</v>
      </c>
      <c r="I40" s="377">
        <v>3.78</v>
      </c>
      <c r="J40" s="376">
        <v>33.33</v>
      </c>
      <c r="K40" s="377">
        <v>3.15</v>
      </c>
      <c r="L40" s="376">
        <v>41.9</v>
      </c>
      <c r="M40" s="377">
        <v>1.1000000000000001</v>
      </c>
      <c r="N40" s="376">
        <v>34.1</v>
      </c>
      <c r="O40" s="377">
        <v>0</v>
      </c>
      <c r="P40" s="376">
        <v>54.83</v>
      </c>
      <c r="Q40" s="377">
        <v>0.43</v>
      </c>
      <c r="R40" s="376">
        <v>1.6</v>
      </c>
      <c r="S40" s="377">
        <v>0</v>
      </c>
      <c r="T40" s="376">
        <v>28.67</v>
      </c>
      <c r="U40" s="377">
        <v>1.76</v>
      </c>
      <c r="V40" s="376">
        <v>15.1</v>
      </c>
      <c r="W40" s="377">
        <v>7.0000000000000007E-2</v>
      </c>
      <c r="X40" s="376">
        <v>0.7</v>
      </c>
      <c r="Y40" s="377">
        <v>0</v>
      </c>
      <c r="Z40" s="376">
        <v>1.02</v>
      </c>
      <c r="AA40" s="377">
        <v>0</v>
      </c>
      <c r="AB40" s="376">
        <v>1.02</v>
      </c>
      <c r="AC40" s="377">
        <v>0</v>
      </c>
      <c r="AD40" s="372">
        <v>0</v>
      </c>
      <c r="AE40" s="373">
        <v>0</v>
      </c>
      <c r="AF40" s="376">
        <v>0.42</v>
      </c>
      <c r="AG40" s="377">
        <v>0</v>
      </c>
      <c r="AH40" s="376">
        <v>0.34</v>
      </c>
      <c r="AI40" s="377">
        <v>0</v>
      </c>
      <c r="AJ40" s="376">
        <v>0.02</v>
      </c>
      <c r="AK40" s="377">
        <v>0</v>
      </c>
      <c r="AL40" s="376">
        <v>0.17</v>
      </c>
      <c r="AM40" s="377">
        <v>0</v>
      </c>
      <c r="AN40" s="376">
        <v>0.02</v>
      </c>
      <c r="AO40" s="377">
        <v>0</v>
      </c>
      <c r="AP40" s="376">
        <v>0.06</v>
      </c>
      <c r="AQ40" s="377">
        <v>0</v>
      </c>
      <c r="AR40" s="376">
        <v>0</v>
      </c>
      <c r="AS40" s="377">
        <v>0</v>
      </c>
      <c r="AT40" s="376">
        <v>0</v>
      </c>
      <c r="AU40" s="377">
        <v>0</v>
      </c>
    </row>
    <row r="41" spans="1:47" ht="16.5" customHeight="1">
      <c r="A41" s="362"/>
      <c r="B41" s="414"/>
      <c r="C41" s="415"/>
      <c r="D41" s="419" t="s">
        <v>227</v>
      </c>
      <c r="E41" s="375">
        <v>125697</v>
      </c>
      <c r="F41" s="375">
        <v>6.29</v>
      </c>
      <c r="G41" s="371">
        <v>0.873</v>
      </c>
      <c r="H41" s="376">
        <v>30.05</v>
      </c>
      <c r="I41" s="377">
        <v>7.0000000000000007E-2</v>
      </c>
      <c r="J41" s="376">
        <v>21.63</v>
      </c>
      <c r="K41" s="377">
        <v>0.04</v>
      </c>
      <c r="L41" s="376">
        <v>25.5</v>
      </c>
      <c r="M41" s="377">
        <v>1.7</v>
      </c>
      <c r="N41" s="376">
        <v>19</v>
      </c>
      <c r="O41" s="377">
        <v>1.3</v>
      </c>
      <c r="P41" s="376">
        <v>31.02</v>
      </c>
      <c r="Q41" s="377">
        <v>0.14000000000000001</v>
      </c>
      <c r="R41" s="376">
        <v>0.4</v>
      </c>
      <c r="S41" s="377">
        <v>0</v>
      </c>
      <c r="T41" s="376">
        <v>9.8699999999999992</v>
      </c>
      <c r="U41" s="377">
        <v>0.64</v>
      </c>
      <c r="V41" s="376">
        <v>13.77</v>
      </c>
      <c r="W41" s="377">
        <v>0.14000000000000001</v>
      </c>
      <c r="X41" s="376">
        <v>1.5</v>
      </c>
      <c r="Y41" s="377">
        <v>0</v>
      </c>
      <c r="Z41" s="372">
        <v>0</v>
      </c>
      <c r="AA41" s="373">
        <v>0</v>
      </c>
      <c r="AB41" s="372">
        <v>0</v>
      </c>
      <c r="AC41" s="373">
        <v>0</v>
      </c>
      <c r="AD41" s="372">
        <v>0</v>
      </c>
      <c r="AE41" s="373">
        <v>0</v>
      </c>
      <c r="AF41" s="372">
        <v>0</v>
      </c>
      <c r="AG41" s="373">
        <v>0</v>
      </c>
      <c r="AH41" s="372">
        <v>0</v>
      </c>
      <c r="AI41" s="373">
        <v>0</v>
      </c>
      <c r="AJ41" s="372">
        <v>0</v>
      </c>
      <c r="AK41" s="373">
        <v>0</v>
      </c>
      <c r="AL41" s="372">
        <v>0</v>
      </c>
      <c r="AM41" s="373">
        <v>0</v>
      </c>
      <c r="AN41" s="372">
        <v>0</v>
      </c>
      <c r="AO41" s="373">
        <v>0</v>
      </c>
      <c r="AP41" s="372">
        <v>0</v>
      </c>
      <c r="AQ41" s="373">
        <v>0</v>
      </c>
      <c r="AR41" s="372">
        <v>0</v>
      </c>
      <c r="AS41" s="373">
        <v>0</v>
      </c>
      <c r="AT41" s="372">
        <v>0</v>
      </c>
      <c r="AU41" s="373">
        <v>0</v>
      </c>
    </row>
    <row r="42" spans="1:47" ht="16.5" customHeight="1">
      <c r="A42" s="362"/>
      <c r="B42" s="414"/>
      <c r="C42" s="415"/>
      <c r="D42" s="419" t="s">
        <v>123</v>
      </c>
      <c r="E42" s="375">
        <v>46573</v>
      </c>
      <c r="F42" s="375">
        <v>3.74</v>
      </c>
      <c r="G42" s="371" t="s">
        <v>46</v>
      </c>
      <c r="H42" s="376">
        <v>110.88</v>
      </c>
      <c r="I42" s="377">
        <v>4.84</v>
      </c>
      <c r="J42" s="376">
        <v>96.75</v>
      </c>
      <c r="K42" s="377">
        <v>4.45</v>
      </c>
      <c r="L42" s="376">
        <v>53.4</v>
      </c>
      <c r="M42" s="377">
        <v>6</v>
      </c>
      <c r="N42" s="376">
        <v>51.9</v>
      </c>
      <c r="O42" s="377">
        <v>5.9</v>
      </c>
      <c r="P42" s="376">
        <v>117.47</v>
      </c>
      <c r="Q42" s="377">
        <v>3.38</v>
      </c>
      <c r="R42" s="376">
        <v>41.1</v>
      </c>
      <c r="S42" s="377">
        <v>1.2</v>
      </c>
      <c r="T42" s="376">
        <v>75.19</v>
      </c>
      <c r="U42" s="377">
        <v>7.49</v>
      </c>
      <c r="V42" s="376">
        <v>22.53</v>
      </c>
      <c r="W42" s="377">
        <v>0.3</v>
      </c>
      <c r="X42" s="376">
        <v>21.65</v>
      </c>
      <c r="Y42" s="377">
        <v>0</v>
      </c>
      <c r="Z42" s="376">
        <v>1.17</v>
      </c>
      <c r="AA42" s="377">
        <v>0</v>
      </c>
      <c r="AB42" s="376">
        <v>1.17</v>
      </c>
      <c r="AC42" s="377">
        <v>0</v>
      </c>
      <c r="AD42" s="372">
        <v>0</v>
      </c>
      <c r="AE42" s="373">
        <v>0</v>
      </c>
      <c r="AF42" s="376">
        <v>1.17</v>
      </c>
      <c r="AG42" s="377">
        <v>0</v>
      </c>
      <c r="AH42" s="372">
        <v>0</v>
      </c>
      <c r="AI42" s="373">
        <v>0</v>
      </c>
      <c r="AJ42" s="372">
        <v>0</v>
      </c>
      <c r="AK42" s="373">
        <v>0</v>
      </c>
      <c r="AL42" s="372">
        <v>0</v>
      </c>
      <c r="AM42" s="373">
        <v>0</v>
      </c>
      <c r="AN42" s="372">
        <v>0</v>
      </c>
      <c r="AO42" s="373">
        <v>0</v>
      </c>
      <c r="AP42" s="372">
        <v>0</v>
      </c>
      <c r="AQ42" s="373">
        <v>0</v>
      </c>
      <c r="AR42" s="372">
        <v>0</v>
      </c>
      <c r="AS42" s="373">
        <v>0</v>
      </c>
      <c r="AT42" s="372">
        <v>0</v>
      </c>
      <c r="AU42" s="373">
        <v>0</v>
      </c>
    </row>
    <row r="43" spans="1:47" ht="16.5" customHeight="1">
      <c r="A43" s="362"/>
      <c r="B43" s="414"/>
      <c r="C43" s="415"/>
      <c r="D43" s="420" t="s">
        <v>320</v>
      </c>
      <c r="E43" s="381"/>
      <c r="F43" s="381">
        <v>4.4589663817578806</v>
      </c>
      <c r="G43" s="421" t="s">
        <v>46</v>
      </c>
      <c r="H43" s="382">
        <v>47.358018505404964</v>
      </c>
      <c r="I43" s="383"/>
      <c r="J43" s="382">
        <v>38.307077193111986</v>
      </c>
      <c r="K43" s="383"/>
      <c r="L43" s="382">
        <v>36.779160108334146</v>
      </c>
      <c r="M43" s="383"/>
      <c r="N43" s="382">
        <v>30.51226947950612</v>
      </c>
      <c r="O43" s="383"/>
      <c r="P43" s="382">
        <v>54.576573110445111</v>
      </c>
      <c r="Q43" s="383"/>
      <c r="R43" s="382">
        <v>7.2677319971674708</v>
      </c>
      <c r="S43" s="383"/>
      <c r="T43" s="382">
        <v>28.010438236449001</v>
      </c>
      <c r="U43" s="383"/>
      <c r="V43" s="382">
        <v>15.700269090201264</v>
      </c>
      <c r="W43" s="383"/>
      <c r="X43" s="382">
        <v>4.3120172703688668</v>
      </c>
      <c r="Y43" s="383"/>
      <c r="Z43" s="382">
        <v>0.61315967875637234</v>
      </c>
      <c r="AA43" s="383"/>
      <c r="AB43" s="382">
        <v>0.61315967875637234</v>
      </c>
      <c r="AC43" s="383"/>
      <c r="AD43" s="382">
        <v>0</v>
      </c>
      <c r="AE43" s="422"/>
      <c r="AF43" s="382">
        <v>0.36005044182745066</v>
      </c>
      <c r="AG43" s="383"/>
      <c r="AH43" s="382">
        <v>0.14342856759305561</v>
      </c>
      <c r="AI43" s="422"/>
      <c r="AJ43" s="382">
        <v>8.4369745642973882E-3</v>
      </c>
      <c r="AK43" s="422"/>
      <c r="AL43" s="382">
        <v>7.1714283796527806E-2</v>
      </c>
      <c r="AM43" s="422"/>
      <c r="AN43" s="382">
        <v>8.4369745642973882E-3</v>
      </c>
      <c r="AO43" s="422"/>
      <c r="AP43" s="382">
        <v>2.5310923692892166E-2</v>
      </c>
      <c r="AQ43" s="422"/>
      <c r="AR43" s="382">
        <v>0</v>
      </c>
      <c r="AS43" s="422"/>
      <c r="AT43" s="382">
        <v>0</v>
      </c>
      <c r="AU43" s="422"/>
    </row>
    <row r="44" spans="1:47" ht="16.5" customHeight="1">
      <c r="A44" s="362"/>
      <c r="B44" s="417">
        <v>24</v>
      </c>
      <c r="C44" s="418" t="s">
        <v>82</v>
      </c>
      <c r="D44" s="419" t="s">
        <v>196</v>
      </c>
      <c r="E44" s="375">
        <v>39709</v>
      </c>
      <c r="F44" s="375">
        <v>4.8499999999999996</v>
      </c>
      <c r="G44" s="371">
        <v>0.93500000000000005</v>
      </c>
      <c r="H44" s="376">
        <v>23.15</v>
      </c>
      <c r="I44" s="377">
        <v>2.0499999999999998</v>
      </c>
      <c r="J44" s="376">
        <v>19.93</v>
      </c>
      <c r="K44" s="377">
        <v>2.02</v>
      </c>
      <c r="L44" s="376">
        <v>21.5</v>
      </c>
      <c r="M44" s="377">
        <v>0.2</v>
      </c>
      <c r="N44" s="376">
        <v>18.8</v>
      </c>
      <c r="O44" s="377">
        <v>0.4</v>
      </c>
      <c r="P44" s="376">
        <v>51.49</v>
      </c>
      <c r="Q44" s="377">
        <v>1</v>
      </c>
      <c r="R44" s="376">
        <v>3.9</v>
      </c>
      <c r="S44" s="377">
        <v>0.1</v>
      </c>
      <c r="T44" s="376">
        <v>9.14</v>
      </c>
      <c r="U44" s="377">
        <v>0.63</v>
      </c>
      <c r="V44" s="376">
        <v>11.01</v>
      </c>
      <c r="W44" s="377">
        <v>0.15</v>
      </c>
      <c r="X44" s="376">
        <v>0.85</v>
      </c>
      <c r="Y44" s="377">
        <v>0</v>
      </c>
      <c r="Z44" s="376">
        <v>0.71</v>
      </c>
      <c r="AA44" s="377">
        <v>0</v>
      </c>
      <c r="AB44" s="376">
        <v>0.71</v>
      </c>
      <c r="AC44" s="377">
        <v>0</v>
      </c>
      <c r="AD44" s="372">
        <v>0</v>
      </c>
      <c r="AE44" s="373">
        <v>0</v>
      </c>
      <c r="AF44" s="376">
        <v>0.35</v>
      </c>
      <c r="AG44" s="377">
        <v>0</v>
      </c>
      <c r="AH44" s="376">
        <v>0.24</v>
      </c>
      <c r="AI44" s="377">
        <v>0</v>
      </c>
      <c r="AJ44" s="376">
        <v>0</v>
      </c>
      <c r="AK44" s="377">
        <v>0</v>
      </c>
      <c r="AL44" s="376">
        <v>0.09</v>
      </c>
      <c r="AM44" s="377">
        <v>0</v>
      </c>
      <c r="AN44" s="376">
        <v>0</v>
      </c>
      <c r="AO44" s="377">
        <v>0</v>
      </c>
      <c r="AP44" s="376">
        <v>0.03</v>
      </c>
      <c r="AQ44" s="377">
        <v>0</v>
      </c>
      <c r="AR44" s="376">
        <v>0</v>
      </c>
      <c r="AS44" s="377">
        <v>0</v>
      </c>
      <c r="AT44" s="376">
        <v>0</v>
      </c>
      <c r="AU44" s="377">
        <v>0</v>
      </c>
    </row>
    <row r="45" spans="1:47" ht="16.5" customHeight="1">
      <c r="A45" s="362"/>
      <c r="B45" s="417">
        <v>25</v>
      </c>
      <c r="C45" s="418" t="s">
        <v>84</v>
      </c>
      <c r="D45" s="419" t="s">
        <v>227</v>
      </c>
      <c r="E45" s="375">
        <v>100200</v>
      </c>
      <c r="F45" s="375">
        <v>6.11</v>
      </c>
      <c r="G45" s="371">
        <v>2.5350000000000001</v>
      </c>
      <c r="H45" s="376">
        <v>37.08</v>
      </c>
      <c r="I45" s="377">
        <v>8.3800000000000008</v>
      </c>
      <c r="J45" s="376">
        <v>29.13</v>
      </c>
      <c r="K45" s="377">
        <v>6.54</v>
      </c>
      <c r="L45" s="376">
        <v>46.3</v>
      </c>
      <c r="M45" s="377">
        <v>3</v>
      </c>
      <c r="N45" s="376">
        <v>36.6</v>
      </c>
      <c r="O45" s="377">
        <v>2.2000000000000002</v>
      </c>
      <c r="P45" s="376">
        <v>70.3</v>
      </c>
      <c r="Q45" s="377">
        <v>1.68</v>
      </c>
      <c r="R45" s="376">
        <v>1.1000000000000001</v>
      </c>
      <c r="S45" s="377">
        <v>0</v>
      </c>
      <c r="T45" s="376">
        <v>9.61</v>
      </c>
      <c r="U45" s="377">
        <v>0</v>
      </c>
      <c r="V45" s="376">
        <v>24.27</v>
      </c>
      <c r="W45" s="377">
        <v>0.27</v>
      </c>
      <c r="X45" s="376">
        <v>3.1</v>
      </c>
      <c r="Y45" s="377">
        <v>0</v>
      </c>
      <c r="Z45" s="376">
        <v>1.92</v>
      </c>
      <c r="AA45" s="377">
        <v>0</v>
      </c>
      <c r="AB45" s="376">
        <v>1.92</v>
      </c>
      <c r="AC45" s="377">
        <v>0</v>
      </c>
      <c r="AD45" s="372">
        <v>0</v>
      </c>
      <c r="AE45" s="373">
        <v>0</v>
      </c>
      <c r="AF45" s="376">
        <v>0.68</v>
      </c>
      <c r="AG45" s="377">
        <v>0</v>
      </c>
      <c r="AH45" s="376">
        <v>0.42</v>
      </c>
      <c r="AI45" s="377">
        <v>0</v>
      </c>
      <c r="AJ45" s="376">
        <v>0.08</v>
      </c>
      <c r="AK45" s="377">
        <v>0</v>
      </c>
      <c r="AL45" s="376">
        <v>0.31</v>
      </c>
      <c r="AM45" s="377">
        <v>0</v>
      </c>
      <c r="AN45" s="376">
        <v>0.16</v>
      </c>
      <c r="AO45" s="377">
        <v>0</v>
      </c>
      <c r="AP45" s="376">
        <v>0.24</v>
      </c>
      <c r="AQ45" s="377">
        <v>0</v>
      </c>
      <c r="AR45" s="376">
        <v>0.01</v>
      </c>
      <c r="AS45" s="377">
        <v>0</v>
      </c>
      <c r="AT45" s="376">
        <v>0.02</v>
      </c>
      <c r="AU45" s="377">
        <v>0</v>
      </c>
    </row>
    <row r="46" spans="1:47" ht="16.5" customHeight="1">
      <c r="A46" s="362"/>
      <c r="B46" s="417">
        <v>26</v>
      </c>
      <c r="C46" s="418" t="s">
        <v>85</v>
      </c>
      <c r="D46" s="419" t="s">
        <v>216</v>
      </c>
      <c r="E46" s="375">
        <v>55277</v>
      </c>
      <c r="F46" s="375">
        <v>5</v>
      </c>
      <c r="G46" s="371">
        <v>1.6625000000000001</v>
      </c>
      <c r="H46" s="376">
        <v>43.28</v>
      </c>
      <c r="I46" s="377">
        <v>3.57</v>
      </c>
      <c r="J46" s="376">
        <v>36.799999999999997</v>
      </c>
      <c r="K46" s="377">
        <v>2.9</v>
      </c>
      <c r="L46" s="376">
        <v>47.6</v>
      </c>
      <c r="M46" s="377">
        <v>3.4</v>
      </c>
      <c r="N46" s="376">
        <v>40.700000000000003</v>
      </c>
      <c r="O46" s="377">
        <v>2.8</v>
      </c>
      <c r="P46" s="376">
        <v>95.56</v>
      </c>
      <c r="Q46" s="377">
        <v>1.85</v>
      </c>
      <c r="R46" s="376">
        <v>3.4</v>
      </c>
      <c r="S46" s="377">
        <v>0.1</v>
      </c>
      <c r="T46" s="376">
        <v>22.45</v>
      </c>
      <c r="U46" s="377">
        <v>0.44</v>
      </c>
      <c r="V46" s="376">
        <v>17.16</v>
      </c>
      <c r="W46" s="377">
        <v>0.36</v>
      </c>
      <c r="X46" s="376">
        <v>6.2</v>
      </c>
      <c r="Y46" s="377">
        <v>0</v>
      </c>
      <c r="Z46" s="376">
        <v>2</v>
      </c>
      <c r="AA46" s="377">
        <v>0</v>
      </c>
      <c r="AB46" s="376">
        <v>2</v>
      </c>
      <c r="AC46" s="377">
        <v>0</v>
      </c>
      <c r="AD46" s="372">
        <v>0</v>
      </c>
      <c r="AE46" s="373">
        <v>0</v>
      </c>
      <c r="AF46" s="376">
        <v>0.66</v>
      </c>
      <c r="AG46" s="377">
        <v>0</v>
      </c>
      <c r="AH46" s="376">
        <v>0.71</v>
      </c>
      <c r="AI46" s="377">
        <v>0</v>
      </c>
      <c r="AJ46" s="376">
        <v>0.05</v>
      </c>
      <c r="AK46" s="377">
        <v>0</v>
      </c>
      <c r="AL46" s="376">
        <v>0.31</v>
      </c>
      <c r="AM46" s="377">
        <v>0</v>
      </c>
      <c r="AN46" s="376">
        <v>0.08</v>
      </c>
      <c r="AO46" s="377">
        <v>0</v>
      </c>
      <c r="AP46" s="376">
        <v>0.17</v>
      </c>
      <c r="AQ46" s="377">
        <v>0</v>
      </c>
      <c r="AR46" s="376">
        <v>0</v>
      </c>
      <c r="AS46" s="377">
        <v>0</v>
      </c>
      <c r="AT46" s="376">
        <v>0.01</v>
      </c>
      <c r="AU46" s="377">
        <v>0</v>
      </c>
    </row>
    <row r="47" spans="1:47" ht="16.5" customHeight="1">
      <c r="A47" s="362"/>
      <c r="B47" s="414"/>
      <c r="C47" s="415"/>
      <c r="D47" s="419" t="s">
        <v>227</v>
      </c>
      <c r="E47" s="375">
        <v>68891</v>
      </c>
      <c r="F47" s="375">
        <v>7.85</v>
      </c>
      <c r="G47" s="371">
        <v>5.7474999999999996</v>
      </c>
      <c r="H47" s="376">
        <v>32.049999999999997</v>
      </c>
      <c r="I47" s="377">
        <v>5.16</v>
      </c>
      <c r="J47" s="376">
        <v>23.6</v>
      </c>
      <c r="K47" s="377">
        <v>3.75</v>
      </c>
      <c r="L47" s="376">
        <v>37</v>
      </c>
      <c r="M47" s="377">
        <v>0.3</v>
      </c>
      <c r="N47" s="376">
        <v>27.6</v>
      </c>
      <c r="O47" s="377">
        <v>0.4</v>
      </c>
      <c r="P47" s="376">
        <v>43.42</v>
      </c>
      <c r="Q47" s="377">
        <v>0.49</v>
      </c>
      <c r="R47" s="376">
        <v>0.4</v>
      </c>
      <c r="S47" s="377">
        <v>0</v>
      </c>
      <c r="T47" s="376">
        <v>7.9</v>
      </c>
      <c r="U47" s="377">
        <v>0.13</v>
      </c>
      <c r="V47" s="376">
        <v>24.64</v>
      </c>
      <c r="W47" s="377">
        <v>0.26</v>
      </c>
      <c r="X47" s="376">
        <v>1.9</v>
      </c>
      <c r="Y47" s="377">
        <v>0</v>
      </c>
      <c r="Z47" s="376">
        <v>0.17</v>
      </c>
      <c r="AA47" s="377">
        <v>0</v>
      </c>
      <c r="AB47" s="376">
        <v>0.17</v>
      </c>
      <c r="AC47" s="377">
        <v>0</v>
      </c>
      <c r="AD47" s="372">
        <v>0</v>
      </c>
      <c r="AE47" s="373">
        <v>0</v>
      </c>
      <c r="AF47" s="376">
        <v>0.05</v>
      </c>
      <c r="AG47" s="377">
        <v>0</v>
      </c>
      <c r="AH47" s="376">
        <v>0</v>
      </c>
      <c r="AI47" s="377">
        <v>0</v>
      </c>
      <c r="AJ47" s="376">
        <v>0.01</v>
      </c>
      <c r="AK47" s="377">
        <v>0</v>
      </c>
      <c r="AL47" s="376">
        <v>0</v>
      </c>
      <c r="AM47" s="377">
        <v>0</v>
      </c>
      <c r="AN47" s="376">
        <v>0.1</v>
      </c>
      <c r="AO47" s="377">
        <v>0</v>
      </c>
      <c r="AP47" s="376">
        <v>0</v>
      </c>
      <c r="AQ47" s="377">
        <v>0</v>
      </c>
      <c r="AR47" s="376">
        <v>0</v>
      </c>
      <c r="AS47" s="377">
        <v>0</v>
      </c>
      <c r="AT47" s="376">
        <v>0</v>
      </c>
      <c r="AU47" s="377">
        <v>0</v>
      </c>
    </row>
    <row r="48" spans="1:47" ht="16.5" customHeight="1">
      <c r="A48" s="362"/>
      <c r="B48" s="414"/>
      <c r="C48" s="415"/>
      <c r="D48" s="420" t="s">
        <v>321</v>
      </c>
      <c r="E48" s="381"/>
      <c r="F48" s="381">
        <v>5.3507013494167266</v>
      </c>
      <c r="G48" s="382">
        <v>3.928943326783068</v>
      </c>
      <c r="H48" s="382">
        <v>37.049361429675919</v>
      </c>
      <c r="I48" s="383"/>
      <c r="J48" s="382">
        <v>29.476364280652021</v>
      </c>
      <c r="K48" s="383"/>
      <c r="L48" s="382">
        <v>41.71889858900844</v>
      </c>
      <c r="M48" s="383"/>
      <c r="N48" s="382">
        <v>33.431846369434965</v>
      </c>
      <c r="O48" s="383"/>
      <c r="P48" s="382">
        <v>66.631638908575482</v>
      </c>
      <c r="Q48" s="383"/>
      <c r="R48" s="382">
        <v>1.7355373365118225</v>
      </c>
      <c r="S48" s="383"/>
      <c r="T48" s="382">
        <v>14.377356082082338</v>
      </c>
      <c r="U48" s="383"/>
      <c r="V48" s="382">
        <v>21.310060240963857</v>
      </c>
      <c r="W48" s="383"/>
      <c r="X48" s="382">
        <v>3.8142701823336127</v>
      </c>
      <c r="Y48" s="383"/>
      <c r="Z48" s="382">
        <v>0.9846777752722119</v>
      </c>
      <c r="AA48" s="383"/>
      <c r="AB48" s="382">
        <v>0.9846777752722119</v>
      </c>
      <c r="AC48" s="383"/>
      <c r="AD48" s="382">
        <v>0</v>
      </c>
      <c r="AE48" s="422"/>
      <c r="AF48" s="382">
        <v>0.32155925842407063</v>
      </c>
      <c r="AG48" s="383"/>
      <c r="AH48" s="382">
        <v>0.31607716964113136</v>
      </c>
      <c r="AI48" s="422"/>
      <c r="AJ48" s="382">
        <v>2.7807164486824305E-2</v>
      </c>
      <c r="AK48" s="422"/>
      <c r="AL48" s="382">
        <v>0.13800552477288833</v>
      </c>
      <c r="AM48" s="422"/>
      <c r="AN48" s="382">
        <v>9.1096417756587847E-2</v>
      </c>
      <c r="AO48" s="422"/>
      <c r="AP48" s="382">
        <v>7.5680449069003286E-2</v>
      </c>
      <c r="AQ48" s="422"/>
      <c r="AR48" s="382">
        <v>0</v>
      </c>
      <c r="AS48" s="422"/>
      <c r="AT48" s="382">
        <v>4.4517911217060759E-3</v>
      </c>
      <c r="AU48" s="422"/>
    </row>
    <row r="49" spans="1:47" ht="16.5" customHeight="1">
      <c r="A49" s="362"/>
      <c r="B49" s="423">
        <v>27</v>
      </c>
      <c r="C49" s="424" t="s">
        <v>86</v>
      </c>
      <c r="D49" s="419" t="s">
        <v>192</v>
      </c>
      <c r="E49" s="375">
        <v>25578</v>
      </c>
      <c r="F49" s="375">
        <v>3.41</v>
      </c>
      <c r="G49" s="371" t="s">
        <v>46</v>
      </c>
      <c r="H49" s="376">
        <v>94.03</v>
      </c>
      <c r="I49" s="377">
        <v>1.73</v>
      </c>
      <c r="J49" s="376">
        <v>78.55</v>
      </c>
      <c r="K49" s="377">
        <v>1.41</v>
      </c>
      <c r="L49" s="376">
        <v>34.200000000000003</v>
      </c>
      <c r="M49" s="377">
        <v>0.6</v>
      </c>
      <c r="N49" s="376">
        <v>14.1</v>
      </c>
      <c r="O49" s="377">
        <v>9.3000000000000007</v>
      </c>
      <c r="P49" s="376">
        <v>197.72</v>
      </c>
      <c r="Q49" s="377">
        <v>5.24</v>
      </c>
      <c r="R49" s="376">
        <v>128.6</v>
      </c>
      <c r="S49" s="377">
        <v>3.4</v>
      </c>
      <c r="T49" s="376">
        <v>35.15</v>
      </c>
      <c r="U49" s="377">
        <v>2.0499999999999998</v>
      </c>
      <c r="V49" s="376">
        <v>24.69</v>
      </c>
      <c r="W49" s="377">
        <v>0.38</v>
      </c>
      <c r="X49" s="376">
        <v>10.45</v>
      </c>
      <c r="Y49" s="377">
        <v>0</v>
      </c>
      <c r="Z49" s="376">
        <v>3.87</v>
      </c>
      <c r="AA49" s="377">
        <v>0</v>
      </c>
      <c r="AB49" s="376">
        <v>3.87</v>
      </c>
      <c r="AC49" s="377">
        <v>0</v>
      </c>
      <c r="AD49" s="372">
        <v>0</v>
      </c>
      <c r="AE49" s="373">
        <v>0</v>
      </c>
      <c r="AF49" s="376">
        <v>3.87</v>
      </c>
      <c r="AG49" s="377">
        <v>0</v>
      </c>
      <c r="AH49" s="372">
        <v>0</v>
      </c>
      <c r="AI49" s="373">
        <v>0</v>
      </c>
      <c r="AJ49" s="372">
        <v>0</v>
      </c>
      <c r="AK49" s="373">
        <v>0</v>
      </c>
      <c r="AL49" s="372">
        <v>0</v>
      </c>
      <c r="AM49" s="373">
        <v>0</v>
      </c>
      <c r="AN49" s="372">
        <v>0</v>
      </c>
      <c r="AO49" s="373">
        <v>0</v>
      </c>
      <c r="AP49" s="372">
        <v>0</v>
      </c>
      <c r="AQ49" s="373">
        <v>0</v>
      </c>
      <c r="AR49" s="372">
        <v>0</v>
      </c>
      <c r="AS49" s="373">
        <v>0</v>
      </c>
      <c r="AT49" s="372">
        <v>0</v>
      </c>
      <c r="AU49" s="373">
        <v>0</v>
      </c>
    </row>
    <row r="50" spans="1:47" ht="16.5" customHeight="1">
      <c r="A50" s="362"/>
      <c r="B50" s="417">
        <v>28</v>
      </c>
      <c r="C50" s="418" t="s">
        <v>87</v>
      </c>
      <c r="D50" s="419" t="s">
        <v>187</v>
      </c>
      <c r="E50" s="375">
        <v>23843</v>
      </c>
      <c r="F50" s="375">
        <v>6.97</v>
      </c>
      <c r="G50" s="371">
        <v>6.2625000000000002</v>
      </c>
      <c r="H50" s="376">
        <v>52.8</v>
      </c>
      <c r="I50" s="377">
        <v>2.2599999999999998</v>
      </c>
      <c r="J50" s="376">
        <v>39.58</v>
      </c>
      <c r="K50" s="377">
        <v>1.94</v>
      </c>
      <c r="L50" s="376">
        <v>39.9</v>
      </c>
      <c r="M50" s="377">
        <v>3.7</v>
      </c>
      <c r="N50" s="376">
        <v>32.299999999999997</v>
      </c>
      <c r="O50" s="377">
        <v>3.5</v>
      </c>
      <c r="P50" s="376">
        <v>97.65</v>
      </c>
      <c r="Q50" s="377">
        <v>0.22</v>
      </c>
      <c r="R50" s="376">
        <v>38.4</v>
      </c>
      <c r="S50" s="377">
        <v>0.1</v>
      </c>
      <c r="T50" s="376">
        <v>17.03</v>
      </c>
      <c r="U50" s="377">
        <v>0.27</v>
      </c>
      <c r="V50" s="376">
        <v>15.38</v>
      </c>
      <c r="W50" s="377">
        <v>0.27</v>
      </c>
      <c r="X50" s="376">
        <v>7</v>
      </c>
      <c r="Y50" s="377">
        <v>0</v>
      </c>
      <c r="Z50" s="376">
        <v>4.79</v>
      </c>
      <c r="AA50" s="377">
        <v>0</v>
      </c>
      <c r="AB50" s="376">
        <v>4.79</v>
      </c>
      <c r="AC50" s="377">
        <v>0</v>
      </c>
      <c r="AD50" s="372">
        <v>0</v>
      </c>
      <c r="AE50" s="373">
        <v>0</v>
      </c>
      <c r="AF50" s="376">
        <v>2.08</v>
      </c>
      <c r="AG50" s="377">
        <v>0</v>
      </c>
      <c r="AH50" s="376">
        <v>0.61</v>
      </c>
      <c r="AI50" s="377">
        <v>0</v>
      </c>
      <c r="AJ50" s="376">
        <v>0.14000000000000001</v>
      </c>
      <c r="AK50" s="377">
        <v>0</v>
      </c>
      <c r="AL50" s="376">
        <v>0.73</v>
      </c>
      <c r="AM50" s="377">
        <v>0</v>
      </c>
      <c r="AN50" s="376">
        <v>0.22</v>
      </c>
      <c r="AO50" s="377">
        <v>0</v>
      </c>
      <c r="AP50" s="376">
        <v>0.34</v>
      </c>
      <c r="AQ50" s="377">
        <v>0</v>
      </c>
      <c r="AR50" s="376">
        <v>0</v>
      </c>
      <c r="AS50" s="377">
        <v>0</v>
      </c>
      <c r="AT50" s="376">
        <v>0.67</v>
      </c>
      <c r="AU50" s="377">
        <v>0</v>
      </c>
    </row>
    <row r="51" spans="1:47" ht="16.5" customHeight="1">
      <c r="A51" s="362"/>
      <c r="B51" s="425">
        <v>29</v>
      </c>
      <c r="C51" s="426" t="s">
        <v>88</v>
      </c>
      <c r="D51" s="419" t="s">
        <v>216</v>
      </c>
      <c r="E51" s="375">
        <v>5978</v>
      </c>
      <c r="F51" s="375">
        <v>5.85</v>
      </c>
      <c r="G51" s="371">
        <v>0.68500000000000005</v>
      </c>
      <c r="H51" s="376">
        <v>35.08</v>
      </c>
      <c r="I51" s="377">
        <v>0.04</v>
      </c>
      <c r="J51" s="376">
        <v>25.6</v>
      </c>
      <c r="K51" s="377">
        <v>0</v>
      </c>
      <c r="L51" s="376">
        <v>31.3</v>
      </c>
      <c r="M51" s="377">
        <v>3</v>
      </c>
      <c r="N51" s="376">
        <v>25</v>
      </c>
      <c r="O51" s="377">
        <v>2.7</v>
      </c>
      <c r="P51" s="376">
        <v>34.54</v>
      </c>
      <c r="Q51" s="377">
        <v>0.25</v>
      </c>
      <c r="R51" s="376">
        <v>2.1</v>
      </c>
      <c r="S51" s="377">
        <v>0</v>
      </c>
      <c r="T51" s="376">
        <v>8.17</v>
      </c>
      <c r="U51" s="377">
        <v>0</v>
      </c>
      <c r="V51" s="376">
        <v>11.75</v>
      </c>
      <c r="W51" s="377">
        <v>0.86</v>
      </c>
      <c r="X51" s="376">
        <v>2.85</v>
      </c>
      <c r="Y51" s="377">
        <v>0</v>
      </c>
      <c r="Z51" s="372">
        <v>0</v>
      </c>
      <c r="AA51" s="373">
        <v>0</v>
      </c>
      <c r="AB51" s="372">
        <v>0</v>
      </c>
      <c r="AC51" s="373">
        <v>0</v>
      </c>
      <c r="AD51" s="372">
        <v>0</v>
      </c>
      <c r="AE51" s="373">
        <v>0</v>
      </c>
      <c r="AF51" s="372">
        <v>0</v>
      </c>
      <c r="AG51" s="373">
        <v>0</v>
      </c>
      <c r="AH51" s="372">
        <v>0</v>
      </c>
      <c r="AI51" s="373">
        <v>0</v>
      </c>
      <c r="AJ51" s="372">
        <v>0</v>
      </c>
      <c r="AK51" s="373">
        <v>0</v>
      </c>
      <c r="AL51" s="372">
        <v>0</v>
      </c>
      <c r="AM51" s="373">
        <v>0</v>
      </c>
      <c r="AN51" s="372">
        <v>0</v>
      </c>
      <c r="AO51" s="373">
        <v>0</v>
      </c>
      <c r="AP51" s="372">
        <v>0</v>
      </c>
      <c r="AQ51" s="373">
        <v>0</v>
      </c>
      <c r="AR51" s="372">
        <v>0</v>
      </c>
      <c r="AS51" s="373">
        <v>0</v>
      </c>
      <c r="AT51" s="372">
        <v>0</v>
      </c>
      <c r="AU51" s="373">
        <v>0</v>
      </c>
    </row>
    <row r="52" spans="1:47" ht="16.5" customHeight="1">
      <c r="A52" s="362"/>
      <c r="B52" s="427"/>
      <c r="C52" s="428"/>
      <c r="D52" s="419" t="s">
        <v>227</v>
      </c>
      <c r="E52" s="375">
        <v>9254</v>
      </c>
      <c r="F52" s="375">
        <v>6.36</v>
      </c>
      <c r="G52" s="371">
        <v>0.80400000000000005</v>
      </c>
      <c r="H52" s="376">
        <v>56.65</v>
      </c>
      <c r="I52" s="377">
        <v>0.14000000000000001</v>
      </c>
      <c r="J52" s="376">
        <v>44.65</v>
      </c>
      <c r="K52" s="377">
        <v>0.14000000000000001</v>
      </c>
      <c r="L52" s="376">
        <v>20.7</v>
      </c>
      <c r="M52" s="377">
        <v>0.6</v>
      </c>
      <c r="N52" s="376">
        <v>17</v>
      </c>
      <c r="O52" s="377">
        <v>0.5</v>
      </c>
      <c r="P52" s="376">
        <v>71.95</v>
      </c>
      <c r="Q52" s="377">
        <v>1.1399999999999999</v>
      </c>
      <c r="R52" s="376">
        <v>6.9</v>
      </c>
      <c r="S52" s="377">
        <v>0.1</v>
      </c>
      <c r="T52" s="376">
        <v>14.84</v>
      </c>
      <c r="U52" s="377">
        <v>1.38</v>
      </c>
      <c r="V52" s="376">
        <v>29.99</v>
      </c>
      <c r="W52" s="377">
        <v>0.56999999999999995</v>
      </c>
      <c r="X52" s="376">
        <v>3.05</v>
      </c>
      <c r="Y52" s="377">
        <v>0</v>
      </c>
      <c r="Z52" s="372">
        <v>0</v>
      </c>
      <c r="AA52" s="373">
        <v>0</v>
      </c>
      <c r="AB52" s="372">
        <v>0</v>
      </c>
      <c r="AC52" s="373">
        <v>0</v>
      </c>
      <c r="AD52" s="372">
        <v>0</v>
      </c>
      <c r="AE52" s="373">
        <v>0</v>
      </c>
      <c r="AF52" s="372">
        <v>0</v>
      </c>
      <c r="AG52" s="373">
        <v>0</v>
      </c>
      <c r="AH52" s="372">
        <v>0</v>
      </c>
      <c r="AI52" s="373">
        <v>0</v>
      </c>
      <c r="AJ52" s="372">
        <v>0</v>
      </c>
      <c r="AK52" s="373">
        <v>0</v>
      </c>
      <c r="AL52" s="372">
        <v>0</v>
      </c>
      <c r="AM52" s="373">
        <v>0</v>
      </c>
      <c r="AN52" s="372">
        <v>0</v>
      </c>
      <c r="AO52" s="373">
        <v>0</v>
      </c>
      <c r="AP52" s="372">
        <v>0</v>
      </c>
      <c r="AQ52" s="373">
        <v>0</v>
      </c>
      <c r="AR52" s="372">
        <v>0</v>
      </c>
      <c r="AS52" s="373">
        <v>0</v>
      </c>
      <c r="AT52" s="372">
        <v>0</v>
      </c>
      <c r="AU52" s="373">
        <v>0</v>
      </c>
    </row>
    <row r="53" spans="1:47" ht="16.5" customHeight="1">
      <c r="A53" s="362"/>
      <c r="B53" s="427"/>
      <c r="C53" s="428"/>
      <c r="D53" s="419" t="s">
        <v>192</v>
      </c>
      <c r="E53" s="375">
        <v>29881</v>
      </c>
      <c r="F53" s="375">
        <v>3.89</v>
      </c>
      <c r="G53" s="371" t="s">
        <v>46</v>
      </c>
      <c r="H53" s="376">
        <v>65.48</v>
      </c>
      <c r="I53" s="377">
        <v>2.58</v>
      </c>
      <c r="J53" s="376">
        <v>57.2</v>
      </c>
      <c r="K53" s="377">
        <v>2.4700000000000002</v>
      </c>
      <c r="L53" s="376">
        <v>43</v>
      </c>
      <c r="M53" s="377">
        <v>2.2999999999999998</v>
      </c>
      <c r="N53" s="376">
        <v>41.8</v>
      </c>
      <c r="O53" s="377">
        <v>2.2999999999999998</v>
      </c>
      <c r="P53" s="376">
        <v>111.23</v>
      </c>
      <c r="Q53" s="377">
        <v>4.2699999999999996</v>
      </c>
      <c r="R53" s="376">
        <v>48.2</v>
      </c>
      <c r="S53" s="377">
        <v>1.9</v>
      </c>
      <c r="T53" s="376">
        <v>15.84</v>
      </c>
      <c r="U53" s="377">
        <v>1.69</v>
      </c>
      <c r="V53" s="376">
        <v>18</v>
      </c>
      <c r="W53" s="377">
        <v>0.82</v>
      </c>
      <c r="X53" s="376">
        <v>22.05</v>
      </c>
      <c r="Y53" s="377">
        <v>0</v>
      </c>
      <c r="Z53" s="376">
        <v>1.44</v>
      </c>
      <c r="AA53" s="377">
        <v>0</v>
      </c>
      <c r="AB53" s="376">
        <v>1.44</v>
      </c>
      <c r="AC53" s="377">
        <v>0</v>
      </c>
      <c r="AD53" s="372">
        <v>0</v>
      </c>
      <c r="AE53" s="373">
        <v>0</v>
      </c>
      <c r="AF53" s="376">
        <v>1.1399999999999999</v>
      </c>
      <c r="AG53" s="377">
        <v>0</v>
      </c>
      <c r="AH53" s="376">
        <v>0</v>
      </c>
      <c r="AI53" s="377">
        <v>0</v>
      </c>
      <c r="AJ53" s="376">
        <v>0</v>
      </c>
      <c r="AK53" s="377">
        <v>0</v>
      </c>
      <c r="AL53" s="376">
        <v>0.17</v>
      </c>
      <c r="AM53" s="377">
        <v>0</v>
      </c>
      <c r="AN53" s="376">
        <v>0</v>
      </c>
      <c r="AO53" s="377">
        <v>0</v>
      </c>
      <c r="AP53" s="376">
        <v>0</v>
      </c>
      <c r="AQ53" s="377">
        <v>0</v>
      </c>
      <c r="AR53" s="376">
        <v>0</v>
      </c>
      <c r="AS53" s="377">
        <v>0</v>
      </c>
      <c r="AT53" s="376">
        <v>0.13</v>
      </c>
      <c r="AU53" s="377">
        <v>0</v>
      </c>
    </row>
    <row r="54" spans="1:47" ht="16.5" customHeight="1">
      <c r="A54" s="362"/>
      <c r="B54" s="427"/>
      <c r="C54" s="428"/>
      <c r="D54" s="429" t="s">
        <v>322</v>
      </c>
      <c r="E54" s="381"/>
      <c r="F54" s="381">
        <v>4.0675004424825412</v>
      </c>
      <c r="G54" s="421" t="s">
        <v>46</v>
      </c>
      <c r="H54" s="382">
        <v>59.640352448296504</v>
      </c>
      <c r="I54" s="383"/>
      <c r="J54" s="382">
        <v>50.438257265089888</v>
      </c>
      <c r="K54" s="383"/>
      <c r="L54" s="382">
        <v>36.875228869727131</v>
      </c>
      <c r="M54" s="383"/>
      <c r="N54" s="382">
        <v>34.486595881453233</v>
      </c>
      <c r="O54" s="383"/>
      <c r="P54" s="382">
        <v>93.010197725710995</v>
      </c>
      <c r="Q54" s="383"/>
      <c r="R54" s="382">
        <v>33.619369139715829</v>
      </c>
      <c r="S54" s="383"/>
      <c r="T54" s="382">
        <v>14.618505973887791</v>
      </c>
      <c r="U54" s="383"/>
      <c r="V54" s="382">
        <v>19.631302728703478</v>
      </c>
      <c r="W54" s="383"/>
      <c r="X54" s="382">
        <v>15.608318001462994</v>
      </c>
      <c r="Y54" s="383"/>
      <c r="Z54" s="382">
        <v>0.95379690998160171</v>
      </c>
      <c r="AA54" s="422"/>
      <c r="AB54" s="382">
        <v>0.95379690998160171</v>
      </c>
      <c r="AC54" s="422"/>
      <c r="AD54" s="382">
        <v>0</v>
      </c>
      <c r="AE54" s="422"/>
      <c r="AF54" s="382">
        <v>0.75508922040210136</v>
      </c>
      <c r="AG54" s="422"/>
      <c r="AH54" s="382">
        <v>0</v>
      </c>
      <c r="AI54" s="422"/>
      <c r="AJ54" s="382">
        <v>0</v>
      </c>
      <c r="AK54" s="422"/>
      <c r="AL54" s="382">
        <v>0.11260102409505021</v>
      </c>
      <c r="AM54" s="422"/>
      <c r="AN54" s="382">
        <v>0</v>
      </c>
      <c r="AO54" s="422"/>
      <c r="AP54" s="382">
        <v>0</v>
      </c>
      <c r="AQ54" s="422"/>
      <c r="AR54" s="382">
        <v>0</v>
      </c>
      <c r="AS54" s="422"/>
      <c r="AT54" s="382">
        <v>8.6106665484450159E-2</v>
      </c>
      <c r="AU54" s="422"/>
    </row>
    <row r="55" spans="1:47" ht="16.5" customHeight="1">
      <c r="A55" s="362"/>
      <c r="B55" s="417">
        <v>30</v>
      </c>
      <c r="C55" s="418" t="s">
        <v>89</v>
      </c>
      <c r="D55" s="416" t="s">
        <v>240</v>
      </c>
      <c r="E55" s="375">
        <v>194589</v>
      </c>
      <c r="F55" s="375">
        <v>6.19</v>
      </c>
      <c r="G55" s="371">
        <v>0.316</v>
      </c>
      <c r="H55" s="376">
        <v>80.38</v>
      </c>
      <c r="I55" s="377">
        <v>5.48</v>
      </c>
      <c r="J55" s="376">
        <v>66.12</v>
      </c>
      <c r="K55" s="377">
        <v>4.07</v>
      </c>
      <c r="L55" s="376">
        <v>391.3</v>
      </c>
      <c r="M55" s="377">
        <v>1.8</v>
      </c>
      <c r="N55" s="376">
        <v>318.7</v>
      </c>
      <c r="O55" s="377">
        <v>1.8</v>
      </c>
      <c r="P55" s="376">
        <v>89.44</v>
      </c>
      <c r="Q55" s="377">
        <v>1.17</v>
      </c>
      <c r="R55" s="376">
        <v>4</v>
      </c>
      <c r="S55" s="377">
        <v>0.1</v>
      </c>
      <c r="T55" s="376">
        <v>30.15</v>
      </c>
      <c r="U55" s="377">
        <v>3.17</v>
      </c>
      <c r="V55" s="376">
        <v>46.14</v>
      </c>
      <c r="W55" s="377">
        <v>1.06</v>
      </c>
      <c r="X55" s="376">
        <v>1.7</v>
      </c>
      <c r="Y55" s="377">
        <v>0</v>
      </c>
      <c r="Z55" s="372">
        <v>0</v>
      </c>
      <c r="AA55" s="373">
        <v>0</v>
      </c>
      <c r="AB55" s="372">
        <v>0</v>
      </c>
      <c r="AC55" s="373">
        <v>0</v>
      </c>
      <c r="AD55" s="372">
        <v>0</v>
      </c>
      <c r="AE55" s="373">
        <v>0</v>
      </c>
      <c r="AF55" s="372">
        <v>0</v>
      </c>
      <c r="AG55" s="373">
        <v>0</v>
      </c>
      <c r="AH55" s="372">
        <v>0</v>
      </c>
      <c r="AI55" s="373">
        <v>0</v>
      </c>
      <c r="AJ55" s="372">
        <v>0</v>
      </c>
      <c r="AK55" s="373">
        <v>0</v>
      </c>
      <c r="AL55" s="372">
        <v>0</v>
      </c>
      <c r="AM55" s="373">
        <v>0</v>
      </c>
      <c r="AN55" s="372">
        <v>0</v>
      </c>
      <c r="AO55" s="373">
        <v>0</v>
      </c>
      <c r="AP55" s="372">
        <v>0</v>
      </c>
      <c r="AQ55" s="373">
        <v>0</v>
      </c>
      <c r="AR55" s="372">
        <v>0</v>
      </c>
      <c r="AS55" s="373">
        <v>0</v>
      </c>
      <c r="AT55" s="372">
        <v>0</v>
      </c>
      <c r="AU55" s="373">
        <v>0</v>
      </c>
    </row>
    <row r="56" spans="1:47" ht="16.5" customHeight="1">
      <c r="A56" s="362"/>
      <c r="B56" s="417">
        <v>31</v>
      </c>
      <c r="C56" s="418" t="s">
        <v>91</v>
      </c>
      <c r="D56" s="419" t="s">
        <v>187</v>
      </c>
      <c r="E56" s="375">
        <v>40415</v>
      </c>
      <c r="F56" s="375">
        <v>5.44</v>
      </c>
      <c r="G56" s="371">
        <v>6.0519999999999996</v>
      </c>
      <c r="H56" s="376">
        <v>61.5</v>
      </c>
      <c r="I56" s="377">
        <v>1.77</v>
      </c>
      <c r="J56" s="376">
        <v>47.95</v>
      </c>
      <c r="K56" s="377">
        <v>1.91</v>
      </c>
      <c r="L56" s="376">
        <v>45.1</v>
      </c>
      <c r="M56" s="377">
        <v>1.3</v>
      </c>
      <c r="N56" s="376">
        <v>39.1</v>
      </c>
      <c r="O56" s="377">
        <v>0.1</v>
      </c>
      <c r="P56" s="376">
        <v>100.36</v>
      </c>
      <c r="Q56" s="377">
        <v>1.07</v>
      </c>
      <c r="R56" s="376">
        <v>39.299999999999997</v>
      </c>
      <c r="S56" s="377">
        <v>0.4</v>
      </c>
      <c r="T56" s="376">
        <v>22.74</v>
      </c>
      <c r="U56" s="377">
        <v>0.63</v>
      </c>
      <c r="V56" s="376">
        <v>16.940000000000001</v>
      </c>
      <c r="W56" s="377">
        <v>0.13</v>
      </c>
      <c r="X56" s="376">
        <v>10.1</v>
      </c>
      <c r="Y56" s="377">
        <v>0</v>
      </c>
      <c r="Z56" s="376">
        <v>8.61</v>
      </c>
      <c r="AA56" s="377">
        <v>0</v>
      </c>
      <c r="AB56" s="376">
        <v>8.61</v>
      </c>
      <c r="AC56" s="377">
        <v>0</v>
      </c>
      <c r="AD56" s="372">
        <v>0</v>
      </c>
      <c r="AE56" s="373">
        <v>0</v>
      </c>
      <c r="AF56" s="376">
        <v>2.31</v>
      </c>
      <c r="AG56" s="377">
        <v>0</v>
      </c>
      <c r="AH56" s="376">
        <v>1.61</v>
      </c>
      <c r="AI56" s="377">
        <v>0</v>
      </c>
      <c r="AJ56" s="376">
        <v>0</v>
      </c>
      <c r="AK56" s="377">
        <v>0</v>
      </c>
      <c r="AL56" s="376">
        <v>1.86</v>
      </c>
      <c r="AM56" s="377">
        <v>0</v>
      </c>
      <c r="AN56" s="376">
        <v>0.19</v>
      </c>
      <c r="AO56" s="377">
        <v>0</v>
      </c>
      <c r="AP56" s="376">
        <v>1.04</v>
      </c>
      <c r="AQ56" s="377">
        <v>0</v>
      </c>
      <c r="AR56" s="376">
        <v>0</v>
      </c>
      <c r="AS56" s="377">
        <v>0</v>
      </c>
      <c r="AT56" s="376">
        <v>1.6</v>
      </c>
      <c r="AU56" s="377">
        <v>0</v>
      </c>
    </row>
    <row r="57" spans="1:47" ht="16.5" customHeight="1">
      <c r="A57" s="362"/>
      <c r="B57" s="417">
        <v>32</v>
      </c>
      <c r="C57" s="418" t="s">
        <v>92</v>
      </c>
      <c r="D57" s="419" t="s">
        <v>240</v>
      </c>
      <c r="E57" s="375">
        <v>261716</v>
      </c>
      <c r="F57" s="375">
        <v>5.27</v>
      </c>
      <c r="G57" s="371">
        <v>0.878</v>
      </c>
      <c r="H57" s="376">
        <v>32.4</v>
      </c>
      <c r="I57" s="377">
        <v>4.3099999999999996</v>
      </c>
      <c r="J57" s="376">
        <v>25.98</v>
      </c>
      <c r="K57" s="377">
        <v>3.36</v>
      </c>
      <c r="L57" s="376">
        <v>14.6</v>
      </c>
      <c r="M57" s="377">
        <v>0.4</v>
      </c>
      <c r="N57" s="376">
        <v>12.2</v>
      </c>
      <c r="O57" s="377">
        <v>0.2</v>
      </c>
      <c r="P57" s="376">
        <v>54.21</v>
      </c>
      <c r="Q57" s="377">
        <v>1.86</v>
      </c>
      <c r="R57" s="376">
        <v>2.2999999999999998</v>
      </c>
      <c r="S57" s="377">
        <v>0.1</v>
      </c>
      <c r="T57" s="376">
        <v>10.280000000000001</v>
      </c>
      <c r="U57" s="377">
        <v>0.73</v>
      </c>
      <c r="V57" s="376">
        <v>13.18</v>
      </c>
      <c r="W57" s="377">
        <v>0.09</v>
      </c>
      <c r="X57" s="376">
        <v>2.5</v>
      </c>
      <c r="Y57" s="377">
        <v>0</v>
      </c>
      <c r="Z57" s="376">
        <v>0.66</v>
      </c>
      <c r="AA57" s="377">
        <v>0</v>
      </c>
      <c r="AB57" s="376">
        <v>0.66</v>
      </c>
      <c r="AC57" s="377">
        <v>0</v>
      </c>
      <c r="AD57" s="372">
        <v>0</v>
      </c>
      <c r="AE57" s="373">
        <v>0</v>
      </c>
      <c r="AF57" s="376">
        <v>0.31</v>
      </c>
      <c r="AG57" s="377">
        <v>0</v>
      </c>
      <c r="AH57" s="376">
        <v>0.15</v>
      </c>
      <c r="AI57" s="377">
        <v>0</v>
      </c>
      <c r="AJ57" s="376">
        <v>0.02</v>
      </c>
      <c r="AK57" s="377">
        <v>0</v>
      </c>
      <c r="AL57" s="376">
        <v>7.0000000000000007E-2</v>
      </c>
      <c r="AM57" s="377">
        <v>0</v>
      </c>
      <c r="AN57" s="376">
        <v>0.03</v>
      </c>
      <c r="AO57" s="377">
        <v>0</v>
      </c>
      <c r="AP57" s="376">
        <v>0.04</v>
      </c>
      <c r="AQ57" s="377">
        <v>0</v>
      </c>
      <c r="AR57" s="376">
        <v>0</v>
      </c>
      <c r="AS57" s="377">
        <v>0</v>
      </c>
      <c r="AT57" s="376">
        <v>0.04</v>
      </c>
      <c r="AU57" s="377">
        <v>0</v>
      </c>
    </row>
    <row r="58" spans="1:47" ht="16.5" customHeight="1">
      <c r="B58" s="430" t="s">
        <v>93</v>
      </c>
      <c r="C58" s="431" t="s">
        <v>94</v>
      </c>
      <c r="D58" s="432" t="s">
        <v>192</v>
      </c>
      <c r="E58" s="399">
        <v>26626</v>
      </c>
      <c r="F58" s="399">
        <v>6.26</v>
      </c>
      <c r="G58" s="433">
        <v>9.0039999999999996</v>
      </c>
      <c r="H58" s="400">
        <v>61.48</v>
      </c>
      <c r="I58" s="401">
        <v>0.6</v>
      </c>
      <c r="J58" s="400">
        <v>41.4</v>
      </c>
      <c r="K58" s="401">
        <v>0.42</v>
      </c>
      <c r="L58" s="400">
        <v>29.8</v>
      </c>
      <c r="M58" s="401">
        <v>1.1000000000000001</v>
      </c>
      <c r="N58" s="400">
        <v>26.2</v>
      </c>
      <c r="O58" s="401">
        <v>0.8</v>
      </c>
      <c r="P58" s="400">
        <v>132.30000000000001</v>
      </c>
      <c r="Q58" s="401">
        <v>1.89</v>
      </c>
      <c r="R58" s="400">
        <v>5.4</v>
      </c>
      <c r="S58" s="401">
        <v>0.1</v>
      </c>
      <c r="T58" s="400">
        <v>3.2</v>
      </c>
      <c r="U58" s="401">
        <v>0.06</v>
      </c>
      <c r="V58" s="400">
        <v>7.66</v>
      </c>
      <c r="W58" s="401">
        <v>0.16</v>
      </c>
      <c r="X58" s="400">
        <v>11.7</v>
      </c>
      <c r="Y58" s="401">
        <v>0</v>
      </c>
      <c r="Z58" s="400">
        <v>9.07</v>
      </c>
      <c r="AA58" s="401">
        <v>0</v>
      </c>
      <c r="AB58" s="400">
        <v>9.0399999999999991</v>
      </c>
      <c r="AC58" s="401">
        <v>0</v>
      </c>
      <c r="AD58" s="434">
        <v>0</v>
      </c>
      <c r="AE58" s="435">
        <v>0</v>
      </c>
      <c r="AF58" s="400">
        <v>2.14</v>
      </c>
      <c r="AG58" s="401">
        <v>0</v>
      </c>
      <c r="AH58" s="400">
        <v>0.78</v>
      </c>
      <c r="AI58" s="401">
        <v>0</v>
      </c>
      <c r="AJ58" s="400">
        <v>0.06</v>
      </c>
      <c r="AK58" s="401">
        <v>0</v>
      </c>
      <c r="AL58" s="400">
        <v>2.69</v>
      </c>
      <c r="AM58" s="401">
        <v>0</v>
      </c>
      <c r="AN58" s="400">
        <v>0.12</v>
      </c>
      <c r="AO58" s="401">
        <v>0</v>
      </c>
      <c r="AP58" s="400">
        <v>1.25</v>
      </c>
      <c r="AQ58" s="401">
        <v>0</v>
      </c>
      <c r="AR58" s="400">
        <v>0.02</v>
      </c>
      <c r="AS58" s="401">
        <v>0</v>
      </c>
      <c r="AT58" s="400">
        <v>2</v>
      </c>
      <c r="AU58" s="401">
        <v>0</v>
      </c>
    </row>
    <row r="59" spans="1:47" ht="16.5" customHeight="1">
      <c r="A59" s="362"/>
      <c r="B59" s="414">
        <v>33</v>
      </c>
      <c r="C59" s="415" t="s">
        <v>97</v>
      </c>
      <c r="D59" s="416" t="s">
        <v>248</v>
      </c>
      <c r="E59" s="371">
        <v>414670</v>
      </c>
      <c r="F59" s="371">
        <v>6.47</v>
      </c>
      <c r="G59" s="371">
        <v>0.2525</v>
      </c>
      <c r="H59" s="372">
        <v>12.23</v>
      </c>
      <c r="I59" s="373">
        <v>0.18</v>
      </c>
      <c r="J59" s="372">
        <v>7.75</v>
      </c>
      <c r="K59" s="373">
        <v>0.21</v>
      </c>
      <c r="L59" s="372">
        <v>4.8</v>
      </c>
      <c r="M59" s="373">
        <v>0.3</v>
      </c>
      <c r="N59" s="372">
        <v>3.9</v>
      </c>
      <c r="O59" s="373">
        <v>0.1</v>
      </c>
      <c r="P59" s="372">
        <v>10.89</v>
      </c>
      <c r="Q59" s="373">
        <v>0.06</v>
      </c>
      <c r="R59" s="372">
        <v>0.1</v>
      </c>
      <c r="S59" s="373">
        <v>0</v>
      </c>
      <c r="T59" s="372">
        <v>2.79</v>
      </c>
      <c r="U59" s="373">
        <v>0.03</v>
      </c>
      <c r="V59" s="372">
        <v>8.5399999999999991</v>
      </c>
      <c r="W59" s="373">
        <v>0.46</v>
      </c>
      <c r="X59" s="372">
        <v>1.05</v>
      </c>
      <c r="Y59" s="373">
        <v>0</v>
      </c>
      <c r="Z59" s="372">
        <v>0</v>
      </c>
      <c r="AA59" s="373">
        <v>0</v>
      </c>
      <c r="AB59" s="372">
        <v>0</v>
      </c>
      <c r="AC59" s="373">
        <v>0</v>
      </c>
      <c r="AD59" s="372">
        <v>0</v>
      </c>
      <c r="AE59" s="373">
        <v>0</v>
      </c>
      <c r="AF59" s="372">
        <v>0</v>
      </c>
      <c r="AG59" s="373">
        <v>0</v>
      </c>
      <c r="AH59" s="372">
        <v>0</v>
      </c>
      <c r="AI59" s="373">
        <v>0</v>
      </c>
      <c r="AJ59" s="372">
        <v>0</v>
      </c>
      <c r="AK59" s="373">
        <v>0</v>
      </c>
      <c r="AL59" s="372">
        <v>0</v>
      </c>
      <c r="AM59" s="373">
        <v>0</v>
      </c>
      <c r="AN59" s="372">
        <v>0</v>
      </c>
      <c r="AO59" s="373">
        <v>0</v>
      </c>
      <c r="AP59" s="372">
        <v>0</v>
      </c>
      <c r="AQ59" s="373">
        <v>0</v>
      </c>
      <c r="AR59" s="372">
        <v>0</v>
      </c>
      <c r="AS59" s="373">
        <v>0</v>
      </c>
      <c r="AT59" s="372">
        <v>0</v>
      </c>
      <c r="AU59" s="373">
        <v>0</v>
      </c>
    </row>
    <row r="60" spans="1:47" ht="16.5" customHeight="1">
      <c r="A60" s="362"/>
      <c r="B60" s="417">
        <v>34</v>
      </c>
      <c r="C60" s="418" t="s">
        <v>98</v>
      </c>
      <c r="D60" s="419" t="s">
        <v>192</v>
      </c>
      <c r="E60" s="375">
        <v>20518</v>
      </c>
      <c r="F60" s="375">
        <v>3.64</v>
      </c>
      <c r="G60" s="371" t="s">
        <v>46</v>
      </c>
      <c r="H60" s="376">
        <v>54.53</v>
      </c>
      <c r="I60" s="377">
        <v>0.25</v>
      </c>
      <c r="J60" s="376">
        <v>46.48</v>
      </c>
      <c r="K60" s="377">
        <v>0.18</v>
      </c>
      <c r="L60" s="376">
        <v>17.3</v>
      </c>
      <c r="M60" s="377">
        <v>0.5</v>
      </c>
      <c r="N60" s="376">
        <v>16</v>
      </c>
      <c r="O60" s="377">
        <v>0.6</v>
      </c>
      <c r="P60" s="376">
        <v>115.32</v>
      </c>
      <c r="Q60" s="377">
        <v>2.74</v>
      </c>
      <c r="R60" s="376">
        <v>33.700000000000003</v>
      </c>
      <c r="S60" s="377">
        <v>0.8</v>
      </c>
      <c r="T60" s="376">
        <v>20.57</v>
      </c>
      <c r="U60" s="377">
        <v>2.13</v>
      </c>
      <c r="V60" s="376">
        <v>14.95</v>
      </c>
      <c r="W60" s="377">
        <v>0.05</v>
      </c>
      <c r="X60" s="376">
        <v>11.7</v>
      </c>
      <c r="Y60" s="377">
        <v>0</v>
      </c>
      <c r="Z60" s="376">
        <v>1.74</v>
      </c>
      <c r="AA60" s="377">
        <v>0</v>
      </c>
      <c r="AB60" s="376">
        <v>1.74</v>
      </c>
      <c r="AC60" s="377">
        <v>0</v>
      </c>
      <c r="AD60" s="372">
        <v>0</v>
      </c>
      <c r="AE60" s="373">
        <v>0</v>
      </c>
      <c r="AF60" s="376">
        <v>1.74</v>
      </c>
      <c r="AG60" s="377">
        <v>0</v>
      </c>
      <c r="AH60" s="372">
        <v>0</v>
      </c>
      <c r="AI60" s="373">
        <v>0</v>
      </c>
      <c r="AJ60" s="372">
        <v>0</v>
      </c>
      <c r="AK60" s="373">
        <v>0</v>
      </c>
      <c r="AL60" s="372">
        <v>0</v>
      </c>
      <c r="AM60" s="373">
        <v>0</v>
      </c>
      <c r="AN60" s="372">
        <v>0</v>
      </c>
      <c r="AO60" s="373">
        <v>0</v>
      </c>
      <c r="AP60" s="372">
        <v>0</v>
      </c>
      <c r="AQ60" s="373">
        <v>0</v>
      </c>
      <c r="AR60" s="372">
        <v>0</v>
      </c>
      <c r="AS60" s="373">
        <v>0</v>
      </c>
      <c r="AT60" s="372">
        <v>0</v>
      </c>
      <c r="AU60" s="373">
        <v>0</v>
      </c>
    </row>
    <row r="61" spans="1:47" ht="16.5" customHeight="1">
      <c r="A61" s="362"/>
      <c r="B61" s="402">
        <f>COUNTA(B3:B60)</f>
        <v>35</v>
      </c>
      <c r="C61" s="362"/>
      <c r="D61" s="362"/>
      <c r="E61" s="403"/>
      <c r="F61" s="407"/>
      <c r="G61" s="407"/>
      <c r="H61" s="362"/>
      <c r="I61" s="362"/>
      <c r="J61" s="362"/>
      <c r="K61" s="362"/>
      <c r="L61" s="362"/>
      <c r="M61" s="362"/>
      <c r="N61" s="362"/>
      <c r="O61" s="362"/>
      <c r="P61" s="362"/>
      <c r="Q61" s="362"/>
      <c r="R61" s="362"/>
      <c r="S61" s="362"/>
      <c r="T61" s="362"/>
      <c r="U61" s="362"/>
      <c r="V61" s="362"/>
      <c r="W61" s="362"/>
      <c r="X61" s="362"/>
      <c r="Y61" s="362"/>
      <c r="Z61" s="362"/>
      <c r="AA61" s="362"/>
      <c r="AB61" s="362"/>
      <c r="AC61" s="362"/>
      <c r="AD61" s="362"/>
      <c r="AE61" s="362"/>
      <c r="AF61" s="362"/>
      <c r="AG61" s="362"/>
      <c r="AH61" s="362"/>
      <c r="AI61" s="362"/>
      <c r="AJ61" s="357"/>
      <c r="AK61" s="357"/>
      <c r="AL61" s="357"/>
      <c r="AM61" s="357"/>
      <c r="AN61" s="357"/>
      <c r="AO61" s="357"/>
      <c r="AP61" s="357"/>
      <c r="AQ61" s="357"/>
      <c r="AR61" s="357"/>
      <c r="AS61" s="357"/>
      <c r="AT61" s="357"/>
      <c r="AU61" s="357"/>
    </row>
    <row r="62" spans="1:47" ht="16.5" customHeight="1">
      <c r="E62" s="404"/>
    </row>
    <row r="63" spans="1:47" ht="16.5" customHeight="1">
      <c r="E63" s="404"/>
      <c r="AB63" s="409"/>
    </row>
    <row r="64" spans="1:47" ht="16.5" customHeight="1">
      <c r="E64" s="404"/>
      <c r="AB64" s="409"/>
    </row>
    <row r="65" spans="1:47" ht="16.5" customHeight="1">
      <c r="E65" s="404"/>
    </row>
    <row r="66" spans="1:47" ht="16.5" customHeight="1">
      <c r="E66" s="404"/>
    </row>
    <row r="67" spans="1:47" ht="16.5" customHeight="1">
      <c r="E67" s="404"/>
    </row>
    <row r="68" spans="1:47" ht="16.5" customHeight="1">
      <c r="E68" s="404"/>
    </row>
    <row r="69" spans="1:47" ht="16.5" customHeight="1">
      <c r="E69" s="404"/>
    </row>
    <row r="70" spans="1:47" ht="16.5" customHeight="1">
      <c r="E70" s="404"/>
    </row>
    <row r="71" spans="1:47" s="408" customFormat="1" ht="16.5" customHeight="1">
      <c r="A71" s="210"/>
      <c r="B71" s="210"/>
      <c r="C71" s="210"/>
      <c r="D71" s="210"/>
      <c r="E71" s="404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  <c r="AA71" s="210"/>
      <c r="AB71" s="210"/>
      <c r="AC71" s="210"/>
      <c r="AD71" s="210"/>
      <c r="AE71" s="210"/>
      <c r="AF71" s="210"/>
      <c r="AG71" s="210"/>
      <c r="AH71" s="210"/>
      <c r="AI71" s="210"/>
      <c r="AJ71"/>
      <c r="AK71"/>
      <c r="AL71"/>
      <c r="AM71"/>
      <c r="AN71"/>
      <c r="AO71"/>
      <c r="AP71"/>
      <c r="AQ71"/>
      <c r="AR71"/>
      <c r="AS71"/>
      <c r="AT71"/>
      <c r="AU71"/>
    </row>
    <row r="72" spans="1:47" s="408" customFormat="1" ht="16.5" customHeight="1">
      <c r="A72" s="210"/>
      <c r="B72" s="210"/>
      <c r="C72" s="210"/>
      <c r="D72" s="210"/>
      <c r="E72" s="404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  <c r="AA72" s="210"/>
      <c r="AB72" s="210"/>
      <c r="AC72" s="210"/>
      <c r="AD72" s="210"/>
      <c r="AE72" s="210"/>
      <c r="AF72" s="210"/>
      <c r="AG72" s="210"/>
      <c r="AH72" s="210"/>
      <c r="AI72" s="210"/>
      <c r="AJ72"/>
      <c r="AK72"/>
      <c r="AL72"/>
      <c r="AM72"/>
      <c r="AN72"/>
      <c r="AO72"/>
      <c r="AP72"/>
      <c r="AQ72"/>
      <c r="AR72"/>
      <c r="AS72"/>
      <c r="AT72"/>
      <c r="AU72"/>
    </row>
    <row r="73" spans="1:47" s="408" customFormat="1" ht="16.5" customHeight="1">
      <c r="A73" s="210"/>
      <c r="B73" s="210"/>
      <c r="C73" s="210"/>
      <c r="D73" s="210"/>
      <c r="E73" s="404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  <c r="AA73" s="210"/>
      <c r="AB73" s="210"/>
      <c r="AC73" s="210"/>
      <c r="AD73" s="210"/>
      <c r="AE73" s="210"/>
      <c r="AF73" s="210"/>
      <c r="AG73" s="210"/>
      <c r="AH73" s="210"/>
      <c r="AI73" s="210"/>
      <c r="AJ73"/>
      <c r="AK73"/>
      <c r="AL73"/>
      <c r="AM73"/>
      <c r="AN73"/>
      <c r="AO73"/>
      <c r="AP73"/>
      <c r="AQ73"/>
      <c r="AR73"/>
      <c r="AS73"/>
      <c r="AT73"/>
      <c r="AU73"/>
    </row>
    <row r="74" spans="1:47" s="408" customFormat="1" ht="16.5" customHeight="1">
      <c r="A74" s="210"/>
      <c r="B74" s="210"/>
      <c r="C74" s="210"/>
      <c r="D74" s="210"/>
      <c r="E74" s="404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  <c r="AA74" s="210"/>
      <c r="AB74" s="210"/>
      <c r="AC74" s="210"/>
      <c r="AD74" s="210"/>
      <c r="AE74" s="210"/>
      <c r="AF74" s="210"/>
      <c r="AG74" s="210"/>
      <c r="AH74" s="210"/>
      <c r="AI74" s="210"/>
      <c r="AJ74"/>
      <c r="AK74"/>
      <c r="AL74"/>
      <c r="AM74"/>
      <c r="AN74"/>
      <c r="AO74"/>
      <c r="AP74"/>
      <c r="AQ74"/>
      <c r="AR74"/>
      <c r="AS74"/>
      <c r="AT74"/>
      <c r="AU74"/>
    </row>
    <row r="75" spans="1:47" s="408" customFormat="1" ht="16.5" customHeight="1">
      <c r="A75" s="210"/>
      <c r="B75" s="210"/>
      <c r="C75" s="210"/>
      <c r="D75" s="210"/>
      <c r="E75" s="404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  <c r="AA75" s="210"/>
      <c r="AB75" s="210"/>
      <c r="AC75" s="210"/>
      <c r="AD75" s="210"/>
      <c r="AE75" s="210"/>
      <c r="AF75" s="210"/>
      <c r="AG75" s="210"/>
      <c r="AH75" s="210"/>
      <c r="AI75" s="210"/>
      <c r="AJ75"/>
      <c r="AK75"/>
      <c r="AL75"/>
      <c r="AM75"/>
      <c r="AN75"/>
      <c r="AO75"/>
      <c r="AP75"/>
      <c r="AQ75"/>
      <c r="AR75"/>
      <c r="AS75"/>
      <c r="AT75"/>
      <c r="AU75"/>
    </row>
    <row r="76" spans="1:47" s="408" customFormat="1" ht="16.5" customHeight="1">
      <c r="A76" s="210"/>
      <c r="B76" s="210"/>
      <c r="C76" s="210"/>
      <c r="D76" s="210"/>
      <c r="E76" s="404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  <c r="AA76" s="210"/>
      <c r="AB76" s="210"/>
      <c r="AC76" s="210"/>
      <c r="AD76" s="210"/>
      <c r="AE76" s="210"/>
      <c r="AF76" s="210"/>
      <c r="AG76" s="210"/>
      <c r="AH76" s="210"/>
      <c r="AI76" s="210"/>
      <c r="AJ76"/>
      <c r="AK76"/>
      <c r="AL76"/>
      <c r="AM76"/>
      <c r="AN76"/>
      <c r="AO76"/>
      <c r="AP76"/>
      <c r="AQ76"/>
      <c r="AR76"/>
      <c r="AS76"/>
      <c r="AT76"/>
      <c r="AU76"/>
    </row>
    <row r="77" spans="1:47" s="408" customFormat="1" ht="16.5" customHeight="1">
      <c r="A77" s="210"/>
      <c r="B77" s="210"/>
      <c r="C77" s="210"/>
      <c r="D77" s="210"/>
      <c r="E77" s="404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  <c r="AA77" s="210"/>
      <c r="AB77" s="210"/>
      <c r="AC77" s="210"/>
      <c r="AD77" s="210"/>
      <c r="AE77" s="210"/>
      <c r="AF77" s="210"/>
      <c r="AG77" s="210"/>
      <c r="AH77" s="210"/>
      <c r="AI77" s="210"/>
      <c r="AJ77"/>
      <c r="AK77"/>
      <c r="AL77"/>
      <c r="AM77"/>
      <c r="AN77"/>
      <c r="AO77"/>
      <c r="AP77"/>
      <c r="AQ77"/>
      <c r="AR77"/>
      <c r="AS77"/>
      <c r="AT77"/>
      <c r="AU77"/>
    </row>
    <row r="78" spans="1:47" s="408" customFormat="1" ht="16.5" customHeight="1">
      <c r="A78" s="210"/>
      <c r="B78" s="210"/>
      <c r="C78" s="210"/>
      <c r="D78" s="210"/>
      <c r="E78" s="404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  <c r="AA78" s="210"/>
      <c r="AB78" s="210"/>
      <c r="AC78" s="210"/>
      <c r="AD78" s="210"/>
      <c r="AE78" s="210"/>
      <c r="AF78" s="210"/>
      <c r="AG78" s="210"/>
      <c r="AH78" s="210"/>
      <c r="AI78" s="210"/>
      <c r="AJ78"/>
      <c r="AK78"/>
      <c r="AL78"/>
      <c r="AM78"/>
      <c r="AN78"/>
      <c r="AO78"/>
      <c r="AP78"/>
      <c r="AQ78"/>
      <c r="AR78"/>
      <c r="AS78"/>
      <c r="AT78"/>
      <c r="AU78"/>
    </row>
    <row r="79" spans="1:47" s="408" customFormat="1" ht="16.5" customHeight="1">
      <c r="A79" s="210"/>
      <c r="B79" s="210"/>
      <c r="C79" s="210"/>
      <c r="D79" s="210"/>
      <c r="E79" s="404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  <c r="AA79" s="210"/>
      <c r="AB79" s="210"/>
      <c r="AC79" s="210"/>
      <c r="AD79" s="210"/>
      <c r="AE79" s="210"/>
      <c r="AF79" s="210"/>
      <c r="AG79" s="210"/>
      <c r="AH79" s="210"/>
      <c r="AI79" s="210"/>
      <c r="AJ79"/>
      <c r="AK79"/>
      <c r="AL79"/>
      <c r="AM79"/>
      <c r="AN79"/>
      <c r="AO79"/>
      <c r="AP79"/>
      <c r="AQ79"/>
      <c r="AR79"/>
      <c r="AS79"/>
      <c r="AT79"/>
      <c r="AU79"/>
    </row>
    <row r="80" spans="1:47" s="408" customFormat="1" ht="16.5" customHeight="1">
      <c r="A80" s="210"/>
      <c r="B80" s="210"/>
      <c r="C80" s="210"/>
      <c r="D80" s="210"/>
      <c r="E80" s="404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  <c r="AA80" s="210"/>
      <c r="AB80" s="210"/>
      <c r="AC80" s="210"/>
      <c r="AD80" s="210"/>
      <c r="AE80" s="210"/>
      <c r="AF80" s="210"/>
      <c r="AG80" s="210"/>
      <c r="AH80" s="210"/>
      <c r="AI80" s="210"/>
      <c r="AJ80"/>
      <c r="AK80"/>
      <c r="AL80"/>
      <c r="AM80"/>
      <c r="AN80"/>
      <c r="AO80"/>
      <c r="AP80"/>
      <c r="AQ80"/>
      <c r="AR80"/>
      <c r="AS80"/>
      <c r="AT80"/>
      <c r="AU80"/>
    </row>
    <row r="81" spans="1:47" s="408" customFormat="1" ht="16.5" customHeight="1">
      <c r="A81" s="210"/>
      <c r="B81" s="210"/>
      <c r="C81" s="210"/>
      <c r="D81" s="210"/>
      <c r="E81" s="404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  <c r="AA81" s="210"/>
      <c r="AB81" s="210"/>
      <c r="AC81" s="210"/>
      <c r="AD81" s="210"/>
      <c r="AE81" s="210"/>
      <c r="AF81" s="210"/>
      <c r="AG81" s="210"/>
      <c r="AH81" s="210"/>
      <c r="AI81" s="210"/>
      <c r="AJ81"/>
      <c r="AK81"/>
      <c r="AL81"/>
      <c r="AM81"/>
      <c r="AN81"/>
      <c r="AO81"/>
      <c r="AP81"/>
      <c r="AQ81"/>
      <c r="AR81"/>
      <c r="AS81"/>
      <c r="AT81"/>
      <c r="AU81"/>
    </row>
    <row r="82" spans="1:47" s="408" customFormat="1" ht="16.5" customHeight="1">
      <c r="A82" s="210"/>
      <c r="B82" s="210"/>
      <c r="C82" s="210"/>
      <c r="D82" s="210"/>
      <c r="E82" s="404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  <c r="AA82" s="210"/>
      <c r="AB82" s="210"/>
      <c r="AC82" s="210"/>
      <c r="AD82" s="210"/>
      <c r="AE82" s="210"/>
      <c r="AF82" s="210"/>
      <c r="AG82" s="210"/>
      <c r="AH82" s="210"/>
      <c r="AI82" s="210"/>
      <c r="AJ82"/>
      <c r="AK82"/>
      <c r="AL82"/>
      <c r="AM82"/>
      <c r="AN82"/>
      <c r="AO82"/>
      <c r="AP82"/>
      <c r="AQ82"/>
      <c r="AR82"/>
      <c r="AS82"/>
      <c r="AT82"/>
      <c r="AU82"/>
    </row>
    <row r="83" spans="1:47" s="408" customFormat="1" ht="16.5" customHeight="1">
      <c r="A83" s="210"/>
      <c r="B83" s="210"/>
      <c r="C83" s="210"/>
      <c r="D83" s="210"/>
      <c r="E83" s="404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  <c r="AA83" s="210"/>
      <c r="AB83" s="210"/>
      <c r="AC83" s="210"/>
      <c r="AD83" s="210"/>
      <c r="AE83" s="210"/>
      <c r="AF83" s="210"/>
      <c r="AG83" s="210"/>
      <c r="AH83" s="210"/>
      <c r="AI83" s="210"/>
      <c r="AJ83"/>
      <c r="AK83"/>
      <c r="AL83"/>
      <c r="AM83"/>
      <c r="AN83"/>
      <c r="AO83"/>
      <c r="AP83"/>
      <c r="AQ83"/>
      <c r="AR83"/>
      <c r="AS83"/>
      <c r="AT83"/>
      <c r="AU83"/>
    </row>
    <row r="84" spans="1:47" s="408" customFormat="1" ht="16.5" customHeight="1">
      <c r="A84" s="210"/>
      <c r="B84" s="210"/>
      <c r="C84" s="210"/>
      <c r="D84" s="210"/>
      <c r="E84" s="404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  <c r="AA84" s="210"/>
      <c r="AB84" s="210"/>
      <c r="AC84" s="210"/>
      <c r="AD84" s="210"/>
      <c r="AE84" s="210"/>
      <c r="AF84" s="210"/>
      <c r="AG84" s="210"/>
      <c r="AH84" s="210"/>
      <c r="AI84" s="210"/>
      <c r="AJ84"/>
      <c r="AK84"/>
      <c r="AL84"/>
      <c r="AM84"/>
      <c r="AN84"/>
      <c r="AO84"/>
      <c r="AP84"/>
      <c r="AQ84"/>
      <c r="AR84"/>
      <c r="AS84"/>
      <c r="AT84"/>
      <c r="AU84"/>
    </row>
    <row r="85" spans="1:47" s="408" customFormat="1" ht="16.5" customHeight="1">
      <c r="A85" s="210"/>
      <c r="B85" s="210"/>
      <c r="C85" s="210"/>
      <c r="D85" s="210"/>
      <c r="E85" s="404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  <c r="AA85" s="210"/>
      <c r="AB85" s="210"/>
      <c r="AC85" s="210"/>
      <c r="AD85" s="210"/>
      <c r="AE85" s="210"/>
      <c r="AF85" s="210"/>
      <c r="AG85" s="210"/>
      <c r="AH85" s="210"/>
      <c r="AI85" s="210"/>
      <c r="AJ85"/>
      <c r="AK85"/>
      <c r="AL85"/>
      <c r="AM85"/>
      <c r="AN85"/>
      <c r="AO85"/>
      <c r="AP85"/>
      <c r="AQ85"/>
      <c r="AR85"/>
      <c r="AS85"/>
      <c r="AT85"/>
      <c r="AU85"/>
    </row>
    <row r="86" spans="1:47" s="408" customFormat="1" ht="16.5" customHeight="1">
      <c r="A86" s="210"/>
      <c r="B86" s="210"/>
      <c r="C86" s="210"/>
      <c r="D86" s="210"/>
      <c r="E86" s="404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  <c r="AA86" s="210"/>
      <c r="AB86" s="210"/>
      <c r="AC86" s="210"/>
      <c r="AD86" s="210"/>
      <c r="AE86" s="210"/>
      <c r="AF86" s="210"/>
      <c r="AG86" s="210"/>
      <c r="AH86" s="210"/>
      <c r="AI86" s="210"/>
      <c r="AJ86"/>
      <c r="AK86"/>
      <c r="AL86"/>
      <c r="AM86"/>
      <c r="AN86"/>
      <c r="AO86"/>
      <c r="AP86"/>
      <c r="AQ86"/>
      <c r="AR86"/>
      <c r="AS86"/>
      <c r="AT86"/>
      <c r="AU86"/>
    </row>
    <row r="87" spans="1:47" s="408" customFormat="1" ht="16.5" customHeight="1">
      <c r="A87" s="210"/>
      <c r="B87" s="210"/>
      <c r="C87" s="210"/>
      <c r="D87" s="210"/>
      <c r="E87" s="404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  <c r="AA87" s="210"/>
      <c r="AB87" s="210"/>
      <c r="AC87" s="210"/>
      <c r="AD87" s="210"/>
      <c r="AE87" s="210"/>
      <c r="AF87" s="210"/>
      <c r="AG87" s="210"/>
      <c r="AH87" s="210"/>
      <c r="AI87" s="210"/>
      <c r="AJ87"/>
      <c r="AK87"/>
      <c r="AL87"/>
      <c r="AM87"/>
      <c r="AN87"/>
      <c r="AO87"/>
      <c r="AP87"/>
      <c r="AQ87"/>
      <c r="AR87"/>
      <c r="AS87"/>
      <c r="AT87"/>
      <c r="AU87"/>
    </row>
    <row r="88" spans="1:47" s="408" customFormat="1" ht="16.5" customHeight="1">
      <c r="A88" s="210"/>
      <c r="B88" s="210"/>
      <c r="C88" s="210"/>
      <c r="D88" s="210"/>
      <c r="E88" s="404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  <c r="AA88" s="210"/>
      <c r="AB88" s="210"/>
      <c r="AC88" s="210"/>
      <c r="AD88" s="210"/>
      <c r="AE88" s="210"/>
      <c r="AF88" s="210"/>
      <c r="AG88" s="210"/>
      <c r="AH88" s="210"/>
      <c r="AI88" s="210"/>
      <c r="AJ88"/>
      <c r="AK88"/>
      <c r="AL88"/>
      <c r="AM88"/>
      <c r="AN88"/>
      <c r="AO88"/>
      <c r="AP88"/>
      <c r="AQ88"/>
      <c r="AR88"/>
      <c r="AS88"/>
      <c r="AT88"/>
      <c r="AU88"/>
    </row>
    <row r="89" spans="1:47" s="408" customFormat="1" ht="16.5" customHeight="1">
      <c r="A89" s="210"/>
      <c r="B89" s="210"/>
      <c r="C89" s="210"/>
      <c r="D89" s="210"/>
      <c r="E89" s="404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  <c r="AA89" s="210"/>
      <c r="AB89" s="210"/>
      <c r="AC89" s="210"/>
      <c r="AD89" s="210"/>
      <c r="AE89" s="210"/>
      <c r="AF89" s="210"/>
      <c r="AG89" s="210"/>
      <c r="AH89" s="210"/>
      <c r="AI89" s="210"/>
      <c r="AJ89"/>
      <c r="AK89"/>
      <c r="AL89"/>
      <c r="AM89"/>
      <c r="AN89"/>
      <c r="AO89"/>
      <c r="AP89"/>
      <c r="AQ89"/>
      <c r="AR89"/>
      <c r="AS89"/>
      <c r="AT89"/>
      <c r="AU89"/>
    </row>
    <row r="90" spans="1:47" s="408" customFormat="1" ht="16.5" customHeight="1">
      <c r="A90" s="210"/>
      <c r="B90" s="210"/>
      <c r="C90" s="210"/>
      <c r="D90" s="210"/>
      <c r="E90" s="404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  <c r="AA90" s="210"/>
      <c r="AB90" s="210"/>
      <c r="AC90" s="210"/>
      <c r="AD90" s="210"/>
      <c r="AE90" s="210"/>
      <c r="AF90" s="210"/>
      <c r="AG90" s="210"/>
      <c r="AH90" s="210"/>
      <c r="AI90" s="210"/>
      <c r="AJ90"/>
      <c r="AK90"/>
      <c r="AL90"/>
      <c r="AM90"/>
      <c r="AN90"/>
      <c r="AO90"/>
      <c r="AP90"/>
      <c r="AQ90"/>
      <c r="AR90"/>
      <c r="AS90"/>
      <c r="AT90"/>
      <c r="AU90"/>
    </row>
    <row r="91" spans="1:47" s="408" customFormat="1" ht="16.5" customHeight="1">
      <c r="A91" s="210"/>
      <c r="B91" s="210"/>
      <c r="C91" s="210"/>
      <c r="D91" s="210"/>
      <c r="E91" s="404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  <c r="AA91" s="210"/>
      <c r="AB91" s="210"/>
      <c r="AC91" s="210"/>
      <c r="AD91" s="210"/>
      <c r="AE91" s="210"/>
      <c r="AF91" s="210"/>
      <c r="AG91" s="210"/>
      <c r="AH91" s="210"/>
      <c r="AI91" s="210"/>
      <c r="AJ91"/>
      <c r="AK91"/>
      <c r="AL91"/>
      <c r="AM91"/>
      <c r="AN91"/>
      <c r="AO91"/>
      <c r="AP91"/>
      <c r="AQ91"/>
      <c r="AR91"/>
      <c r="AS91"/>
      <c r="AT91"/>
      <c r="AU91"/>
    </row>
    <row r="92" spans="1:47" s="408" customFormat="1" ht="16.5" customHeight="1">
      <c r="A92" s="210"/>
      <c r="B92" s="210"/>
      <c r="C92" s="210"/>
      <c r="D92" s="210"/>
      <c r="E92" s="404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  <c r="AA92" s="210"/>
      <c r="AB92" s="210"/>
      <c r="AC92" s="210"/>
      <c r="AD92" s="210"/>
      <c r="AE92" s="210"/>
      <c r="AF92" s="210"/>
      <c r="AG92" s="210"/>
      <c r="AH92" s="210"/>
      <c r="AI92" s="210"/>
      <c r="AJ92"/>
      <c r="AK92"/>
      <c r="AL92"/>
      <c r="AM92"/>
      <c r="AN92"/>
      <c r="AO92"/>
      <c r="AP92"/>
      <c r="AQ92"/>
      <c r="AR92"/>
      <c r="AS92"/>
      <c r="AT92"/>
      <c r="AU92"/>
    </row>
    <row r="93" spans="1:47" s="408" customFormat="1" ht="16.5" customHeight="1">
      <c r="A93" s="210"/>
      <c r="B93" s="210"/>
      <c r="C93" s="210"/>
      <c r="D93" s="210"/>
      <c r="E93" s="404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  <c r="AA93" s="210"/>
      <c r="AB93" s="210"/>
      <c r="AC93" s="210"/>
      <c r="AD93" s="210"/>
      <c r="AE93" s="210"/>
      <c r="AF93" s="210"/>
      <c r="AG93" s="210"/>
      <c r="AH93" s="210"/>
      <c r="AI93" s="210"/>
      <c r="AJ93"/>
      <c r="AK93"/>
      <c r="AL93"/>
      <c r="AM93"/>
      <c r="AN93"/>
      <c r="AO93"/>
      <c r="AP93"/>
      <c r="AQ93"/>
      <c r="AR93"/>
      <c r="AS93"/>
      <c r="AT93"/>
      <c r="AU93"/>
    </row>
    <row r="94" spans="1:47" s="408" customFormat="1" ht="16.5" customHeight="1">
      <c r="A94" s="210"/>
      <c r="B94" s="210"/>
      <c r="C94" s="210"/>
      <c r="D94" s="210"/>
      <c r="E94" s="404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  <c r="AA94" s="210"/>
      <c r="AB94" s="210"/>
      <c r="AC94" s="210"/>
      <c r="AD94" s="210"/>
      <c r="AE94" s="210"/>
      <c r="AF94" s="210"/>
      <c r="AG94" s="210"/>
      <c r="AH94" s="210"/>
      <c r="AI94" s="210"/>
      <c r="AJ94"/>
      <c r="AK94"/>
      <c r="AL94"/>
      <c r="AM94"/>
      <c r="AN94"/>
      <c r="AO94"/>
      <c r="AP94"/>
      <c r="AQ94"/>
      <c r="AR94"/>
      <c r="AS94"/>
      <c r="AT94"/>
      <c r="AU94"/>
    </row>
    <row r="95" spans="1:47" s="408" customFormat="1" ht="16.5" customHeight="1">
      <c r="A95" s="210"/>
      <c r="B95" s="210"/>
      <c r="C95" s="210"/>
      <c r="D95" s="210"/>
      <c r="E95" s="404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  <c r="AA95" s="210"/>
      <c r="AB95" s="210"/>
      <c r="AC95" s="210"/>
      <c r="AD95" s="210"/>
      <c r="AE95" s="210"/>
      <c r="AF95" s="210"/>
      <c r="AG95" s="210"/>
      <c r="AH95" s="210"/>
      <c r="AI95" s="210"/>
      <c r="AJ95"/>
      <c r="AK95"/>
      <c r="AL95"/>
      <c r="AM95"/>
      <c r="AN95"/>
      <c r="AO95"/>
      <c r="AP95"/>
      <c r="AQ95"/>
      <c r="AR95"/>
      <c r="AS95"/>
      <c r="AT95"/>
      <c r="AU95"/>
    </row>
    <row r="96" spans="1:47" s="408" customFormat="1" ht="16.5" customHeight="1">
      <c r="A96" s="210"/>
      <c r="B96" s="210"/>
      <c r="C96" s="210"/>
      <c r="D96" s="210"/>
      <c r="E96" s="404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  <c r="AA96" s="210"/>
      <c r="AB96" s="210"/>
      <c r="AC96" s="210"/>
      <c r="AD96" s="210"/>
      <c r="AE96" s="210"/>
      <c r="AF96" s="210"/>
      <c r="AG96" s="210"/>
      <c r="AH96" s="210"/>
      <c r="AI96" s="210"/>
      <c r="AJ96"/>
      <c r="AK96"/>
      <c r="AL96"/>
      <c r="AM96"/>
      <c r="AN96"/>
      <c r="AO96"/>
      <c r="AP96"/>
      <c r="AQ96"/>
      <c r="AR96"/>
      <c r="AS96"/>
      <c r="AT96"/>
      <c r="AU96"/>
    </row>
    <row r="97" spans="1:47" s="408" customFormat="1" ht="16.5" customHeight="1">
      <c r="A97" s="210"/>
      <c r="B97" s="210"/>
      <c r="C97" s="210"/>
      <c r="D97" s="210"/>
      <c r="E97" s="404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  <c r="AA97" s="210"/>
      <c r="AB97" s="210"/>
      <c r="AC97" s="210"/>
      <c r="AD97" s="210"/>
      <c r="AE97" s="210"/>
      <c r="AF97" s="210"/>
      <c r="AG97" s="210"/>
      <c r="AH97" s="210"/>
      <c r="AI97" s="210"/>
      <c r="AJ97"/>
      <c r="AK97"/>
      <c r="AL97"/>
      <c r="AM97"/>
      <c r="AN97"/>
      <c r="AO97"/>
      <c r="AP97"/>
      <c r="AQ97"/>
      <c r="AR97"/>
      <c r="AS97"/>
      <c r="AT97"/>
      <c r="AU97"/>
    </row>
    <row r="98" spans="1:47" s="408" customFormat="1" ht="16.5" customHeight="1">
      <c r="A98" s="210"/>
      <c r="B98" s="210"/>
      <c r="C98" s="210"/>
      <c r="D98" s="210"/>
      <c r="E98" s="404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  <c r="AA98" s="210"/>
      <c r="AB98" s="210"/>
      <c r="AC98" s="210"/>
      <c r="AD98" s="210"/>
      <c r="AE98" s="210"/>
      <c r="AF98" s="210"/>
      <c r="AG98" s="210"/>
      <c r="AH98" s="210"/>
      <c r="AI98" s="210"/>
      <c r="AJ98"/>
      <c r="AK98"/>
      <c r="AL98"/>
      <c r="AM98"/>
      <c r="AN98"/>
      <c r="AO98"/>
      <c r="AP98"/>
      <c r="AQ98"/>
      <c r="AR98"/>
      <c r="AS98"/>
      <c r="AT98"/>
      <c r="AU98"/>
    </row>
    <row r="99" spans="1:47" s="408" customFormat="1" ht="16.5" customHeight="1">
      <c r="A99" s="210"/>
      <c r="B99" s="210"/>
      <c r="C99" s="210"/>
      <c r="D99" s="210"/>
      <c r="E99" s="404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  <c r="AA99" s="210"/>
      <c r="AB99" s="210"/>
      <c r="AC99" s="210"/>
      <c r="AD99" s="210"/>
      <c r="AE99" s="210"/>
      <c r="AF99" s="210"/>
      <c r="AG99" s="210"/>
      <c r="AH99" s="210"/>
      <c r="AI99" s="210"/>
      <c r="AJ99"/>
      <c r="AK99"/>
      <c r="AL99"/>
      <c r="AM99"/>
      <c r="AN99"/>
      <c r="AO99"/>
      <c r="AP99"/>
      <c r="AQ99"/>
      <c r="AR99"/>
      <c r="AS99"/>
      <c r="AT99"/>
      <c r="AU99"/>
    </row>
    <row r="100" spans="1:47" s="408" customFormat="1" ht="16.5" customHeight="1">
      <c r="A100" s="210"/>
      <c r="B100" s="210"/>
      <c r="C100" s="210"/>
      <c r="D100" s="210"/>
      <c r="E100" s="404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  <c r="AA100" s="210"/>
      <c r="AB100" s="210"/>
      <c r="AC100" s="210"/>
      <c r="AD100" s="210"/>
      <c r="AE100" s="210"/>
      <c r="AF100" s="210"/>
      <c r="AG100" s="210"/>
      <c r="AH100" s="210"/>
      <c r="AI100" s="210"/>
      <c r="AJ100"/>
      <c r="AK100"/>
      <c r="AL100"/>
      <c r="AM100"/>
      <c r="AN100"/>
      <c r="AO100"/>
      <c r="AP100"/>
      <c r="AQ100"/>
      <c r="AR100"/>
      <c r="AS100"/>
      <c r="AT100"/>
      <c r="AU100"/>
    </row>
    <row r="101" spans="1:47" s="408" customFormat="1" ht="16.5" customHeight="1">
      <c r="A101" s="210"/>
      <c r="B101" s="210"/>
      <c r="C101" s="210"/>
      <c r="D101" s="210"/>
      <c r="E101" s="404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  <c r="AA101" s="210"/>
      <c r="AB101" s="210"/>
      <c r="AC101" s="210"/>
      <c r="AD101" s="210"/>
      <c r="AE101" s="210"/>
      <c r="AF101" s="210"/>
      <c r="AG101" s="210"/>
      <c r="AH101" s="210"/>
      <c r="AI101" s="210"/>
      <c r="AJ101"/>
      <c r="AK101"/>
      <c r="AL101"/>
      <c r="AM101"/>
      <c r="AN101"/>
      <c r="AO101"/>
      <c r="AP101"/>
      <c r="AQ101"/>
      <c r="AR101"/>
      <c r="AS101"/>
      <c r="AT101"/>
      <c r="AU101"/>
    </row>
    <row r="102" spans="1:47" s="408" customFormat="1" ht="16.5" customHeight="1">
      <c r="A102" s="210"/>
      <c r="B102" s="210"/>
      <c r="C102" s="210"/>
      <c r="D102" s="210"/>
      <c r="E102" s="404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  <c r="AA102" s="210"/>
      <c r="AB102" s="210"/>
      <c r="AC102" s="210"/>
      <c r="AD102" s="210"/>
      <c r="AE102" s="210"/>
      <c r="AF102" s="210"/>
      <c r="AG102" s="210"/>
      <c r="AH102" s="210"/>
      <c r="AI102" s="210"/>
      <c r="AJ102"/>
      <c r="AK102"/>
      <c r="AL102"/>
      <c r="AM102"/>
      <c r="AN102"/>
      <c r="AO102"/>
      <c r="AP102"/>
      <c r="AQ102"/>
      <c r="AR102"/>
      <c r="AS102"/>
      <c r="AT102"/>
      <c r="AU102"/>
    </row>
    <row r="103" spans="1:47" s="408" customFormat="1" ht="16.5" customHeight="1">
      <c r="A103" s="210"/>
      <c r="B103" s="210"/>
      <c r="C103" s="210"/>
      <c r="D103" s="210"/>
      <c r="E103" s="404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  <c r="AA103" s="210"/>
      <c r="AB103" s="210"/>
      <c r="AC103" s="210"/>
      <c r="AD103" s="210"/>
      <c r="AE103" s="210"/>
      <c r="AF103" s="210"/>
      <c r="AG103" s="210"/>
      <c r="AH103" s="210"/>
      <c r="AI103" s="210"/>
      <c r="AJ103"/>
      <c r="AK103"/>
      <c r="AL103"/>
      <c r="AM103"/>
      <c r="AN103"/>
      <c r="AO103"/>
      <c r="AP103"/>
      <c r="AQ103"/>
      <c r="AR103"/>
      <c r="AS103"/>
      <c r="AT103"/>
      <c r="AU103"/>
    </row>
    <row r="104" spans="1:47" s="408" customFormat="1" ht="16.5" customHeight="1">
      <c r="A104" s="210"/>
      <c r="B104" s="210"/>
      <c r="C104" s="210"/>
      <c r="D104" s="210"/>
      <c r="E104" s="404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  <c r="AA104" s="210"/>
      <c r="AB104" s="210"/>
      <c r="AC104" s="210"/>
      <c r="AD104" s="210"/>
      <c r="AE104" s="210"/>
      <c r="AF104" s="210"/>
      <c r="AG104" s="210"/>
      <c r="AH104" s="210"/>
      <c r="AI104" s="210"/>
      <c r="AJ104"/>
      <c r="AK104"/>
      <c r="AL104"/>
      <c r="AM104"/>
      <c r="AN104"/>
      <c r="AO104"/>
      <c r="AP104"/>
      <c r="AQ104"/>
      <c r="AR104"/>
      <c r="AS104"/>
      <c r="AT104"/>
      <c r="AU104"/>
    </row>
    <row r="105" spans="1:47" s="408" customFormat="1" ht="16.5" customHeight="1">
      <c r="A105" s="210"/>
      <c r="B105" s="210"/>
      <c r="C105" s="210"/>
      <c r="D105" s="210"/>
      <c r="E105" s="404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0"/>
      <c r="AG105" s="210"/>
      <c r="AH105" s="210"/>
      <c r="AI105" s="210"/>
      <c r="AJ105"/>
      <c r="AK105"/>
      <c r="AL105"/>
      <c r="AM105"/>
      <c r="AN105"/>
      <c r="AO105"/>
      <c r="AP105"/>
      <c r="AQ105"/>
      <c r="AR105"/>
      <c r="AS105"/>
      <c r="AT105"/>
      <c r="AU105"/>
    </row>
    <row r="106" spans="1:47" s="408" customFormat="1" ht="16.5" customHeight="1">
      <c r="A106" s="210"/>
      <c r="B106" s="210"/>
      <c r="C106" s="210"/>
      <c r="D106" s="210"/>
      <c r="E106" s="404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  <c r="AA106" s="210"/>
      <c r="AB106" s="210"/>
      <c r="AC106" s="210"/>
      <c r="AD106" s="210"/>
      <c r="AE106" s="210"/>
      <c r="AF106" s="210"/>
      <c r="AG106" s="210"/>
      <c r="AH106" s="210"/>
      <c r="AI106" s="210"/>
      <c r="AJ106"/>
      <c r="AK106"/>
      <c r="AL106"/>
      <c r="AM106"/>
      <c r="AN106"/>
      <c r="AO106"/>
      <c r="AP106"/>
      <c r="AQ106"/>
      <c r="AR106"/>
      <c r="AS106"/>
      <c r="AT106"/>
      <c r="AU106"/>
    </row>
    <row r="107" spans="1:47" s="408" customFormat="1" ht="16.5" customHeight="1">
      <c r="A107" s="210"/>
      <c r="B107" s="210"/>
      <c r="C107" s="210"/>
      <c r="D107" s="210"/>
      <c r="E107" s="404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  <c r="AA107" s="210"/>
      <c r="AB107" s="210"/>
      <c r="AC107" s="210"/>
      <c r="AD107" s="210"/>
      <c r="AE107" s="210"/>
      <c r="AF107" s="210"/>
      <c r="AG107" s="210"/>
      <c r="AH107" s="210"/>
      <c r="AI107" s="210"/>
      <c r="AJ107"/>
      <c r="AK107"/>
      <c r="AL107"/>
      <c r="AM107"/>
      <c r="AN107"/>
      <c r="AO107"/>
      <c r="AP107"/>
      <c r="AQ107"/>
      <c r="AR107"/>
      <c r="AS107"/>
      <c r="AT107"/>
      <c r="AU107"/>
    </row>
    <row r="108" spans="1:47" s="408" customFormat="1" ht="16.5" customHeight="1">
      <c r="A108" s="210"/>
      <c r="B108" s="210"/>
      <c r="C108" s="210"/>
      <c r="D108" s="210"/>
      <c r="E108" s="404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  <c r="AA108" s="210"/>
      <c r="AB108" s="210"/>
      <c r="AC108" s="210"/>
      <c r="AD108" s="210"/>
      <c r="AE108" s="210"/>
      <c r="AF108" s="210"/>
      <c r="AG108" s="210"/>
      <c r="AH108" s="210"/>
      <c r="AI108" s="210"/>
      <c r="AJ108"/>
      <c r="AK108"/>
      <c r="AL108"/>
      <c r="AM108"/>
      <c r="AN108"/>
      <c r="AO108"/>
      <c r="AP108"/>
      <c r="AQ108"/>
      <c r="AR108"/>
      <c r="AS108"/>
      <c r="AT108"/>
      <c r="AU108"/>
    </row>
    <row r="109" spans="1:47" s="408" customFormat="1" ht="16.5" customHeight="1">
      <c r="A109" s="210"/>
      <c r="B109" s="210"/>
      <c r="C109" s="210"/>
      <c r="D109" s="210"/>
      <c r="E109" s="404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  <c r="AA109" s="210"/>
      <c r="AB109" s="210"/>
      <c r="AC109" s="210"/>
      <c r="AD109" s="210"/>
      <c r="AE109" s="210"/>
      <c r="AF109" s="210"/>
      <c r="AG109" s="210"/>
      <c r="AH109" s="210"/>
      <c r="AI109" s="210"/>
      <c r="AJ109"/>
      <c r="AK109"/>
      <c r="AL109"/>
      <c r="AM109"/>
      <c r="AN109"/>
      <c r="AO109"/>
      <c r="AP109"/>
      <c r="AQ109"/>
      <c r="AR109"/>
      <c r="AS109"/>
      <c r="AT109"/>
      <c r="AU109"/>
    </row>
    <row r="110" spans="1:47" s="408" customFormat="1" ht="16.5" customHeight="1">
      <c r="A110" s="210"/>
      <c r="B110" s="210"/>
      <c r="C110" s="210"/>
      <c r="D110" s="210"/>
      <c r="E110" s="404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  <c r="AA110" s="210"/>
      <c r="AB110" s="210"/>
      <c r="AC110" s="210"/>
      <c r="AD110" s="210"/>
      <c r="AE110" s="210"/>
      <c r="AF110" s="210"/>
      <c r="AG110" s="210"/>
      <c r="AH110" s="210"/>
      <c r="AI110" s="210"/>
      <c r="AJ110"/>
      <c r="AK110"/>
      <c r="AL110"/>
      <c r="AM110"/>
      <c r="AN110"/>
      <c r="AO110"/>
      <c r="AP110"/>
      <c r="AQ110"/>
      <c r="AR110"/>
      <c r="AS110"/>
      <c r="AT110"/>
      <c r="AU110"/>
    </row>
    <row r="111" spans="1:47" s="408" customFormat="1" ht="16.5" customHeight="1">
      <c r="A111" s="210"/>
      <c r="B111" s="210"/>
      <c r="C111" s="210"/>
      <c r="D111" s="210"/>
      <c r="E111" s="404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  <c r="AA111" s="210"/>
      <c r="AB111" s="210"/>
      <c r="AC111" s="210"/>
      <c r="AD111" s="210"/>
      <c r="AE111" s="210"/>
      <c r="AF111" s="210"/>
      <c r="AG111" s="210"/>
      <c r="AH111" s="210"/>
      <c r="AI111" s="210"/>
      <c r="AJ111"/>
      <c r="AK111"/>
      <c r="AL111"/>
      <c r="AM111"/>
      <c r="AN111"/>
      <c r="AO111"/>
      <c r="AP111"/>
      <c r="AQ111"/>
      <c r="AR111"/>
      <c r="AS111"/>
      <c r="AT111"/>
      <c r="AU111"/>
    </row>
    <row r="112" spans="1:47" s="408" customFormat="1" ht="16.5" customHeight="1">
      <c r="A112" s="210"/>
      <c r="B112" s="210"/>
      <c r="C112" s="210"/>
      <c r="D112" s="210"/>
      <c r="E112" s="404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  <c r="AA112" s="210"/>
      <c r="AB112" s="210"/>
      <c r="AC112" s="210"/>
      <c r="AD112" s="210"/>
      <c r="AE112" s="210"/>
      <c r="AF112" s="210"/>
      <c r="AG112" s="210"/>
      <c r="AH112" s="210"/>
      <c r="AI112" s="210"/>
      <c r="AJ112"/>
      <c r="AK112"/>
      <c r="AL112"/>
      <c r="AM112"/>
      <c r="AN112"/>
      <c r="AO112"/>
      <c r="AP112"/>
      <c r="AQ112"/>
      <c r="AR112"/>
      <c r="AS112"/>
      <c r="AT112"/>
      <c r="AU112"/>
    </row>
    <row r="113" spans="1:47" s="408" customFormat="1" ht="16.5" customHeight="1">
      <c r="A113" s="210"/>
      <c r="B113" s="210"/>
      <c r="C113" s="210"/>
      <c r="D113" s="210"/>
      <c r="E113" s="404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  <c r="AA113" s="210"/>
      <c r="AB113" s="210"/>
      <c r="AC113" s="210"/>
      <c r="AD113" s="210"/>
      <c r="AE113" s="210"/>
      <c r="AF113" s="210"/>
      <c r="AG113" s="210"/>
      <c r="AH113" s="210"/>
      <c r="AI113" s="210"/>
      <c r="AJ113"/>
      <c r="AK113"/>
      <c r="AL113"/>
      <c r="AM113"/>
      <c r="AN113"/>
      <c r="AO113"/>
      <c r="AP113"/>
      <c r="AQ113"/>
      <c r="AR113"/>
      <c r="AS113"/>
      <c r="AT113"/>
      <c r="AU113"/>
    </row>
    <row r="114" spans="1:47" s="408" customFormat="1" ht="16.5" customHeight="1">
      <c r="A114" s="210"/>
      <c r="B114" s="210"/>
      <c r="C114" s="210"/>
      <c r="D114" s="210"/>
      <c r="E114" s="404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  <c r="AA114" s="210"/>
      <c r="AB114" s="210"/>
      <c r="AC114" s="210"/>
      <c r="AD114" s="210"/>
      <c r="AE114" s="210"/>
      <c r="AF114" s="210"/>
      <c r="AG114" s="210"/>
      <c r="AH114" s="210"/>
      <c r="AI114" s="210"/>
      <c r="AJ114"/>
      <c r="AK114"/>
      <c r="AL114"/>
      <c r="AM114"/>
      <c r="AN114"/>
      <c r="AO114"/>
      <c r="AP114"/>
      <c r="AQ114"/>
      <c r="AR114"/>
      <c r="AS114"/>
      <c r="AT114"/>
      <c r="AU114"/>
    </row>
    <row r="115" spans="1:47" s="408" customFormat="1" ht="16.5" customHeight="1">
      <c r="A115" s="210"/>
      <c r="B115" s="210"/>
      <c r="C115" s="210"/>
      <c r="D115" s="210"/>
      <c r="E115" s="404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  <c r="AA115" s="210"/>
      <c r="AB115" s="210"/>
      <c r="AC115" s="210"/>
      <c r="AD115" s="210"/>
      <c r="AE115" s="210"/>
      <c r="AF115" s="210"/>
      <c r="AG115" s="210"/>
      <c r="AH115" s="210"/>
      <c r="AI115" s="210"/>
      <c r="AJ115"/>
      <c r="AK115"/>
      <c r="AL115"/>
      <c r="AM115"/>
      <c r="AN115"/>
      <c r="AO115"/>
      <c r="AP115"/>
      <c r="AQ115"/>
      <c r="AR115"/>
      <c r="AS115"/>
      <c r="AT115"/>
      <c r="AU115"/>
    </row>
    <row r="116" spans="1:47" s="408" customFormat="1" ht="16.5" customHeight="1">
      <c r="A116" s="210"/>
      <c r="B116" s="210"/>
      <c r="C116" s="210"/>
      <c r="D116" s="210"/>
      <c r="E116" s="404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  <c r="AA116" s="210"/>
      <c r="AB116" s="210"/>
      <c r="AC116" s="210"/>
      <c r="AD116" s="210"/>
      <c r="AE116" s="210"/>
      <c r="AF116" s="210"/>
      <c r="AG116" s="210"/>
      <c r="AH116" s="210"/>
      <c r="AI116" s="210"/>
      <c r="AJ116"/>
      <c r="AK116"/>
      <c r="AL116"/>
      <c r="AM116"/>
      <c r="AN116"/>
      <c r="AO116"/>
      <c r="AP116"/>
      <c r="AQ116"/>
      <c r="AR116"/>
      <c r="AS116"/>
      <c r="AT116"/>
      <c r="AU116"/>
    </row>
    <row r="117" spans="1:47" s="408" customFormat="1" ht="16.5" customHeight="1">
      <c r="A117" s="210"/>
      <c r="B117" s="210"/>
      <c r="C117" s="210"/>
      <c r="D117" s="210"/>
      <c r="E117" s="404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  <c r="AA117" s="210"/>
      <c r="AB117" s="210"/>
      <c r="AC117" s="210"/>
      <c r="AD117" s="210"/>
      <c r="AE117" s="210"/>
      <c r="AF117" s="210"/>
      <c r="AG117" s="210"/>
      <c r="AH117" s="210"/>
      <c r="AI117" s="210"/>
      <c r="AJ117"/>
      <c r="AK117"/>
      <c r="AL117"/>
      <c r="AM117"/>
      <c r="AN117"/>
      <c r="AO117"/>
      <c r="AP117"/>
      <c r="AQ117"/>
      <c r="AR117"/>
      <c r="AS117"/>
      <c r="AT117"/>
      <c r="AU117"/>
    </row>
    <row r="118" spans="1:47" s="408" customFormat="1" ht="16.5" customHeight="1">
      <c r="A118" s="210"/>
      <c r="B118" s="210"/>
      <c r="C118" s="210"/>
      <c r="D118" s="210"/>
      <c r="E118" s="404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  <c r="AA118" s="210"/>
      <c r="AB118" s="210"/>
      <c r="AC118" s="210"/>
      <c r="AD118" s="210"/>
      <c r="AE118" s="210"/>
      <c r="AF118" s="210"/>
      <c r="AG118" s="210"/>
      <c r="AH118" s="210"/>
      <c r="AI118" s="210"/>
      <c r="AJ118"/>
      <c r="AK118"/>
      <c r="AL118"/>
      <c r="AM118"/>
      <c r="AN118"/>
      <c r="AO118"/>
      <c r="AP118"/>
      <c r="AQ118"/>
      <c r="AR118"/>
      <c r="AS118"/>
      <c r="AT118"/>
      <c r="AU118"/>
    </row>
    <row r="119" spans="1:47" s="408" customFormat="1" ht="16.5" customHeight="1">
      <c r="A119" s="210"/>
      <c r="B119" s="210"/>
      <c r="C119" s="210"/>
      <c r="D119" s="210"/>
      <c r="E119" s="404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  <c r="AA119" s="210"/>
      <c r="AB119" s="210"/>
      <c r="AC119" s="210"/>
      <c r="AD119" s="210"/>
      <c r="AE119" s="210"/>
      <c r="AF119" s="210"/>
      <c r="AG119" s="210"/>
      <c r="AH119" s="210"/>
      <c r="AI119" s="210"/>
      <c r="AJ119"/>
      <c r="AK119"/>
      <c r="AL119"/>
      <c r="AM119"/>
      <c r="AN119"/>
      <c r="AO119"/>
      <c r="AP119"/>
      <c r="AQ119"/>
      <c r="AR119"/>
      <c r="AS119"/>
      <c r="AT119"/>
      <c r="AU119"/>
    </row>
    <row r="120" spans="1:47" s="408" customFormat="1" ht="16.5" customHeight="1">
      <c r="A120" s="210"/>
      <c r="B120" s="210"/>
      <c r="C120" s="210"/>
      <c r="D120" s="210"/>
      <c r="E120" s="404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  <c r="AA120" s="210"/>
      <c r="AB120" s="210"/>
      <c r="AC120" s="210"/>
      <c r="AD120" s="210"/>
      <c r="AE120" s="210"/>
      <c r="AF120" s="210"/>
      <c r="AG120" s="210"/>
      <c r="AH120" s="210"/>
      <c r="AI120" s="210"/>
      <c r="AJ120"/>
      <c r="AK120"/>
      <c r="AL120"/>
      <c r="AM120"/>
      <c r="AN120"/>
      <c r="AO120"/>
      <c r="AP120"/>
      <c r="AQ120"/>
      <c r="AR120"/>
      <c r="AS120"/>
      <c r="AT120"/>
      <c r="AU120"/>
    </row>
    <row r="121" spans="1:47" s="408" customFormat="1" ht="16.5" customHeight="1">
      <c r="A121" s="210"/>
      <c r="B121" s="210"/>
      <c r="C121" s="210"/>
      <c r="D121" s="210"/>
      <c r="E121" s="404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  <c r="AA121" s="210"/>
      <c r="AB121" s="210"/>
      <c r="AC121" s="210"/>
      <c r="AD121" s="210"/>
      <c r="AE121" s="210"/>
      <c r="AF121" s="210"/>
      <c r="AG121" s="210"/>
      <c r="AH121" s="210"/>
      <c r="AI121" s="210"/>
      <c r="AJ121"/>
      <c r="AK121"/>
      <c r="AL121"/>
      <c r="AM121"/>
      <c r="AN121"/>
      <c r="AO121"/>
      <c r="AP121"/>
      <c r="AQ121"/>
      <c r="AR121"/>
      <c r="AS121"/>
      <c r="AT121"/>
      <c r="AU121"/>
    </row>
    <row r="122" spans="1:47" s="408" customFormat="1" ht="16.5" customHeight="1">
      <c r="A122" s="210"/>
      <c r="B122" s="210"/>
      <c r="C122" s="210"/>
      <c r="D122" s="210"/>
      <c r="E122" s="404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  <c r="AA122" s="210"/>
      <c r="AB122" s="210"/>
      <c r="AC122" s="210"/>
      <c r="AD122" s="210"/>
      <c r="AE122" s="210"/>
      <c r="AF122" s="210"/>
      <c r="AG122" s="210"/>
      <c r="AH122" s="210"/>
      <c r="AI122" s="210"/>
      <c r="AJ122"/>
      <c r="AK122"/>
      <c r="AL122"/>
      <c r="AM122"/>
      <c r="AN122"/>
      <c r="AO122"/>
      <c r="AP122"/>
      <c r="AQ122"/>
      <c r="AR122"/>
      <c r="AS122"/>
      <c r="AT122"/>
      <c r="AU122"/>
    </row>
    <row r="123" spans="1:47" s="408" customFormat="1" ht="16.5" customHeight="1">
      <c r="A123" s="210"/>
      <c r="B123" s="210"/>
      <c r="C123" s="210"/>
      <c r="D123" s="210"/>
      <c r="E123" s="404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  <c r="AA123" s="210"/>
      <c r="AB123" s="210"/>
      <c r="AC123" s="210"/>
      <c r="AD123" s="210"/>
      <c r="AE123" s="210"/>
      <c r="AF123" s="210"/>
      <c r="AG123" s="210"/>
      <c r="AH123" s="210"/>
      <c r="AI123" s="210"/>
      <c r="AJ123"/>
      <c r="AK123"/>
      <c r="AL123"/>
      <c r="AM123"/>
      <c r="AN123"/>
      <c r="AO123"/>
      <c r="AP123"/>
      <c r="AQ123"/>
      <c r="AR123"/>
      <c r="AS123"/>
      <c r="AT123"/>
      <c r="AU123"/>
    </row>
    <row r="124" spans="1:47" s="408" customFormat="1" ht="16.5" customHeight="1">
      <c r="A124" s="210"/>
      <c r="B124" s="210"/>
      <c r="C124" s="210"/>
      <c r="D124" s="210"/>
      <c r="E124" s="404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  <c r="AA124" s="210"/>
      <c r="AB124" s="210"/>
      <c r="AC124" s="210"/>
      <c r="AD124" s="210"/>
      <c r="AE124" s="210"/>
      <c r="AF124" s="210"/>
      <c r="AG124" s="210"/>
      <c r="AH124" s="210"/>
      <c r="AI124" s="210"/>
      <c r="AJ124"/>
      <c r="AK124"/>
      <c r="AL124"/>
      <c r="AM124"/>
      <c r="AN124"/>
      <c r="AO124"/>
      <c r="AP124"/>
      <c r="AQ124"/>
      <c r="AR124"/>
      <c r="AS124"/>
      <c r="AT124"/>
      <c r="AU124"/>
    </row>
    <row r="125" spans="1:47" s="408" customFormat="1" ht="16.5" customHeight="1">
      <c r="A125" s="210"/>
      <c r="B125" s="210"/>
      <c r="C125" s="210"/>
      <c r="D125" s="210"/>
      <c r="E125" s="404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  <c r="AA125" s="210"/>
      <c r="AB125" s="210"/>
      <c r="AC125" s="210"/>
      <c r="AD125" s="210"/>
      <c r="AE125" s="210"/>
      <c r="AF125" s="210"/>
      <c r="AG125" s="210"/>
      <c r="AH125" s="210"/>
      <c r="AI125" s="210"/>
      <c r="AJ125"/>
      <c r="AK125"/>
      <c r="AL125"/>
      <c r="AM125"/>
      <c r="AN125"/>
      <c r="AO125"/>
      <c r="AP125"/>
      <c r="AQ125"/>
      <c r="AR125"/>
      <c r="AS125"/>
      <c r="AT125"/>
      <c r="AU125"/>
    </row>
    <row r="126" spans="1:47" s="408" customFormat="1" ht="16.5" customHeight="1">
      <c r="A126" s="210"/>
      <c r="B126" s="210"/>
      <c r="C126" s="210"/>
      <c r="D126" s="210"/>
      <c r="E126" s="404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  <c r="AA126" s="210"/>
      <c r="AB126" s="210"/>
      <c r="AC126" s="210"/>
      <c r="AD126" s="210"/>
      <c r="AE126" s="210"/>
      <c r="AF126" s="210"/>
      <c r="AG126" s="210"/>
      <c r="AH126" s="210"/>
      <c r="AI126" s="210"/>
      <c r="AJ126"/>
      <c r="AK126"/>
      <c r="AL126"/>
      <c r="AM126"/>
      <c r="AN126"/>
      <c r="AO126"/>
      <c r="AP126"/>
      <c r="AQ126"/>
      <c r="AR126"/>
      <c r="AS126"/>
      <c r="AT126"/>
      <c r="AU126"/>
    </row>
    <row r="127" spans="1:47" s="408" customFormat="1" ht="16.5" customHeight="1">
      <c r="A127" s="210"/>
      <c r="B127" s="210"/>
      <c r="C127" s="210"/>
      <c r="D127" s="210"/>
      <c r="E127" s="404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  <c r="AA127" s="210"/>
      <c r="AB127" s="210"/>
      <c r="AC127" s="210"/>
      <c r="AD127" s="210"/>
      <c r="AE127" s="210"/>
      <c r="AF127" s="210"/>
      <c r="AG127" s="210"/>
      <c r="AH127" s="210"/>
      <c r="AI127" s="210"/>
      <c r="AJ127"/>
      <c r="AK127"/>
      <c r="AL127"/>
      <c r="AM127"/>
      <c r="AN127"/>
      <c r="AO127"/>
      <c r="AP127"/>
      <c r="AQ127"/>
      <c r="AR127"/>
      <c r="AS127"/>
      <c r="AT127"/>
      <c r="AU127"/>
    </row>
    <row r="128" spans="1:47" s="408" customFormat="1" ht="16.5" customHeight="1">
      <c r="A128" s="210"/>
      <c r="B128" s="210"/>
      <c r="C128" s="210"/>
      <c r="D128" s="210"/>
      <c r="E128" s="404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  <c r="AA128" s="210"/>
      <c r="AB128" s="210"/>
      <c r="AC128" s="210"/>
      <c r="AD128" s="210"/>
      <c r="AE128" s="210"/>
      <c r="AF128" s="210"/>
      <c r="AG128" s="210"/>
      <c r="AH128" s="210"/>
      <c r="AI128" s="210"/>
      <c r="AJ128"/>
      <c r="AK128"/>
      <c r="AL128"/>
      <c r="AM128"/>
      <c r="AN128"/>
      <c r="AO128"/>
      <c r="AP128"/>
      <c r="AQ128"/>
      <c r="AR128"/>
      <c r="AS128"/>
      <c r="AT128"/>
      <c r="AU128"/>
    </row>
    <row r="129" spans="1:47" s="408" customFormat="1" ht="16.5" customHeight="1">
      <c r="A129" s="210"/>
      <c r="B129" s="210"/>
      <c r="C129" s="210"/>
      <c r="D129" s="210"/>
      <c r="E129" s="404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  <c r="AA129" s="210"/>
      <c r="AB129" s="210"/>
      <c r="AC129" s="210"/>
      <c r="AD129" s="210"/>
      <c r="AE129" s="210"/>
      <c r="AF129" s="210"/>
      <c r="AG129" s="210"/>
      <c r="AH129" s="210"/>
      <c r="AI129" s="210"/>
      <c r="AJ129"/>
      <c r="AK129"/>
      <c r="AL129"/>
      <c r="AM129"/>
      <c r="AN129"/>
      <c r="AO129"/>
      <c r="AP129"/>
      <c r="AQ129"/>
      <c r="AR129"/>
      <c r="AS129"/>
      <c r="AT129"/>
      <c r="AU129"/>
    </row>
    <row r="130" spans="1:47" s="408" customFormat="1" ht="16.5" customHeight="1">
      <c r="A130" s="210"/>
      <c r="B130" s="210"/>
      <c r="C130" s="210"/>
      <c r="D130" s="210"/>
      <c r="E130" s="404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  <c r="AA130" s="210"/>
      <c r="AB130" s="210"/>
      <c r="AC130" s="210"/>
      <c r="AD130" s="210"/>
      <c r="AE130" s="210"/>
      <c r="AF130" s="210"/>
      <c r="AG130" s="210"/>
      <c r="AH130" s="210"/>
      <c r="AI130" s="210"/>
      <c r="AJ130"/>
      <c r="AK130"/>
      <c r="AL130"/>
      <c r="AM130"/>
      <c r="AN130"/>
      <c r="AO130"/>
      <c r="AP130"/>
      <c r="AQ130"/>
      <c r="AR130"/>
      <c r="AS130"/>
      <c r="AT130"/>
      <c r="AU130"/>
    </row>
    <row r="131" spans="1:47" s="408" customFormat="1" ht="16.5" customHeight="1">
      <c r="A131" s="210"/>
      <c r="B131" s="210"/>
      <c r="C131" s="210"/>
      <c r="D131" s="210"/>
      <c r="E131" s="404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  <c r="AA131" s="210"/>
      <c r="AB131" s="210"/>
      <c r="AC131" s="210"/>
      <c r="AD131" s="210"/>
      <c r="AE131" s="210"/>
      <c r="AF131" s="210"/>
      <c r="AG131" s="210"/>
      <c r="AH131" s="210"/>
      <c r="AI131" s="210"/>
      <c r="AJ131"/>
      <c r="AK131"/>
      <c r="AL131"/>
      <c r="AM131"/>
      <c r="AN131"/>
      <c r="AO131"/>
      <c r="AP131"/>
      <c r="AQ131"/>
      <c r="AR131"/>
      <c r="AS131"/>
      <c r="AT131"/>
      <c r="AU131"/>
    </row>
    <row r="132" spans="1:47" s="408" customFormat="1" ht="16.5" customHeight="1">
      <c r="A132" s="210"/>
      <c r="B132" s="210"/>
      <c r="C132" s="210"/>
      <c r="D132" s="210"/>
      <c r="E132" s="404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  <c r="AA132" s="210"/>
      <c r="AB132" s="210"/>
      <c r="AC132" s="210"/>
      <c r="AD132" s="210"/>
      <c r="AE132" s="210"/>
      <c r="AF132" s="210"/>
      <c r="AG132" s="210"/>
      <c r="AH132" s="210"/>
      <c r="AI132" s="210"/>
      <c r="AJ132"/>
      <c r="AK132"/>
      <c r="AL132"/>
      <c r="AM132"/>
      <c r="AN132"/>
      <c r="AO132"/>
      <c r="AP132"/>
      <c r="AQ132"/>
      <c r="AR132"/>
      <c r="AS132"/>
      <c r="AT132"/>
      <c r="AU132"/>
    </row>
    <row r="133" spans="1:47" s="408" customFormat="1" ht="16.5" customHeight="1">
      <c r="A133" s="210"/>
      <c r="B133" s="210"/>
      <c r="C133" s="210"/>
      <c r="D133" s="210"/>
      <c r="E133" s="404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  <c r="AA133" s="210"/>
      <c r="AB133" s="210"/>
      <c r="AC133" s="210"/>
      <c r="AD133" s="210"/>
      <c r="AE133" s="210"/>
      <c r="AF133" s="210"/>
      <c r="AG133" s="210"/>
      <c r="AH133" s="210"/>
      <c r="AI133" s="210"/>
      <c r="AJ133"/>
      <c r="AK133"/>
      <c r="AL133"/>
      <c r="AM133"/>
      <c r="AN133"/>
      <c r="AO133"/>
      <c r="AP133"/>
      <c r="AQ133"/>
      <c r="AR133"/>
      <c r="AS133"/>
      <c r="AT133"/>
      <c r="AU133"/>
    </row>
    <row r="134" spans="1:47" s="408" customFormat="1" ht="16.5" customHeight="1">
      <c r="A134" s="210"/>
      <c r="B134" s="210"/>
      <c r="C134" s="210"/>
      <c r="D134" s="210"/>
      <c r="E134" s="404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  <c r="AA134" s="210"/>
      <c r="AB134" s="210"/>
      <c r="AC134" s="210"/>
      <c r="AD134" s="210"/>
      <c r="AE134" s="210"/>
      <c r="AF134" s="210"/>
      <c r="AG134" s="210"/>
      <c r="AH134" s="210"/>
      <c r="AI134" s="210"/>
      <c r="AJ134"/>
      <c r="AK134"/>
      <c r="AL134"/>
      <c r="AM134"/>
      <c r="AN134"/>
      <c r="AO134"/>
      <c r="AP134"/>
      <c r="AQ134"/>
      <c r="AR134"/>
      <c r="AS134"/>
      <c r="AT134"/>
      <c r="AU134"/>
    </row>
    <row r="135" spans="1:47" s="408" customFormat="1" ht="16.5" customHeight="1">
      <c r="A135" s="210"/>
      <c r="B135" s="210"/>
      <c r="C135" s="210"/>
      <c r="D135" s="210"/>
      <c r="E135" s="404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  <c r="AA135" s="210"/>
      <c r="AB135" s="210"/>
      <c r="AC135" s="210"/>
      <c r="AD135" s="210"/>
      <c r="AE135" s="210"/>
      <c r="AF135" s="210"/>
      <c r="AG135" s="210"/>
      <c r="AH135" s="210"/>
      <c r="AI135" s="210"/>
      <c r="AJ135"/>
      <c r="AK135"/>
      <c r="AL135"/>
      <c r="AM135"/>
      <c r="AN135"/>
      <c r="AO135"/>
      <c r="AP135"/>
      <c r="AQ135"/>
      <c r="AR135"/>
      <c r="AS135"/>
      <c r="AT135"/>
      <c r="AU135"/>
    </row>
    <row r="136" spans="1:47" s="408" customFormat="1" ht="16.5" customHeight="1">
      <c r="A136" s="210"/>
      <c r="B136" s="210"/>
      <c r="C136" s="210"/>
      <c r="D136" s="210"/>
      <c r="E136" s="404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  <c r="AA136" s="210"/>
      <c r="AB136" s="210"/>
      <c r="AC136" s="210"/>
      <c r="AD136" s="210"/>
      <c r="AE136" s="210"/>
      <c r="AF136" s="210"/>
      <c r="AG136" s="210"/>
      <c r="AH136" s="210"/>
      <c r="AI136" s="210"/>
      <c r="AJ136"/>
      <c r="AK136"/>
      <c r="AL136"/>
      <c r="AM136"/>
      <c r="AN136"/>
      <c r="AO136"/>
      <c r="AP136"/>
      <c r="AQ136"/>
      <c r="AR136"/>
      <c r="AS136"/>
      <c r="AT136"/>
      <c r="AU136"/>
    </row>
    <row r="137" spans="1:47" s="408" customFormat="1" ht="16.5" customHeight="1">
      <c r="A137" s="210"/>
      <c r="B137" s="210"/>
      <c r="C137" s="210"/>
      <c r="D137" s="210"/>
      <c r="E137" s="404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  <c r="AA137" s="210"/>
      <c r="AB137" s="210"/>
      <c r="AC137" s="210"/>
      <c r="AD137" s="210"/>
      <c r="AE137" s="210"/>
      <c r="AF137" s="210"/>
      <c r="AG137" s="210"/>
      <c r="AH137" s="210"/>
      <c r="AI137" s="210"/>
      <c r="AJ137"/>
      <c r="AK137"/>
      <c r="AL137"/>
      <c r="AM137"/>
      <c r="AN137"/>
      <c r="AO137"/>
      <c r="AP137"/>
      <c r="AQ137"/>
      <c r="AR137"/>
      <c r="AS137"/>
      <c r="AT137"/>
      <c r="AU137"/>
    </row>
    <row r="138" spans="1:47" s="408" customFormat="1" ht="16.5" customHeight="1">
      <c r="A138" s="210"/>
      <c r="B138" s="210"/>
      <c r="C138" s="210"/>
      <c r="D138" s="210"/>
      <c r="E138" s="404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  <c r="AA138" s="210"/>
      <c r="AB138" s="210"/>
      <c r="AC138" s="210"/>
      <c r="AD138" s="210"/>
      <c r="AE138" s="210"/>
      <c r="AF138" s="210"/>
      <c r="AG138" s="210"/>
      <c r="AH138" s="210"/>
      <c r="AI138" s="210"/>
      <c r="AJ138"/>
      <c r="AK138"/>
      <c r="AL138"/>
      <c r="AM138"/>
      <c r="AN138"/>
      <c r="AO138"/>
      <c r="AP138"/>
      <c r="AQ138"/>
      <c r="AR138"/>
      <c r="AS138"/>
      <c r="AT138"/>
      <c r="AU138"/>
    </row>
    <row r="139" spans="1:47" s="408" customFormat="1" ht="16.5" customHeight="1">
      <c r="A139" s="210"/>
      <c r="B139" s="210"/>
      <c r="C139" s="210"/>
      <c r="D139" s="210"/>
      <c r="E139" s="404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  <c r="AA139" s="210"/>
      <c r="AB139" s="210"/>
      <c r="AC139" s="210"/>
      <c r="AD139" s="210"/>
      <c r="AE139" s="210"/>
      <c r="AF139" s="210"/>
      <c r="AG139" s="210"/>
      <c r="AH139" s="210"/>
      <c r="AI139" s="210"/>
      <c r="AJ139"/>
      <c r="AK139"/>
      <c r="AL139"/>
      <c r="AM139"/>
      <c r="AN139"/>
      <c r="AO139"/>
      <c r="AP139"/>
      <c r="AQ139"/>
      <c r="AR139"/>
      <c r="AS139"/>
      <c r="AT139"/>
      <c r="AU139"/>
    </row>
    <row r="140" spans="1:47" s="408" customFormat="1" ht="16.5" customHeight="1">
      <c r="A140" s="210"/>
      <c r="B140" s="210"/>
      <c r="C140" s="210"/>
      <c r="D140" s="210"/>
      <c r="E140" s="404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  <c r="AA140" s="210"/>
      <c r="AB140" s="210"/>
      <c r="AC140" s="210"/>
      <c r="AD140" s="210"/>
      <c r="AE140" s="210"/>
      <c r="AF140" s="210"/>
      <c r="AG140" s="210"/>
      <c r="AH140" s="210"/>
      <c r="AI140" s="210"/>
      <c r="AJ140"/>
      <c r="AK140"/>
      <c r="AL140"/>
      <c r="AM140"/>
      <c r="AN140"/>
      <c r="AO140"/>
      <c r="AP140"/>
      <c r="AQ140"/>
      <c r="AR140"/>
      <c r="AS140"/>
      <c r="AT140"/>
      <c r="AU140"/>
    </row>
    <row r="141" spans="1:47" s="408" customFormat="1" ht="16.5" customHeight="1">
      <c r="A141" s="210"/>
      <c r="B141" s="210"/>
      <c r="C141" s="210"/>
      <c r="D141" s="210"/>
      <c r="E141" s="404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  <c r="AA141" s="210"/>
      <c r="AB141" s="210"/>
      <c r="AC141" s="210"/>
      <c r="AD141" s="210"/>
      <c r="AE141" s="210"/>
      <c r="AF141" s="210"/>
      <c r="AG141" s="210"/>
      <c r="AH141" s="210"/>
      <c r="AI141" s="210"/>
      <c r="AJ141"/>
      <c r="AK141"/>
      <c r="AL141"/>
      <c r="AM141"/>
      <c r="AN141"/>
      <c r="AO141"/>
      <c r="AP141"/>
      <c r="AQ141"/>
      <c r="AR141"/>
      <c r="AS141"/>
      <c r="AT141"/>
      <c r="AU141"/>
    </row>
    <row r="142" spans="1:47" s="408" customFormat="1" ht="16.5" customHeight="1">
      <c r="A142" s="210"/>
      <c r="B142" s="210"/>
      <c r="C142" s="210"/>
      <c r="D142" s="210"/>
      <c r="E142" s="404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  <c r="AA142" s="210"/>
      <c r="AB142" s="210"/>
      <c r="AC142" s="210"/>
      <c r="AD142" s="210"/>
      <c r="AE142" s="210"/>
      <c r="AF142" s="210"/>
      <c r="AG142" s="210"/>
      <c r="AH142" s="210"/>
      <c r="AI142" s="210"/>
      <c r="AJ142"/>
      <c r="AK142"/>
      <c r="AL142"/>
      <c r="AM142"/>
      <c r="AN142"/>
      <c r="AO142"/>
      <c r="AP142"/>
      <c r="AQ142"/>
      <c r="AR142"/>
      <c r="AS142"/>
      <c r="AT142"/>
      <c r="AU142"/>
    </row>
    <row r="143" spans="1:47" s="408" customFormat="1" ht="16.5" customHeight="1">
      <c r="A143" s="210"/>
      <c r="B143" s="210"/>
      <c r="C143" s="210"/>
      <c r="D143" s="210"/>
      <c r="E143" s="404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  <c r="AA143" s="210"/>
      <c r="AB143" s="210"/>
      <c r="AC143" s="210"/>
      <c r="AD143" s="210"/>
      <c r="AE143" s="210"/>
      <c r="AF143" s="210"/>
      <c r="AG143" s="210"/>
      <c r="AH143" s="210"/>
      <c r="AI143" s="210"/>
      <c r="AJ143"/>
      <c r="AK143"/>
      <c r="AL143"/>
      <c r="AM143"/>
      <c r="AN143"/>
      <c r="AO143"/>
      <c r="AP143"/>
      <c r="AQ143"/>
      <c r="AR143"/>
      <c r="AS143"/>
      <c r="AT143"/>
      <c r="AU143"/>
    </row>
    <row r="144" spans="1:47" s="408" customFormat="1" ht="16.5" customHeight="1">
      <c r="A144" s="210"/>
      <c r="B144" s="210"/>
      <c r="C144" s="210"/>
      <c r="D144" s="210"/>
      <c r="E144" s="404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  <c r="AA144" s="210"/>
      <c r="AB144" s="210"/>
      <c r="AC144" s="210"/>
      <c r="AD144" s="210"/>
      <c r="AE144" s="210"/>
      <c r="AF144" s="210"/>
      <c r="AG144" s="210"/>
      <c r="AH144" s="210"/>
      <c r="AI144" s="210"/>
      <c r="AJ144"/>
      <c r="AK144"/>
      <c r="AL144"/>
      <c r="AM144"/>
      <c r="AN144"/>
      <c r="AO144"/>
      <c r="AP144"/>
      <c r="AQ144"/>
      <c r="AR144"/>
      <c r="AS144"/>
      <c r="AT144"/>
      <c r="AU144"/>
    </row>
    <row r="145" spans="1:47" s="408" customFormat="1" ht="16.5" customHeight="1">
      <c r="A145" s="210"/>
      <c r="B145" s="210"/>
      <c r="C145" s="210"/>
      <c r="D145" s="210"/>
      <c r="E145" s="404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  <c r="AA145" s="210"/>
      <c r="AB145" s="210"/>
      <c r="AC145" s="210"/>
      <c r="AD145" s="210"/>
      <c r="AE145" s="210"/>
      <c r="AF145" s="210"/>
      <c r="AG145" s="210"/>
      <c r="AH145" s="210"/>
      <c r="AI145" s="210"/>
      <c r="AJ145"/>
      <c r="AK145"/>
      <c r="AL145"/>
      <c r="AM145"/>
      <c r="AN145"/>
      <c r="AO145"/>
      <c r="AP145"/>
      <c r="AQ145"/>
      <c r="AR145"/>
      <c r="AS145"/>
      <c r="AT145"/>
      <c r="AU145"/>
    </row>
    <row r="146" spans="1:47" s="408" customFormat="1" ht="16.5" customHeight="1">
      <c r="A146" s="210"/>
      <c r="B146" s="210"/>
      <c r="C146" s="210"/>
      <c r="D146" s="210"/>
      <c r="E146" s="404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  <c r="AA146" s="210"/>
      <c r="AB146" s="210"/>
      <c r="AC146" s="210"/>
      <c r="AD146" s="210"/>
      <c r="AE146" s="210"/>
      <c r="AF146" s="210"/>
      <c r="AG146" s="210"/>
      <c r="AH146" s="210"/>
      <c r="AI146" s="210"/>
      <c r="AJ146"/>
      <c r="AK146"/>
      <c r="AL146"/>
      <c r="AM146"/>
      <c r="AN146"/>
      <c r="AO146"/>
      <c r="AP146"/>
      <c r="AQ146"/>
      <c r="AR146"/>
      <c r="AS146"/>
      <c r="AT146"/>
      <c r="AU146"/>
    </row>
    <row r="147" spans="1:47" s="408" customFormat="1" ht="16.5" customHeight="1">
      <c r="A147" s="210"/>
      <c r="B147" s="210"/>
      <c r="C147" s="210"/>
      <c r="D147" s="210"/>
      <c r="E147" s="404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  <c r="AA147" s="210"/>
      <c r="AB147" s="210"/>
      <c r="AC147" s="210"/>
      <c r="AD147" s="210"/>
      <c r="AE147" s="210"/>
      <c r="AF147" s="210"/>
      <c r="AG147" s="210"/>
      <c r="AH147" s="210"/>
      <c r="AI147" s="210"/>
      <c r="AJ147"/>
      <c r="AK147"/>
      <c r="AL147"/>
      <c r="AM147"/>
      <c r="AN147"/>
      <c r="AO147"/>
      <c r="AP147"/>
      <c r="AQ147"/>
      <c r="AR147"/>
      <c r="AS147"/>
      <c r="AT147"/>
      <c r="AU147"/>
    </row>
    <row r="148" spans="1:47" s="408" customFormat="1" ht="16.5" customHeight="1">
      <c r="A148" s="210"/>
      <c r="B148" s="210"/>
      <c r="C148" s="210"/>
      <c r="D148" s="210"/>
      <c r="E148" s="404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  <c r="AA148" s="210"/>
      <c r="AB148" s="210"/>
      <c r="AC148" s="210"/>
      <c r="AD148" s="210"/>
      <c r="AE148" s="210"/>
      <c r="AF148" s="210"/>
      <c r="AG148" s="210"/>
      <c r="AH148" s="210"/>
      <c r="AI148" s="210"/>
      <c r="AJ148"/>
      <c r="AK148"/>
      <c r="AL148"/>
      <c r="AM148"/>
      <c r="AN148"/>
      <c r="AO148"/>
      <c r="AP148"/>
      <c r="AQ148"/>
      <c r="AR148"/>
      <c r="AS148"/>
      <c r="AT148"/>
      <c r="AU148"/>
    </row>
    <row r="149" spans="1:47" s="408" customFormat="1" ht="16.5" customHeight="1">
      <c r="A149" s="210"/>
      <c r="B149" s="210"/>
      <c r="C149" s="210"/>
      <c r="D149" s="210"/>
      <c r="E149" s="404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  <c r="AA149" s="210"/>
      <c r="AB149" s="210"/>
      <c r="AC149" s="210"/>
      <c r="AD149" s="210"/>
      <c r="AE149" s="210"/>
      <c r="AF149" s="210"/>
      <c r="AG149" s="210"/>
      <c r="AH149" s="210"/>
      <c r="AI149" s="210"/>
      <c r="AJ149"/>
      <c r="AK149"/>
      <c r="AL149"/>
      <c r="AM149"/>
      <c r="AN149"/>
      <c r="AO149"/>
      <c r="AP149"/>
      <c r="AQ149"/>
      <c r="AR149"/>
      <c r="AS149"/>
      <c r="AT149"/>
      <c r="AU149"/>
    </row>
    <row r="150" spans="1:47" s="408" customFormat="1" ht="16.5" customHeight="1">
      <c r="A150" s="210"/>
      <c r="B150" s="210"/>
      <c r="C150" s="210"/>
      <c r="D150" s="210"/>
      <c r="E150" s="404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  <c r="AA150" s="210"/>
      <c r="AB150" s="210"/>
      <c r="AC150" s="210"/>
      <c r="AD150" s="210"/>
      <c r="AE150" s="210"/>
      <c r="AF150" s="210"/>
      <c r="AG150" s="210"/>
      <c r="AH150" s="210"/>
      <c r="AI150" s="210"/>
      <c r="AJ150"/>
      <c r="AK150"/>
      <c r="AL150"/>
      <c r="AM150"/>
      <c r="AN150"/>
      <c r="AO150"/>
      <c r="AP150"/>
      <c r="AQ150"/>
      <c r="AR150"/>
      <c r="AS150"/>
      <c r="AT150"/>
      <c r="AU150"/>
    </row>
    <row r="151" spans="1:47" s="408" customFormat="1" ht="16.5" customHeight="1">
      <c r="A151" s="210"/>
      <c r="B151" s="210"/>
      <c r="C151" s="210"/>
      <c r="D151" s="210"/>
      <c r="E151" s="404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  <c r="AA151" s="210"/>
      <c r="AB151" s="210"/>
      <c r="AC151" s="210"/>
      <c r="AD151" s="210"/>
      <c r="AE151" s="210"/>
      <c r="AF151" s="210"/>
      <c r="AG151" s="210"/>
      <c r="AH151" s="210"/>
      <c r="AI151" s="210"/>
      <c r="AJ151"/>
      <c r="AK151"/>
      <c r="AL151"/>
      <c r="AM151"/>
      <c r="AN151"/>
      <c r="AO151"/>
      <c r="AP151"/>
      <c r="AQ151"/>
      <c r="AR151"/>
      <c r="AS151"/>
      <c r="AT151"/>
      <c r="AU151"/>
    </row>
    <row r="152" spans="1:47" s="408" customFormat="1" ht="16.5" customHeight="1">
      <c r="A152" s="210"/>
      <c r="B152" s="210"/>
      <c r="C152" s="210"/>
      <c r="D152" s="210"/>
      <c r="E152" s="404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  <c r="AA152" s="210"/>
      <c r="AB152" s="210"/>
      <c r="AC152" s="210"/>
      <c r="AD152" s="210"/>
      <c r="AE152" s="210"/>
      <c r="AF152" s="210"/>
      <c r="AG152" s="210"/>
      <c r="AH152" s="210"/>
      <c r="AI152" s="210"/>
      <c r="AJ152"/>
      <c r="AK152"/>
      <c r="AL152"/>
      <c r="AM152"/>
      <c r="AN152"/>
      <c r="AO152"/>
      <c r="AP152"/>
      <c r="AQ152"/>
      <c r="AR152"/>
      <c r="AS152"/>
      <c r="AT152"/>
      <c r="AU152"/>
    </row>
    <row r="153" spans="1:47" s="408" customFormat="1" ht="16.5" customHeight="1">
      <c r="A153" s="210"/>
      <c r="B153" s="210"/>
      <c r="C153" s="210"/>
      <c r="D153" s="210"/>
      <c r="E153" s="404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  <c r="AA153" s="210"/>
      <c r="AB153" s="210"/>
      <c r="AC153" s="210"/>
      <c r="AD153" s="210"/>
      <c r="AE153" s="210"/>
      <c r="AF153" s="210"/>
      <c r="AG153" s="210"/>
      <c r="AH153" s="210"/>
      <c r="AI153" s="210"/>
      <c r="AJ153"/>
      <c r="AK153"/>
      <c r="AL153"/>
      <c r="AM153"/>
      <c r="AN153"/>
      <c r="AO153"/>
      <c r="AP153"/>
      <c r="AQ153"/>
      <c r="AR153"/>
      <c r="AS153"/>
      <c r="AT153"/>
      <c r="AU153"/>
    </row>
    <row r="154" spans="1:47" s="408" customFormat="1" ht="16.5" customHeight="1">
      <c r="A154" s="210"/>
      <c r="B154" s="210"/>
      <c r="C154" s="210"/>
      <c r="D154" s="210"/>
      <c r="E154" s="404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  <c r="AA154" s="210"/>
      <c r="AB154" s="210"/>
      <c r="AC154" s="210"/>
      <c r="AD154" s="210"/>
      <c r="AE154" s="210"/>
      <c r="AF154" s="210"/>
      <c r="AG154" s="210"/>
      <c r="AH154" s="210"/>
      <c r="AI154" s="210"/>
      <c r="AJ154"/>
      <c r="AK154"/>
      <c r="AL154"/>
      <c r="AM154"/>
      <c r="AN154"/>
      <c r="AO154"/>
      <c r="AP154"/>
      <c r="AQ154"/>
      <c r="AR154"/>
      <c r="AS154"/>
      <c r="AT154"/>
      <c r="AU154"/>
    </row>
    <row r="155" spans="1:47" s="408" customFormat="1" ht="16.5" customHeight="1">
      <c r="A155" s="210"/>
      <c r="B155" s="210"/>
      <c r="C155" s="210"/>
      <c r="D155" s="210"/>
      <c r="E155" s="404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  <c r="AA155" s="210"/>
      <c r="AB155" s="210"/>
      <c r="AC155" s="210"/>
      <c r="AD155" s="210"/>
      <c r="AE155" s="210"/>
      <c r="AF155" s="210"/>
      <c r="AG155" s="210"/>
      <c r="AH155" s="210"/>
      <c r="AI155" s="210"/>
      <c r="AJ155"/>
      <c r="AK155"/>
      <c r="AL155"/>
      <c r="AM155"/>
      <c r="AN155"/>
      <c r="AO155"/>
      <c r="AP155"/>
      <c r="AQ155"/>
      <c r="AR155"/>
      <c r="AS155"/>
      <c r="AT155"/>
      <c r="AU155"/>
    </row>
    <row r="156" spans="1:47" s="408" customFormat="1" ht="16.5" customHeight="1">
      <c r="A156" s="210"/>
      <c r="B156" s="210"/>
      <c r="C156" s="210"/>
      <c r="D156" s="210"/>
      <c r="E156" s="404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  <c r="AA156" s="210"/>
      <c r="AB156" s="210"/>
      <c r="AC156" s="210"/>
      <c r="AD156" s="210"/>
      <c r="AE156" s="210"/>
      <c r="AF156" s="210"/>
      <c r="AG156" s="210"/>
      <c r="AH156" s="210"/>
      <c r="AI156" s="210"/>
      <c r="AJ156"/>
      <c r="AK156"/>
      <c r="AL156"/>
      <c r="AM156"/>
      <c r="AN156"/>
      <c r="AO156"/>
      <c r="AP156"/>
      <c r="AQ156"/>
      <c r="AR156"/>
      <c r="AS156"/>
      <c r="AT156"/>
      <c r="AU156"/>
    </row>
    <row r="157" spans="1:47" s="408" customFormat="1" ht="16.5" customHeight="1">
      <c r="A157" s="210"/>
      <c r="B157" s="210"/>
      <c r="C157" s="210"/>
      <c r="D157" s="210"/>
      <c r="E157" s="404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0"/>
      <c r="AG157" s="210"/>
      <c r="AH157" s="210"/>
      <c r="AI157" s="210"/>
      <c r="AJ157"/>
      <c r="AK157"/>
      <c r="AL157"/>
      <c r="AM157"/>
      <c r="AN157"/>
      <c r="AO157"/>
      <c r="AP157"/>
      <c r="AQ157"/>
      <c r="AR157"/>
      <c r="AS157"/>
      <c r="AT157"/>
      <c r="AU157"/>
    </row>
    <row r="158" spans="1:47" s="408" customFormat="1" ht="16.5" customHeight="1">
      <c r="A158" s="210"/>
      <c r="B158" s="210"/>
      <c r="C158" s="210"/>
      <c r="D158" s="210"/>
      <c r="E158" s="404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  <c r="AA158" s="210"/>
      <c r="AB158" s="210"/>
      <c r="AC158" s="210"/>
      <c r="AD158" s="210"/>
      <c r="AE158" s="210"/>
      <c r="AF158" s="210"/>
      <c r="AG158" s="210"/>
      <c r="AH158" s="210"/>
      <c r="AI158" s="210"/>
      <c r="AJ158"/>
      <c r="AK158"/>
      <c r="AL158"/>
      <c r="AM158"/>
      <c r="AN158"/>
      <c r="AO158"/>
      <c r="AP158"/>
      <c r="AQ158"/>
      <c r="AR158"/>
      <c r="AS158"/>
      <c r="AT158"/>
      <c r="AU158"/>
    </row>
    <row r="159" spans="1:47" s="408" customFormat="1" ht="16.5" customHeight="1">
      <c r="A159" s="210"/>
      <c r="B159" s="210"/>
      <c r="C159" s="210"/>
      <c r="D159" s="210"/>
      <c r="E159" s="404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  <c r="AA159" s="210"/>
      <c r="AB159" s="210"/>
      <c r="AC159" s="210"/>
      <c r="AD159" s="210"/>
      <c r="AE159" s="210"/>
      <c r="AF159" s="210"/>
      <c r="AG159" s="210"/>
      <c r="AH159" s="210"/>
      <c r="AI159" s="210"/>
      <c r="AJ159"/>
      <c r="AK159"/>
      <c r="AL159"/>
      <c r="AM159"/>
      <c r="AN159"/>
      <c r="AO159"/>
      <c r="AP159"/>
      <c r="AQ159"/>
      <c r="AR159"/>
      <c r="AS159"/>
      <c r="AT159"/>
      <c r="AU159"/>
    </row>
    <row r="160" spans="1:47" s="408" customFormat="1" ht="16.5" customHeight="1">
      <c r="A160" s="210"/>
      <c r="B160" s="210"/>
      <c r="C160" s="210"/>
      <c r="D160" s="210"/>
      <c r="E160" s="404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  <c r="AA160" s="210"/>
      <c r="AB160" s="210"/>
      <c r="AC160" s="210"/>
      <c r="AD160" s="210"/>
      <c r="AE160" s="210"/>
      <c r="AF160" s="210"/>
      <c r="AG160" s="210"/>
      <c r="AH160" s="210"/>
      <c r="AI160" s="210"/>
      <c r="AJ160"/>
      <c r="AK160"/>
      <c r="AL160"/>
      <c r="AM160"/>
      <c r="AN160"/>
      <c r="AO160"/>
      <c r="AP160"/>
      <c r="AQ160"/>
      <c r="AR160"/>
      <c r="AS160"/>
      <c r="AT160"/>
      <c r="AU160"/>
    </row>
    <row r="161" spans="1:47" s="408" customFormat="1" ht="16.5" customHeight="1">
      <c r="A161" s="210"/>
      <c r="B161" s="210"/>
      <c r="C161" s="210"/>
      <c r="D161" s="210"/>
      <c r="E161" s="404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  <c r="AA161" s="210"/>
      <c r="AB161" s="210"/>
      <c r="AC161" s="210"/>
      <c r="AD161" s="210"/>
      <c r="AE161" s="210"/>
      <c r="AF161" s="210"/>
      <c r="AG161" s="210"/>
      <c r="AH161" s="210"/>
      <c r="AI161" s="210"/>
      <c r="AJ161"/>
      <c r="AK161"/>
      <c r="AL161"/>
      <c r="AM161"/>
      <c r="AN161"/>
      <c r="AO161"/>
      <c r="AP161"/>
      <c r="AQ161"/>
      <c r="AR161"/>
      <c r="AS161"/>
      <c r="AT161"/>
      <c r="AU161"/>
    </row>
    <row r="162" spans="1:47" s="408" customFormat="1" ht="16.5" customHeight="1">
      <c r="A162" s="210"/>
      <c r="B162" s="210"/>
      <c r="C162" s="210"/>
      <c r="D162" s="210"/>
      <c r="E162" s="404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  <c r="AA162" s="210"/>
      <c r="AB162" s="210"/>
      <c r="AC162" s="210"/>
      <c r="AD162" s="210"/>
      <c r="AE162" s="210"/>
      <c r="AF162" s="210"/>
      <c r="AG162" s="210"/>
      <c r="AH162" s="210"/>
      <c r="AI162" s="210"/>
      <c r="AJ162"/>
      <c r="AK162"/>
      <c r="AL162"/>
      <c r="AM162"/>
      <c r="AN162"/>
      <c r="AO162"/>
      <c r="AP162"/>
      <c r="AQ162"/>
      <c r="AR162"/>
      <c r="AS162"/>
      <c r="AT162"/>
      <c r="AU162"/>
    </row>
    <row r="163" spans="1:47" s="408" customFormat="1" ht="16.5" customHeight="1">
      <c r="A163" s="210"/>
      <c r="B163" s="210"/>
      <c r="C163" s="210"/>
      <c r="D163" s="210"/>
      <c r="E163" s="404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  <c r="AA163" s="210"/>
      <c r="AB163" s="210"/>
      <c r="AC163" s="210"/>
      <c r="AD163" s="210"/>
      <c r="AE163" s="210"/>
      <c r="AF163" s="210"/>
      <c r="AG163" s="210"/>
      <c r="AH163" s="210"/>
      <c r="AI163" s="210"/>
      <c r="AJ163"/>
      <c r="AK163"/>
      <c r="AL163"/>
      <c r="AM163"/>
      <c r="AN163"/>
      <c r="AO163"/>
      <c r="AP163"/>
      <c r="AQ163"/>
      <c r="AR163"/>
      <c r="AS163"/>
      <c r="AT163"/>
      <c r="AU163"/>
    </row>
    <row r="164" spans="1:47" s="408" customFormat="1" ht="16.5" customHeight="1">
      <c r="A164" s="210"/>
      <c r="B164" s="210"/>
      <c r="C164" s="210"/>
      <c r="D164" s="210"/>
      <c r="E164" s="404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  <c r="AA164" s="210"/>
      <c r="AB164" s="210"/>
      <c r="AC164" s="210"/>
      <c r="AD164" s="210"/>
      <c r="AE164" s="210"/>
      <c r="AF164" s="210"/>
      <c r="AG164" s="210"/>
      <c r="AH164" s="210"/>
      <c r="AI164" s="210"/>
      <c r="AJ164"/>
      <c r="AK164"/>
      <c r="AL164"/>
      <c r="AM164"/>
      <c r="AN164"/>
      <c r="AO164"/>
      <c r="AP164"/>
      <c r="AQ164"/>
      <c r="AR164"/>
      <c r="AS164"/>
      <c r="AT164"/>
      <c r="AU164"/>
    </row>
    <row r="165" spans="1:47" s="408" customFormat="1" ht="16.5" customHeight="1">
      <c r="A165" s="210"/>
      <c r="B165" s="210"/>
      <c r="C165" s="210"/>
      <c r="D165" s="210"/>
      <c r="E165" s="404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  <c r="AA165" s="210"/>
      <c r="AB165" s="210"/>
      <c r="AC165" s="210"/>
      <c r="AD165" s="210"/>
      <c r="AE165" s="210"/>
      <c r="AF165" s="210"/>
      <c r="AG165" s="210"/>
      <c r="AH165" s="210"/>
      <c r="AI165" s="210"/>
      <c r="AJ165"/>
      <c r="AK165"/>
      <c r="AL165"/>
      <c r="AM165"/>
      <c r="AN165"/>
      <c r="AO165"/>
      <c r="AP165"/>
      <c r="AQ165"/>
      <c r="AR165"/>
      <c r="AS165"/>
      <c r="AT165"/>
      <c r="AU165"/>
    </row>
    <row r="166" spans="1:47" s="408" customFormat="1" ht="16.5" customHeight="1">
      <c r="A166" s="210"/>
      <c r="B166" s="210"/>
      <c r="C166" s="210"/>
      <c r="D166" s="210"/>
      <c r="E166" s="404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  <c r="AA166" s="210"/>
      <c r="AB166" s="210"/>
      <c r="AC166" s="210"/>
      <c r="AD166" s="210"/>
      <c r="AE166" s="210"/>
      <c r="AF166" s="210"/>
      <c r="AG166" s="210"/>
      <c r="AH166" s="210"/>
      <c r="AI166" s="210"/>
      <c r="AJ166"/>
      <c r="AK166"/>
      <c r="AL166"/>
      <c r="AM166"/>
      <c r="AN166"/>
      <c r="AO166"/>
      <c r="AP166"/>
      <c r="AQ166"/>
      <c r="AR166"/>
      <c r="AS166"/>
      <c r="AT166"/>
      <c r="AU166"/>
    </row>
    <row r="167" spans="1:47" s="408" customFormat="1" ht="16.5" customHeight="1">
      <c r="A167" s="210"/>
      <c r="B167" s="210"/>
      <c r="C167" s="210"/>
      <c r="D167" s="210"/>
      <c r="E167" s="404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  <c r="AA167" s="210"/>
      <c r="AB167" s="210"/>
      <c r="AC167" s="210"/>
      <c r="AD167" s="210"/>
      <c r="AE167" s="210"/>
      <c r="AF167" s="210"/>
      <c r="AG167" s="210"/>
      <c r="AH167" s="210"/>
      <c r="AI167" s="210"/>
      <c r="AJ167"/>
      <c r="AK167"/>
      <c r="AL167"/>
      <c r="AM167"/>
      <c r="AN167"/>
      <c r="AO167"/>
      <c r="AP167"/>
      <c r="AQ167"/>
      <c r="AR167"/>
      <c r="AS167"/>
      <c r="AT167"/>
      <c r="AU167"/>
    </row>
    <row r="168" spans="1:47" s="408" customFormat="1" ht="16.5" customHeight="1">
      <c r="A168" s="210"/>
      <c r="B168" s="210"/>
      <c r="C168" s="210"/>
      <c r="D168" s="210"/>
      <c r="E168" s="404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  <c r="AA168" s="210"/>
      <c r="AB168" s="210"/>
      <c r="AC168" s="210"/>
      <c r="AD168" s="210"/>
      <c r="AE168" s="210"/>
      <c r="AF168" s="210"/>
      <c r="AG168" s="210"/>
      <c r="AH168" s="210"/>
      <c r="AI168" s="210"/>
      <c r="AJ168"/>
      <c r="AK168"/>
      <c r="AL168"/>
      <c r="AM168"/>
      <c r="AN168"/>
      <c r="AO168"/>
      <c r="AP168"/>
      <c r="AQ168"/>
      <c r="AR168"/>
      <c r="AS168"/>
      <c r="AT168"/>
      <c r="AU168"/>
    </row>
    <row r="169" spans="1:47" s="408" customFormat="1" ht="16.5" customHeight="1">
      <c r="A169" s="210"/>
      <c r="B169" s="210"/>
      <c r="C169" s="210"/>
      <c r="D169" s="210"/>
      <c r="E169" s="404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  <c r="AA169" s="210"/>
      <c r="AB169" s="210"/>
      <c r="AC169" s="210"/>
      <c r="AD169" s="210"/>
      <c r="AE169" s="210"/>
      <c r="AF169" s="210"/>
      <c r="AG169" s="210"/>
      <c r="AH169" s="210"/>
      <c r="AI169" s="210"/>
      <c r="AJ169"/>
      <c r="AK169"/>
      <c r="AL169"/>
      <c r="AM169"/>
      <c r="AN169"/>
      <c r="AO169"/>
      <c r="AP169"/>
      <c r="AQ169"/>
      <c r="AR169"/>
      <c r="AS169"/>
      <c r="AT169"/>
      <c r="AU169"/>
    </row>
    <row r="170" spans="1:47" s="408" customFormat="1" ht="16.5" customHeight="1">
      <c r="A170" s="210"/>
      <c r="B170" s="210"/>
      <c r="C170" s="210"/>
      <c r="D170" s="210"/>
      <c r="E170" s="404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  <c r="AA170" s="210"/>
      <c r="AB170" s="210"/>
      <c r="AC170" s="210"/>
      <c r="AD170" s="210"/>
      <c r="AE170" s="210"/>
      <c r="AF170" s="210"/>
      <c r="AG170" s="210"/>
      <c r="AH170" s="210"/>
      <c r="AI170" s="210"/>
      <c r="AJ170"/>
      <c r="AK170"/>
      <c r="AL170"/>
      <c r="AM170"/>
      <c r="AN170"/>
      <c r="AO170"/>
      <c r="AP170"/>
      <c r="AQ170"/>
      <c r="AR170"/>
      <c r="AS170"/>
      <c r="AT170"/>
      <c r="AU170"/>
    </row>
    <row r="171" spans="1:47" s="408" customFormat="1" ht="16.5" customHeight="1">
      <c r="A171" s="210"/>
      <c r="B171" s="210"/>
      <c r="C171" s="210"/>
      <c r="D171" s="210"/>
      <c r="E171" s="404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  <c r="AA171" s="210"/>
      <c r="AB171" s="210"/>
      <c r="AC171" s="210"/>
      <c r="AD171" s="210"/>
      <c r="AE171" s="210"/>
      <c r="AF171" s="210"/>
      <c r="AG171" s="210"/>
      <c r="AH171" s="210"/>
      <c r="AI171" s="210"/>
      <c r="AJ171"/>
      <c r="AK171"/>
      <c r="AL171"/>
      <c r="AM171"/>
      <c r="AN171"/>
      <c r="AO171"/>
      <c r="AP171"/>
      <c r="AQ171"/>
      <c r="AR171"/>
      <c r="AS171"/>
      <c r="AT171"/>
      <c r="AU171"/>
    </row>
    <row r="172" spans="1:47" s="408" customFormat="1" ht="16.5" customHeight="1">
      <c r="A172" s="210"/>
      <c r="B172" s="210"/>
      <c r="C172" s="210"/>
      <c r="D172" s="210"/>
      <c r="E172" s="404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  <c r="AA172" s="210"/>
      <c r="AB172" s="210"/>
      <c r="AC172" s="210"/>
      <c r="AD172" s="210"/>
      <c r="AE172" s="210"/>
      <c r="AF172" s="210"/>
      <c r="AG172" s="210"/>
      <c r="AH172" s="210"/>
      <c r="AI172" s="210"/>
      <c r="AJ172"/>
      <c r="AK172"/>
      <c r="AL172"/>
      <c r="AM172"/>
      <c r="AN172"/>
      <c r="AO172"/>
      <c r="AP172"/>
      <c r="AQ172"/>
      <c r="AR172"/>
      <c r="AS172"/>
      <c r="AT172"/>
      <c r="AU172"/>
    </row>
    <row r="173" spans="1:47" s="408" customFormat="1" ht="16.5" customHeight="1">
      <c r="A173" s="210"/>
      <c r="B173" s="210"/>
      <c r="C173" s="210"/>
      <c r="D173" s="210"/>
      <c r="E173" s="404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  <c r="AA173" s="210"/>
      <c r="AB173" s="210"/>
      <c r="AC173" s="210"/>
      <c r="AD173" s="210"/>
      <c r="AE173" s="210"/>
      <c r="AF173" s="210"/>
      <c r="AG173" s="210"/>
      <c r="AH173" s="210"/>
      <c r="AI173" s="210"/>
      <c r="AJ173"/>
      <c r="AK173"/>
      <c r="AL173"/>
      <c r="AM173"/>
      <c r="AN173"/>
      <c r="AO173"/>
      <c r="AP173"/>
      <c r="AQ173"/>
      <c r="AR173"/>
      <c r="AS173"/>
      <c r="AT173"/>
      <c r="AU17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59C15-FC3C-4787-82BE-6EB83288B312}">
  <dimension ref="A1:AV173"/>
  <sheetViews>
    <sheetView zoomScaleNormal="100" workbookViewId="0">
      <pane xSplit="4" ySplit="2" topLeftCell="E6" activePane="bottomRight" state="frozen"/>
      <selection pane="topRight" activeCell="E1" sqref="E1"/>
      <selection pane="bottomLeft" activeCell="A4" sqref="A4"/>
      <selection pane="bottomRight" activeCell="G18" sqref="G18"/>
    </sheetView>
  </sheetViews>
  <sheetFormatPr defaultColWidth="8.875" defaultRowHeight="16.5" customHeight="1"/>
  <cols>
    <col min="1" max="1" width="3.375" style="210" customWidth="1"/>
    <col min="2" max="2" width="5.375" style="210" customWidth="1"/>
    <col min="3" max="3" width="8.375" style="210" customWidth="1"/>
    <col min="4" max="4" width="12.375" style="210" customWidth="1"/>
    <col min="5" max="5" width="9.875" style="406" bestFit="1" customWidth="1"/>
    <col min="6" max="7" width="7.375" style="408" customWidth="1"/>
    <col min="8" max="8" width="7.375" style="210" customWidth="1"/>
    <col min="9" max="9" width="4.375" style="210" customWidth="1"/>
    <col min="10" max="10" width="7.375" style="210" customWidth="1"/>
    <col min="11" max="11" width="4.375" style="210" customWidth="1"/>
    <col min="12" max="12" width="7.375" style="210" customWidth="1"/>
    <col min="13" max="13" width="4.375" style="210" customWidth="1"/>
    <col min="14" max="14" width="7.375" style="210" customWidth="1"/>
    <col min="15" max="15" width="5" style="210" customWidth="1"/>
    <col min="16" max="16" width="7.375" style="210" customWidth="1"/>
    <col min="17" max="17" width="4.375" style="210" customWidth="1"/>
    <col min="18" max="18" width="7.375" style="210" customWidth="1"/>
    <col min="19" max="19" width="4.375" style="210" customWidth="1"/>
    <col min="20" max="20" width="7.375" style="210" customWidth="1"/>
    <col min="21" max="21" width="4.375" style="210" customWidth="1"/>
    <col min="22" max="22" width="7.375" style="210" customWidth="1"/>
    <col min="23" max="23" width="4.375" style="210" customWidth="1"/>
    <col min="24" max="24" width="7.375" style="210" customWidth="1"/>
    <col min="25" max="25" width="4.375" style="210" customWidth="1"/>
    <col min="26" max="26" width="7.375" style="210" customWidth="1"/>
    <col min="27" max="27" width="4.375" style="210" customWidth="1"/>
    <col min="28" max="28" width="10.375" style="210" customWidth="1"/>
    <col min="29" max="29" width="4.375" style="210" customWidth="1"/>
    <col min="30" max="30" width="7.375" style="210" customWidth="1"/>
    <col min="31" max="31" width="4.375" style="210" customWidth="1"/>
    <col min="32" max="32" width="7.375" style="210" customWidth="1"/>
    <col min="33" max="33" width="4.375" style="210" customWidth="1"/>
    <col min="34" max="34" width="7.375" style="210" customWidth="1"/>
    <col min="35" max="35" width="4.375" style="210" customWidth="1"/>
    <col min="36" max="36" width="7.375" customWidth="1"/>
    <col min="37" max="37" width="4.375" customWidth="1"/>
    <col min="38" max="38" width="7.375" customWidth="1"/>
    <col min="39" max="39" width="4.375" customWidth="1"/>
    <col min="40" max="40" width="7.375" customWidth="1"/>
    <col min="41" max="41" width="4.375" customWidth="1"/>
    <col min="42" max="42" width="7.375" customWidth="1"/>
    <col min="43" max="43" width="4.375" customWidth="1"/>
    <col min="44" max="44" width="7.375" customWidth="1"/>
    <col min="45" max="45" width="4.375" customWidth="1"/>
    <col min="46" max="46" width="7.375" customWidth="1"/>
    <col min="47" max="47" width="4.375" customWidth="1"/>
    <col min="48" max="48" width="3.375" customWidth="1"/>
  </cols>
  <sheetData>
    <row r="1" spans="1:48" ht="16.5" customHeight="1" thickBot="1">
      <c r="A1" s="362"/>
      <c r="B1" s="358" t="s">
        <v>325</v>
      </c>
      <c r="C1" s="359"/>
      <c r="D1" s="360"/>
      <c r="E1" s="361"/>
      <c r="F1" s="360"/>
      <c r="G1" s="360"/>
      <c r="H1" s="360"/>
      <c r="I1" s="360"/>
      <c r="J1" s="360"/>
      <c r="K1" s="359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0"/>
      <c r="W1" s="360"/>
      <c r="X1" s="360"/>
      <c r="Y1" s="360"/>
      <c r="Z1" s="357"/>
      <c r="AA1" s="357"/>
      <c r="AB1" s="357"/>
      <c r="AC1" s="357"/>
      <c r="AD1" s="357"/>
      <c r="AE1" s="357"/>
      <c r="AF1" s="357"/>
      <c r="AG1" s="357"/>
      <c r="AH1" s="357"/>
      <c r="AI1" s="357"/>
      <c r="AJ1" s="357"/>
      <c r="AK1" s="357"/>
      <c r="AL1" s="357"/>
      <c r="AM1" s="357"/>
      <c r="AN1" s="357"/>
      <c r="AO1" s="357"/>
      <c r="AP1" s="357"/>
      <c r="AQ1" s="357"/>
      <c r="AR1" s="357"/>
      <c r="AS1" s="357"/>
      <c r="AT1" s="357"/>
      <c r="AU1" s="357"/>
    </row>
    <row r="2" spans="1:48" ht="16.5" customHeight="1" thickBot="1">
      <c r="A2" s="362"/>
      <c r="B2" s="363" t="s">
        <v>280</v>
      </c>
      <c r="C2" s="364" t="s">
        <v>281</v>
      </c>
      <c r="D2" s="364" t="s">
        <v>282</v>
      </c>
      <c r="E2" s="365" t="s">
        <v>283</v>
      </c>
      <c r="F2" s="365" t="s">
        <v>284</v>
      </c>
      <c r="G2" s="365" t="s">
        <v>11</v>
      </c>
      <c r="H2" s="366" t="s">
        <v>285</v>
      </c>
      <c r="I2" s="367" t="s">
        <v>286</v>
      </c>
      <c r="J2" s="366" t="s">
        <v>287</v>
      </c>
      <c r="K2" s="367" t="s">
        <v>286</v>
      </c>
      <c r="L2" s="366" t="s">
        <v>288</v>
      </c>
      <c r="M2" s="367" t="s">
        <v>286</v>
      </c>
      <c r="N2" s="366" t="s">
        <v>289</v>
      </c>
      <c r="O2" s="367" t="s">
        <v>286</v>
      </c>
      <c r="P2" s="366" t="s">
        <v>290</v>
      </c>
      <c r="Q2" s="367" t="s">
        <v>286</v>
      </c>
      <c r="R2" s="366" t="s">
        <v>291</v>
      </c>
      <c r="S2" s="367" t="s">
        <v>286</v>
      </c>
      <c r="T2" s="366" t="s">
        <v>292</v>
      </c>
      <c r="U2" s="367" t="s">
        <v>286</v>
      </c>
      <c r="V2" s="366" t="s">
        <v>293</v>
      </c>
      <c r="W2" s="367" t="s">
        <v>286</v>
      </c>
      <c r="X2" s="366" t="s">
        <v>19</v>
      </c>
      <c r="Y2" s="367" t="s">
        <v>286</v>
      </c>
      <c r="Z2" s="366" t="s">
        <v>294</v>
      </c>
      <c r="AA2" s="367" t="s">
        <v>286</v>
      </c>
      <c r="AB2" s="366" t="s">
        <v>295</v>
      </c>
      <c r="AC2" s="367" t="s">
        <v>286</v>
      </c>
      <c r="AD2" s="366" t="s">
        <v>296</v>
      </c>
      <c r="AE2" s="367" t="s">
        <v>286</v>
      </c>
      <c r="AF2" s="366" t="s">
        <v>297</v>
      </c>
      <c r="AG2" s="367" t="s">
        <v>286</v>
      </c>
      <c r="AH2" s="366" t="s">
        <v>298</v>
      </c>
      <c r="AI2" s="367" t="s">
        <v>286</v>
      </c>
      <c r="AJ2" s="366" t="s">
        <v>299</v>
      </c>
      <c r="AK2" s="367" t="s">
        <v>286</v>
      </c>
      <c r="AL2" s="366" t="s">
        <v>300</v>
      </c>
      <c r="AM2" s="367" t="s">
        <v>286</v>
      </c>
      <c r="AN2" s="366" t="s">
        <v>301</v>
      </c>
      <c r="AO2" s="367" t="s">
        <v>286</v>
      </c>
      <c r="AP2" s="366" t="s">
        <v>302</v>
      </c>
      <c r="AQ2" s="367" t="s">
        <v>286</v>
      </c>
      <c r="AR2" s="366" t="s">
        <v>303</v>
      </c>
      <c r="AS2" s="367" t="s">
        <v>286</v>
      </c>
      <c r="AT2" s="366" t="s">
        <v>304</v>
      </c>
      <c r="AU2" s="367" t="s">
        <v>286</v>
      </c>
    </row>
    <row r="3" spans="1:48" ht="16.5" customHeight="1">
      <c r="A3" s="362"/>
      <c r="B3" s="378">
        <v>1</v>
      </c>
      <c r="C3" s="379" t="s">
        <v>43</v>
      </c>
      <c r="D3" s="370" t="s">
        <v>123</v>
      </c>
      <c r="E3" s="371">
        <v>40179</v>
      </c>
      <c r="F3" s="371">
        <v>4.8600000000000003</v>
      </c>
      <c r="G3" s="371">
        <v>0.91</v>
      </c>
      <c r="H3" s="372">
        <v>20.21</v>
      </c>
      <c r="I3" s="373">
        <v>2.4</v>
      </c>
      <c r="J3" s="372">
        <v>17.7</v>
      </c>
      <c r="K3" s="373">
        <v>1.6</v>
      </c>
      <c r="L3" s="372">
        <v>26.1</v>
      </c>
      <c r="M3" s="373">
        <v>4.5999999999999996</v>
      </c>
      <c r="N3" s="372">
        <v>25.2</v>
      </c>
      <c r="O3" s="373">
        <v>4.7</v>
      </c>
      <c r="P3" s="372">
        <v>47.78</v>
      </c>
      <c r="Q3" s="373">
        <v>0.25</v>
      </c>
      <c r="R3" s="372">
        <v>10.6</v>
      </c>
      <c r="S3" s="373">
        <v>0.8</v>
      </c>
      <c r="T3" s="372">
        <v>30.16</v>
      </c>
      <c r="U3" s="373">
        <v>0.22</v>
      </c>
      <c r="V3" s="372">
        <v>12.47</v>
      </c>
      <c r="W3" s="373">
        <v>0.42</v>
      </c>
      <c r="X3" s="372">
        <v>5.75</v>
      </c>
      <c r="Y3" s="373">
        <v>0.28000000000000003</v>
      </c>
      <c r="Z3" s="372">
        <v>0.21</v>
      </c>
      <c r="AA3" s="373">
        <v>0</v>
      </c>
      <c r="AB3" s="372">
        <v>0.98</v>
      </c>
      <c r="AC3" s="373">
        <v>0</v>
      </c>
      <c r="AD3" s="372">
        <v>0.77</v>
      </c>
      <c r="AE3" s="373">
        <v>0</v>
      </c>
      <c r="AF3" s="372">
        <v>0.2</v>
      </c>
      <c r="AG3" s="373">
        <v>0</v>
      </c>
      <c r="AH3" s="372">
        <v>0</v>
      </c>
      <c r="AI3" s="373">
        <v>0</v>
      </c>
      <c r="AJ3" s="372">
        <v>0</v>
      </c>
      <c r="AK3" s="373">
        <v>0</v>
      </c>
      <c r="AL3" s="372">
        <v>0</v>
      </c>
      <c r="AM3" s="373">
        <v>0</v>
      </c>
      <c r="AN3" s="372">
        <v>0</v>
      </c>
      <c r="AO3" s="373">
        <v>0</v>
      </c>
      <c r="AP3" s="372">
        <v>0</v>
      </c>
      <c r="AQ3" s="373">
        <v>0</v>
      </c>
      <c r="AR3" s="372">
        <v>0</v>
      </c>
      <c r="AS3" s="373">
        <v>0</v>
      </c>
      <c r="AT3" s="372">
        <v>0.02</v>
      </c>
      <c r="AU3" s="373">
        <v>0</v>
      </c>
    </row>
    <row r="4" spans="1:48" ht="16.5" customHeight="1">
      <c r="A4" s="362"/>
      <c r="B4" s="368">
        <v>2</v>
      </c>
      <c r="C4" s="369" t="s">
        <v>48</v>
      </c>
      <c r="D4" s="374" t="s">
        <v>141</v>
      </c>
      <c r="E4" s="375">
        <v>93719</v>
      </c>
      <c r="F4" s="375">
        <v>6.04</v>
      </c>
      <c r="G4" s="371">
        <v>0.67500000000000004</v>
      </c>
      <c r="H4" s="376">
        <v>44.63</v>
      </c>
      <c r="I4" s="377">
        <v>0.42</v>
      </c>
      <c r="J4" s="376">
        <v>33.75</v>
      </c>
      <c r="K4" s="377">
        <v>0.16</v>
      </c>
      <c r="L4" s="376">
        <v>36.799999999999997</v>
      </c>
      <c r="M4" s="377">
        <v>5.0999999999999996</v>
      </c>
      <c r="N4" s="376">
        <v>29.2</v>
      </c>
      <c r="O4" s="377">
        <v>3.4</v>
      </c>
      <c r="P4" s="376">
        <v>64.150000000000006</v>
      </c>
      <c r="Q4" s="377">
        <v>1.96</v>
      </c>
      <c r="R4" s="376">
        <v>2</v>
      </c>
      <c r="S4" s="377">
        <v>0</v>
      </c>
      <c r="T4" s="376">
        <v>12.56</v>
      </c>
      <c r="U4" s="377">
        <v>0.11</v>
      </c>
      <c r="V4" s="376">
        <v>17.670000000000002</v>
      </c>
      <c r="W4" s="377">
        <v>0.14000000000000001</v>
      </c>
      <c r="X4" s="376">
        <v>3.87</v>
      </c>
      <c r="Y4" s="377">
        <v>0.46</v>
      </c>
      <c r="Z4" s="376">
        <v>0.02</v>
      </c>
      <c r="AA4" s="377">
        <v>0</v>
      </c>
      <c r="AB4" s="376">
        <v>0.02</v>
      </c>
      <c r="AC4" s="377">
        <v>0</v>
      </c>
      <c r="AD4" s="376">
        <v>0</v>
      </c>
      <c r="AE4" s="377">
        <v>0</v>
      </c>
      <c r="AF4" s="376">
        <v>0.02</v>
      </c>
      <c r="AG4" s="377">
        <v>0</v>
      </c>
      <c r="AH4" s="376">
        <v>0</v>
      </c>
      <c r="AI4" s="377">
        <v>0</v>
      </c>
      <c r="AJ4" s="376">
        <v>0</v>
      </c>
      <c r="AK4" s="377">
        <v>0</v>
      </c>
      <c r="AL4" s="376">
        <v>0</v>
      </c>
      <c r="AM4" s="377">
        <v>0</v>
      </c>
      <c r="AN4" s="376">
        <v>0</v>
      </c>
      <c r="AO4" s="377">
        <v>0</v>
      </c>
      <c r="AP4" s="376">
        <v>0</v>
      </c>
      <c r="AQ4" s="377">
        <v>0</v>
      </c>
      <c r="AR4" s="376">
        <v>0</v>
      </c>
      <c r="AS4" s="377">
        <v>0</v>
      </c>
      <c r="AT4" s="376">
        <v>0</v>
      </c>
      <c r="AU4" s="377">
        <v>0</v>
      </c>
    </row>
    <row r="5" spans="1:48" ht="16.5" customHeight="1">
      <c r="A5" s="362"/>
      <c r="B5" s="378"/>
      <c r="C5" s="379" t="s">
        <v>306</v>
      </c>
      <c r="D5" s="374" t="s">
        <v>192</v>
      </c>
      <c r="E5" s="375">
        <v>31266</v>
      </c>
      <c r="F5" s="375">
        <v>3.57</v>
      </c>
      <c r="G5" s="375" t="s">
        <v>46</v>
      </c>
      <c r="H5" s="376">
        <v>62.88</v>
      </c>
      <c r="I5" s="377">
        <v>0.26</v>
      </c>
      <c r="J5" s="376">
        <v>51.22</v>
      </c>
      <c r="K5" s="377">
        <v>0.16</v>
      </c>
      <c r="L5" s="376">
        <v>20.2</v>
      </c>
      <c r="M5" s="377">
        <v>1.6</v>
      </c>
      <c r="N5" s="376">
        <v>18.5</v>
      </c>
      <c r="O5" s="377">
        <v>1.3</v>
      </c>
      <c r="P5" s="376">
        <v>120.02</v>
      </c>
      <c r="Q5" s="377">
        <v>0.31</v>
      </c>
      <c r="R5" s="376">
        <v>44.4</v>
      </c>
      <c r="S5" s="377">
        <v>0</v>
      </c>
      <c r="T5" s="376">
        <v>18.03</v>
      </c>
      <c r="U5" s="377">
        <v>1.89</v>
      </c>
      <c r="V5" s="376">
        <v>18.059999999999999</v>
      </c>
      <c r="W5" s="377">
        <v>0.75</v>
      </c>
      <c r="X5" s="376">
        <v>6.75</v>
      </c>
      <c r="Y5" s="377">
        <v>7.0000000000000007E-2</v>
      </c>
      <c r="Z5" s="376">
        <v>4.59</v>
      </c>
      <c r="AA5" s="377">
        <v>0.01</v>
      </c>
      <c r="AB5" s="376">
        <v>8.16</v>
      </c>
      <c r="AC5" s="377">
        <v>0.03</v>
      </c>
      <c r="AD5" s="376">
        <v>3.57</v>
      </c>
      <c r="AE5" s="377">
        <v>0.01</v>
      </c>
      <c r="AF5" s="376">
        <v>4.07</v>
      </c>
      <c r="AG5" s="377">
        <v>0.02</v>
      </c>
      <c r="AH5" s="376">
        <v>0.52</v>
      </c>
      <c r="AI5" s="377">
        <v>0</v>
      </c>
      <c r="AJ5" s="376">
        <v>0</v>
      </c>
      <c r="AK5" s="377">
        <v>0</v>
      </c>
      <c r="AL5" s="376">
        <v>0</v>
      </c>
      <c r="AM5" s="377">
        <v>0</v>
      </c>
      <c r="AN5" s="376">
        <v>0</v>
      </c>
      <c r="AO5" s="377">
        <v>0</v>
      </c>
      <c r="AP5" s="376">
        <v>0</v>
      </c>
      <c r="AQ5" s="377">
        <v>0</v>
      </c>
      <c r="AR5" s="376">
        <v>0</v>
      </c>
      <c r="AS5" s="377">
        <v>0</v>
      </c>
      <c r="AT5" s="376">
        <v>0</v>
      </c>
      <c r="AU5" s="377">
        <v>0</v>
      </c>
    </row>
    <row r="6" spans="1:48" ht="16.5" customHeight="1">
      <c r="A6" s="362"/>
      <c r="B6" s="378"/>
      <c r="C6" s="379"/>
      <c r="D6" s="380" t="s">
        <v>307</v>
      </c>
      <c r="E6" s="381"/>
      <c r="F6" s="381">
        <v>4.1673967951695108</v>
      </c>
      <c r="G6" s="381" t="s">
        <v>46</v>
      </c>
      <c r="H6" s="382">
        <v>49.195383846061532</v>
      </c>
      <c r="I6" s="383"/>
      <c r="J6" s="382">
        <v>38.120260591270949</v>
      </c>
      <c r="K6" s="383"/>
      <c r="L6" s="382">
        <v>32.647376885226222</v>
      </c>
      <c r="M6" s="383"/>
      <c r="N6" s="382">
        <v>26.52330919710365</v>
      </c>
      <c r="O6" s="383"/>
      <c r="P6" s="382">
        <v>78.12632851942233</v>
      </c>
      <c r="Q6" s="383"/>
      <c r="R6" s="382">
        <v>12.60670000400048</v>
      </c>
      <c r="S6" s="383"/>
      <c r="T6" s="382">
        <v>13.928364363723647</v>
      </c>
      <c r="U6" s="383"/>
      <c r="V6" s="382">
        <v>17.767561627395292</v>
      </c>
      <c r="W6" s="383"/>
      <c r="X6" s="382">
        <v>4.5904550946113538</v>
      </c>
      <c r="Y6" s="383"/>
      <c r="Z6" s="382">
        <v>1.1632221466575989</v>
      </c>
      <c r="AA6" s="383"/>
      <c r="AB6" s="382">
        <v>2.0562862743529222</v>
      </c>
      <c r="AC6" s="383"/>
      <c r="AD6" s="382">
        <v>0.8930641276953234</v>
      </c>
      <c r="AE6" s="383"/>
      <c r="AF6" s="382">
        <v>1.0331399767972158</v>
      </c>
      <c r="AG6" s="383"/>
      <c r="AH6" s="382">
        <v>0.13008216986038323</v>
      </c>
      <c r="AI6" s="383"/>
      <c r="AJ6" s="382">
        <v>0</v>
      </c>
      <c r="AK6" s="383"/>
      <c r="AL6" s="382">
        <v>0</v>
      </c>
      <c r="AM6" s="383"/>
      <c r="AN6" s="382">
        <v>0</v>
      </c>
      <c r="AO6" s="383"/>
      <c r="AP6" s="382">
        <v>0</v>
      </c>
      <c r="AQ6" s="383"/>
      <c r="AR6" s="382">
        <v>0</v>
      </c>
      <c r="AS6" s="383"/>
      <c r="AT6" s="382">
        <v>0</v>
      </c>
      <c r="AU6" s="383"/>
    </row>
    <row r="7" spans="1:48" ht="16.5" customHeight="1">
      <c r="A7" s="362"/>
      <c r="B7" s="368">
        <v>3</v>
      </c>
      <c r="C7" s="369" t="s">
        <v>50</v>
      </c>
      <c r="D7" s="374" t="s">
        <v>141</v>
      </c>
      <c r="E7" s="375">
        <v>326166</v>
      </c>
      <c r="F7" s="375">
        <v>5.7</v>
      </c>
      <c r="G7" s="371">
        <v>1.4717</v>
      </c>
      <c r="H7" s="376">
        <v>25.27</v>
      </c>
      <c r="I7" s="377">
        <v>1.41</v>
      </c>
      <c r="J7" s="376">
        <v>21.18</v>
      </c>
      <c r="K7" s="377">
        <v>1.1100000000000001</v>
      </c>
      <c r="L7" s="376">
        <v>27.7</v>
      </c>
      <c r="M7" s="377">
        <v>2.1</v>
      </c>
      <c r="N7" s="376">
        <v>8.1</v>
      </c>
      <c r="O7" s="377">
        <v>19.600000000000001</v>
      </c>
      <c r="P7" s="376">
        <v>81.400000000000006</v>
      </c>
      <c r="Q7" s="377">
        <v>4.34</v>
      </c>
      <c r="R7" s="376">
        <v>4.8</v>
      </c>
      <c r="S7" s="377">
        <v>0.1</v>
      </c>
      <c r="T7" s="376">
        <v>28.98</v>
      </c>
      <c r="U7" s="377">
        <v>0.81</v>
      </c>
      <c r="V7" s="376">
        <v>34.770000000000003</v>
      </c>
      <c r="W7" s="377">
        <v>1.21</v>
      </c>
      <c r="X7" s="376">
        <v>3.92</v>
      </c>
      <c r="Y7" s="377">
        <v>0.11</v>
      </c>
      <c r="Z7" s="376">
        <v>0.04</v>
      </c>
      <c r="AA7" s="377">
        <v>0</v>
      </c>
      <c r="AB7" s="376">
        <v>0.04</v>
      </c>
      <c r="AC7" s="377">
        <v>0</v>
      </c>
      <c r="AD7" s="376">
        <v>0</v>
      </c>
      <c r="AE7" s="377">
        <v>0</v>
      </c>
      <c r="AF7" s="376">
        <v>0.04</v>
      </c>
      <c r="AG7" s="377">
        <v>0</v>
      </c>
      <c r="AH7" s="376">
        <v>0</v>
      </c>
      <c r="AI7" s="377">
        <v>0</v>
      </c>
      <c r="AJ7" s="376">
        <v>0</v>
      </c>
      <c r="AK7" s="377">
        <v>0</v>
      </c>
      <c r="AL7" s="376">
        <v>0</v>
      </c>
      <c r="AM7" s="377">
        <v>0</v>
      </c>
      <c r="AN7" s="376">
        <v>0</v>
      </c>
      <c r="AO7" s="377">
        <v>0</v>
      </c>
      <c r="AP7" s="376">
        <v>0</v>
      </c>
      <c r="AQ7" s="377">
        <v>0</v>
      </c>
      <c r="AR7" s="376">
        <v>0</v>
      </c>
      <c r="AS7" s="377">
        <v>0</v>
      </c>
      <c r="AT7" s="376">
        <v>0</v>
      </c>
      <c r="AU7" s="377">
        <v>0</v>
      </c>
    </row>
    <row r="8" spans="1:48" ht="16.5" customHeight="1">
      <c r="A8" s="362"/>
      <c r="B8" s="368">
        <v>4</v>
      </c>
      <c r="C8" s="369" t="s">
        <v>54</v>
      </c>
      <c r="D8" s="374" t="s">
        <v>149</v>
      </c>
      <c r="E8" s="375">
        <v>559071</v>
      </c>
      <c r="F8" s="375">
        <v>4.88</v>
      </c>
      <c r="G8" s="371">
        <v>0.45800000000000002</v>
      </c>
      <c r="H8" s="376">
        <v>27.03</v>
      </c>
      <c r="I8" s="377">
        <v>1.27</v>
      </c>
      <c r="J8" s="376">
        <v>22.12</v>
      </c>
      <c r="K8" s="377">
        <v>0.97</v>
      </c>
      <c r="L8" s="376">
        <v>24.1</v>
      </c>
      <c r="M8" s="377">
        <v>0.3</v>
      </c>
      <c r="N8" s="376">
        <v>19.7</v>
      </c>
      <c r="O8" s="377">
        <v>0.2</v>
      </c>
      <c r="P8" s="376">
        <v>40.880000000000003</v>
      </c>
      <c r="Q8" s="377">
        <v>0.32</v>
      </c>
      <c r="R8" s="376">
        <v>9.3000000000000007</v>
      </c>
      <c r="S8" s="377">
        <v>0</v>
      </c>
      <c r="T8" s="376">
        <v>15.19</v>
      </c>
      <c r="U8" s="377">
        <v>1.17</v>
      </c>
      <c r="V8" s="376">
        <v>19.399999999999999</v>
      </c>
      <c r="W8" s="377">
        <v>0.13</v>
      </c>
      <c r="X8" s="376">
        <v>4.83</v>
      </c>
      <c r="Y8" s="377">
        <v>0.32</v>
      </c>
      <c r="Z8" s="376">
        <v>1.52</v>
      </c>
      <c r="AA8" s="377">
        <v>0.01</v>
      </c>
      <c r="AB8" s="376">
        <v>2.2599999999999998</v>
      </c>
      <c r="AC8" s="377">
        <v>0.01</v>
      </c>
      <c r="AD8" s="376">
        <v>0.74</v>
      </c>
      <c r="AE8" s="377">
        <v>0</v>
      </c>
      <c r="AF8" s="376">
        <v>1.4</v>
      </c>
      <c r="AG8" s="377">
        <v>0.01</v>
      </c>
      <c r="AH8" s="376">
        <v>0.1</v>
      </c>
      <c r="AI8" s="377">
        <v>0</v>
      </c>
      <c r="AJ8" s="376">
        <v>0</v>
      </c>
      <c r="AK8" s="377">
        <v>0</v>
      </c>
      <c r="AL8" s="376">
        <v>0.02</v>
      </c>
      <c r="AM8" s="377">
        <v>0</v>
      </c>
      <c r="AN8" s="376">
        <v>0</v>
      </c>
      <c r="AO8" s="377">
        <v>0</v>
      </c>
      <c r="AP8" s="376">
        <v>0</v>
      </c>
      <c r="AQ8" s="377">
        <v>0</v>
      </c>
      <c r="AR8" s="376">
        <v>0</v>
      </c>
      <c r="AS8" s="377">
        <v>0</v>
      </c>
      <c r="AT8" s="376">
        <v>0</v>
      </c>
      <c r="AU8" s="377">
        <v>0</v>
      </c>
    </row>
    <row r="9" spans="1:48" ht="16.5" customHeight="1">
      <c r="A9" s="362"/>
      <c r="B9" s="368">
        <v>5</v>
      </c>
      <c r="C9" s="369" t="s">
        <v>55</v>
      </c>
      <c r="D9" s="374" t="s">
        <v>305</v>
      </c>
      <c r="E9" s="375">
        <v>376217</v>
      </c>
      <c r="F9" s="375">
        <v>5.9</v>
      </c>
      <c r="G9" s="375">
        <v>0.495</v>
      </c>
      <c r="H9" s="376">
        <v>44.22</v>
      </c>
      <c r="I9" s="377">
        <v>0.45</v>
      </c>
      <c r="J9" s="376">
        <v>31.68</v>
      </c>
      <c r="K9" s="377">
        <v>0.12</v>
      </c>
      <c r="L9" s="376">
        <v>30.7</v>
      </c>
      <c r="M9" s="377">
        <v>3.8</v>
      </c>
      <c r="N9" s="376">
        <v>23.9</v>
      </c>
      <c r="O9" s="377">
        <v>2.9</v>
      </c>
      <c r="P9" s="376">
        <v>41.19</v>
      </c>
      <c r="Q9" s="377">
        <v>3.66</v>
      </c>
      <c r="R9" s="376">
        <v>0.95000000000000007</v>
      </c>
      <c r="S9" s="377">
        <v>0</v>
      </c>
      <c r="T9" s="376">
        <v>21.27</v>
      </c>
      <c r="U9" s="377">
        <v>1.99</v>
      </c>
      <c r="V9" s="376">
        <v>34.590000000000003</v>
      </c>
      <c r="W9" s="377">
        <v>0.19</v>
      </c>
      <c r="X9" s="376">
        <v>2.2400000000000002</v>
      </c>
      <c r="Y9" s="377">
        <v>0.14000000000000001</v>
      </c>
      <c r="Z9" s="376">
        <v>0</v>
      </c>
      <c r="AA9" s="377">
        <v>0</v>
      </c>
      <c r="AB9" s="376">
        <v>0</v>
      </c>
      <c r="AC9" s="377">
        <v>0</v>
      </c>
      <c r="AD9" s="376">
        <v>0</v>
      </c>
      <c r="AE9" s="377">
        <v>0</v>
      </c>
      <c r="AF9" s="376">
        <v>0</v>
      </c>
      <c r="AG9" s="377">
        <v>0</v>
      </c>
      <c r="AH9" s="376">
        <v>0</v>
      </c>
      <c r="AI9" s="377">
        <v>0</v>
      </c>
      <c r="AJ9" s="376">
        <v>0</v>
      </c>
      <c r="AK9" s="377">
        <v>0</v>
      </c>
      <c r="AL9" s="376">
        <v>0</v>
      </c>
      <c r="AM9" s="377">
        <v>0</v>
      </c>
      <c r="AN9" s="376">
        <v>0</v>
      </c>
      <c r="AO9" s="377">
        <v>0</v>
      </c>
      <c r="AP9" s="376">
        <v>0</v>
      </c>
      <c r="AQ9" s="377">
        <v>0</v>
      </c>
      <c r="AR9" s="376">
        <v>0</v>
      </c>
      <c r="AS9" s="377">
        <v>0</v>
      </c>
      <c r="AT9" s="376">
        <v>0</v>
      </c>
      <c r="AU9" s="377">
        <v>0</v>
      </c>
    </row>
    <row r="10" spans="1:48" ht="16.5" customHeight="1">
      <c r="A10" s="362"/>
      <c r="B10" s="378"/>
      <c r="C10" s="379" t="s">
        <v>306</v>
      </c>
      <c r="D10" s="374" t="s">
        <v>227</v>
      </c>
      <c r="E10" s="375">
        <v>214734</v>
      </c>
      <c r="F10" s="375">
        <v>6.36</v>
      </c>
      <c r="G10" s="371">
        <v>0.29599999999999999</v>
      </c>
      <c r="H10" s="376">
        <v>32</v>
      </c>
      <c r="I10" s="377">
        <v>2.78</v>
      </c>
      <c r="J10" s="376">
        <v>23.73</v>
      </c>
      <c r="K10" s="377">
        <v>2.2200000000000002</v>
      </c>
      <c r="L10" s="376">
        <v>23.7</v>
      </c>
      <c r="M10" s="377">
        <v>1.5</v>
      </c>
      <c r="N10" s="376">
        <v>15.3</v>
      </c>
      <c r="O10" s="377">
        <v>0.8</v>
      </c>
      <c r="P10" s="376">
        <v>81.22</v>
      </c>
      <c r="Q10" s="377">
        <v>0.28000000000000003</v>
      </c>
      <c r="R10" s="376">
        <v>0.4</v>
      </c>
      <c r="S10" s="377">
        <v>0</v>
      </c>
      <c r="T10" s="376">
        <v>25.77</v>
      </c>
      <c r="U10" s="377">
        <v>3.87</v>
      </c>
      <c r="V10" s="376">
        <v>13.26</v>
      </c>
      <c r="W10" s="377">
        <v>0.82</v>
      </c>
      <c r="X10" s="376">
        <v>3.3</v>
      </c>
      <c r="Y10" s="377">
        <v>7.0000000000000007E-2</v>
      </c>
      <c r="Z10" s="376">
        <v>0.01</v>
      </c>
      <c r="AA10" s="377">
        <v>0</v>
      </c>
      <c r="AB10" s="376">
        <v>0.01</v>
      </c>
      <c r="AC10" s="377">
        <v>0</v>
      </c>
      <c r="AD10" s="376">
        <v>0</v>
      </c>
      <c r="AE10" s="377">
        <v>0</v>
      </c>
      <c r="AF10" s="376">
        <v>0.01</v>
      </c>
      <c r="AG10" s="377">
        <v>0</v>
      </c>
      <c r="AH10" s="376">
        <v>0</v>
      </c>
      <c r="AI10" s="377">
        <v>0</v>
      </c>
      <c r="AJ10" s="376">
        <v>0</v>
      </c>
      <c r="AK10" s="377">
        <v>0</v>
      </c>
      <c r="AL10" s="376">
        <v>0</v>
      </c>
      <c r="AM10" s="377">
        <v>0</v>
      </c>
      <c r="AN10" s="376">
        <v>0</v>
      </c>
      <c r="AO10" s="377">
        <v>0</v>
      </c>
      <c r="AP10" s="376">
        <v>0</v>
      </c>
      <c r="AQ10" s="377">
        <v>0</v>
      </c>
      <c r="AR10" s="376">
        <v>0</v>
      </c>
      <c r="AS10" s="377">
        <v>0</v>
      </c>
      <c r="AT10" s="376">
        <v>0</v>
      </c>
      <c r="AU10" s="377">
        <v>0</v>
      </c>
    </row>
    <row r="11" spans="1:48" ht="16.5" customHeight="1">
      <c r="A11" s="362"/>
      <c r="B11" s="378"/>
      <c r="C11" s="379"/>
      <c r="D11" s="380" t="s">
        <v>308</v>
      </c>
      <c r="E11" s="381"/>
      <c r="F11" s="381">
        <v>6.0176897478901612</v>
      </c>
      <c r="G11" s="382">
        <v>0.42268932449560115</v>
      </c>
      <c r="H11" s="382">
        <v>39.779615805709781</v>
      </c>
      <c r="I11" s="383"/>
      <c r="J11" s="382">
        <v>28.791206682110705</v>
      </c>
      <c r="K11" s="383"/>
      <c r="L11" s="382">
        <v>28.156408399342752</v>
      </c>
      <c r="M11" s="383"/>
      <c r="N11" s="382">
        <v>20.775016033478241</v>
      </c>
      <c r="O11" s="383"/>
      <c r="P11" s="382">
        <v>55.735710253472796</v>
      </c>
      <c r="Q11" s="383"/>
      <c r="R11" s="382">
        <v>0.7501463742340736</v>
      </c>
      <c r="S11" s="383"/>
      <c r="T11" s="382">
        <v>22.905166028993943</v>
      </c>
      <c r="U11" s="383"/>
      <c r="V11" s="382">
        <v>26.83931302256871</v>
      </c>
      <c r="W11" s="383"/>
      <c r="X11" s="382">
        <v>2.6251724423852401</v>
      </c>
      <c r="Y11" s="383"/>
      <c r="Z11" s="382">
        <v>3.6337022866532085E-3</v>
      </c>
      <c r="AA11" s="383"/>
      <c r="AB11" s="382">
        <v>3.6337022866532085E-3</v>
      </c>
      <c r="AC11" s="383"/>
      <c r="AD11" s="382">
        <v>0</v>
      </c>
      <c r="AE11" s="383"/>
      <c r="AF11" s="382">
        <v>3.6337022866532085E-3</v>
      </c>
      <c r="AG11" s="383"/>
      <c r="AH11" s="382">
        <v>0</v>
      </c>
      <c r="AI11" s="383"/>
      <c r="AJ11" s="382">
        <v>0</v>
      </c>
      <c r="AK11" s="383"/>
      <c r="AL11" s="382">
        <v>0</v>
      </c>
      <c r="AM11" s="383"/>
      <c r="AN11" s="382">
        <v>0</v>
      </c>
      <c r="AO11" s="383"/>
      <c r="AP11" s="382">
        <v>0</v>
      </c>
      <c r="AQ11" s="383"/>
      <c r="AR11" s="382">
        <v>0</v>
      </c>
      <c r="AS11" s="383"/>
      <c r="AT11" s="382">
        <v>0</v>
      </c>
      <c r="AU11" s="383"/>
      <c r="AV11" s="376"/>
    </row>
    <row r="12" spans="1:48" ht="16.5" customHeight="1">
      <c r="A12" s="362"/>
      <c r="B12" s="368">
        <v>6</v>
      </c>
      <c r="C12" s="369" t="s">
        <v>56</v>
      </c>
      <c r="D12" s="374" t="s">
        <v>163</v>
      </c>
      <c r="E12" s="375">
        <v>14645</v>
      </c>
      <c r="F12" s="375">
        <v>7.76</v>
      </c>
      <c r="G12" s="371">
        <v>4.5125000000000002</v>
      </c>
      <c r="H12" s="376">
        <v>32.299999999999997</v>
      </c>
      <c r="I12" s="377">
        <v>0.71</v>
      </c>
      <c r="J12" s="376">
        <v>22.87</v>
      </c>
      <c r="K12" s="377">
        <v>0.52</v>
      </c>
      <c r="L12" s="376">
        <v>23.1</v>
      </c>
      <c r="M12" s="377">
        <v>1.2</v>
      </c>
      <c r="N12" s="376">
        <v>17.899999999999999</v>
      </c>
      <c r="O12" s="377">
        <v>0.9</v>
      </c>
      <c r="P12" s="376">
        <v>90.55</v>
      </c>
      <c r="Q12" s="377">
        <v>0.63</v>
      </c>
      <c r="R12" s="376">
        <v>31.9</v>
      </c>
      <c r="S12" s="377">
        <v>0.1</v>
      </c>
      <c r="T12" s="376">
        <v>11.5</v>
      </c>
      <c r="U12" s="377">
        <v>1.25</v>
      </c>
      <c r="V12" s="376">
        <v>8.2899999999999991</v>
      </c>
      <c r="W12" s="377">
        <v>0.4</v>
      </c>
      <c r="X12" s="376">
        <v>2.1</v>
      </c>
      <c r="Y12" s="377">
        <v>0.28000000000000003</v>
      </c>
      <c r="Z12" s="376">
        <v>5.3</v>
      </c>
      <c r="AA12" s="377">
        <v>0</v>
      </c>
      <c r="AB12" s="376">
        <v>5.3</v>
      </c>
      <c r="AC12" s="377">
        <v>0</v>
      </c>
      <c r="AD12" s="376">
        <v>0</v>
      </c>
      <c r="AE12" s="377">
        <v>0</v>
      </c>
      <c r="AF12" s="376">
        <v>2.2999999999999998</v>
      </c>
      <c r="AG12" s="377">
        <v>0</v>
      </c>
      <c r="AH12" s="376">
        <v>0.8</v>
      </c>
      <c r="AI12" s="377">
        <v>0</v>
      </c>
      <c r="AJ12" s="376">
        <v>0.2</v>
      </c>
      <c r="AK12" s="377">
        <v>0</v>
      </c>
      <c r="AL12" s="376">
        <v>0.9</v>
      </c>
      <c r="AM12" s="377">
        <v>0</v>
      </c>
      <c r="AN12" s="376">
        <v>0.3</v>
      </c>
      <c r="AO12" s="377">
        <v>0</v>
      </c>
      <c r="AP12" s="376">
        <v>0.2</v>
      </c>
      <c r="AQ12" s="377">
        <v>0</v>
      </c>
      <c r="AR12" s="376">
        <v>0</v>
      </c>
      <c r="AS12" s="377">
        <v>0</v>
      </c>
      <c r="AT12" s="376">
        <v>0.3</v>
      </c>
      <c r="AU12" s="377">
        <v>0</v>
      </c>
    </row>
    <row r="13" spans="1:48" ht="16.5" customHeight="1">
      <c r="A13" s="362"/>
      <c r="B13" s="368">
        <v>7</v>
      </c>
      <c r="C13" s="369" t="s">
        <v>57</v>
      </c>
      <c r="D13" s="374" t="s">
        <v>309</v>
      </c>
      <c r="E13" s="375">
        <v>472558</v>
      </c>
      <c r="F13" s="375">
        <v>6.22</v>
      </c>
      <c r="G13" s="371">
        <v>0.30199999999999999</v>
      </c>
      <c r="H13" s="376">
        <v>35.97</v>
      </c>
      <c r="I13" s="377">
        <v>3.3</v>
      </c>
      <c r="J13" s="376">
        <v>28.78</v>
      </c>
      <c r="K13" s="377">
        <v>2.71</v>
      </c>
      <c r="L13" s="376">
        <v>41.3</v>
      </c>
      <c r="M13" s="377">
        <v>0.2</v>
      </c>
      <c r="N13" s="376">
        <v>33.799999999999997</v>
      </c>
      <c r="O13" s="377">
        <v>0.5</v>
      </c>
      <c r="P13" s="376">
        <v>49.17</v>
      </c>
      <c r="Q13" s="377">
        <v>0.74</v>
      </c>
      <c r="R13" s="376">
        <v>1.2</v>
      </c>
      <c r="S13" s="377">
        <v>0</v>
      </c>
      <c r="T13" s="376">
        <v>22.92</v>
      </c>
      <c r="U13" s="377">
        <v>1.96</v>
      </c>
      <c r="V13" s="376">
        <v>11.8</v>
      </c>
      <c r="W13" s="377">
        <v>0.14000000000000001</v>
      </c>
      <c r="X13" s="376">
        <v>5.7</v>
      </c>
      <c r="Y13" s="377">
        <v>0.14000000000000001</v>
      </c>
      <c r="Z13" s="376">
        <v>0.03</v>
      </c>
      <c r="AA13" s="377">
        <v>0.02</v>
      </c>
      <c r="AB13" s="376">
        <v>0.03</v>
      </c>
      <c r="AC13" s="377">
        <v>0.02</v>
      </c>
      <c r="AD13" s="376">
        <v>0</v>
      </c>
      <c r="AE13" s="377">
        <v>0</v>
      </c>
      <c r="AF13" s="376">
        <v>0.02</v>
      </c>
      <c r="AG13" s="377">
        <v>0.02</v>
      </c>
      <c r="AH13" s="376">
        <v>0.01</v>
      </c>
      <c r="AI13" s="377">
        <v>0</v>
      </c>
      <c r="AJ13" s="376">
        <v>0</v>
      </c>
      <c r="AK13" s="377">
        <v>0</v>
      </c>
      <c r="AL13" s="376">
        <v>0</v>
      </c>
      <c r="AM13" s="377">
        <v>0</v>
      </c>
      <c r="AN13" s="376">
        <v>0</v>
      </c>
      <c r="AO13" s="377">
        <v>0</v>
      </c>
      <c r="AP13" s="376">
        <v>0</v>
      </c>
      <c r="AQ13" s="377">
        <v>0</v>
      </c>
      <c r="AR13" s="376">
        <v>0</v>
      </c>
      <c r="AS13" s="377">
        <v>0</v>
      </c>
      <c r="AT13" s="376">
        <v>0</v>
      </c>
      <c r="AU13" s="377">
        <v>0</v>
      </c>
    </row>
    <row r="14" spans="1:48" ht="16.5" customHeight="1">
      <c r="A14" s="362"/>
      <c r="B14" s="368">
        <v>8</v>
      </c>
      <c r="C14" s="369" t="s">
        <v>58</v>
      </c>
      <c r="D14" s="374" t="s">
        <v>141</v>
      </c>
      <c r="E14" s="375">
        <v>546356</v>
      </c>
      <c r="F14" s="375">
        <v>6.12</v>
      </c>
      <c r="G14" s="371">
        <v>0.36599999999999999</v>
      </c>
      <c r="H14" s="376">
        <v>25.45</v>
      </c>
      <c r="I14" s="377">
        <v>1.48</v>
      </c>
      <c r="J14" s="376">
        <v>20.12</v>
      </c>
      <c r="K14" s="377">
        <v>1.2</v>
      </c>
      <c r="L14" s="376">
        <v>25.5</v>
      </c>
      <c r="M14" s="377">
        <v>0.3</v>
      </c>
      <c r="N14" s="376">
        <v>20.6</v>
      </c>
      <c r="O14" s="377">
        <v>0.1</v>
      </c>
      <c r="P14" s="376">
        <v>35.799999999999997</v>
      </c>
      <c r="Q14" s="377">
        <v>2.98</v>
      </c>
      <c r="R14" s="376">
        <v>1.9</v>
      </c>
      <c r="S14" s="377">
        <v>0</v>
      </c>
      <c r="T14" s="376">
        <v>19.25</v>
      </c>
      <c r="U14" s="377">
        <v>0.28000000000000003</v>
      </c>
      <c r="V14" s="376">
        <v>9.4499999999999993</v>
      </c>
      <c r="W14" s="377">
        <v>0.35</v>
      </c>
      <c r="X14" s="376">
        <v>10.58</v>
      </c>
      <c r="Y14" s="377">
        <v>1.24</v>
      </c>
      <c r="Z14" s="376">
        <v>0.17</v>
      </c>
      <c r="AA14" s="377">
        <v>0</v>
      </c>
      <c r="AB14" s="376">
        <v>0.17</v>
      </c>
      <c r="AC14" s="377">
        <v>0</v>
      </c>
      <c r="AD14" s="376">
        <v>0</v>
      </c>
      <c r="AE14" s="377">
        <v>0</v>
      </c>
      <c r="AF14" s="376">
        <v>0.06</v>
      </c>
      <c r="AG14" s="377">
        <v>0</v>
      </c>
      <c r="AH14" s="376">
        <v>0.06</v>
      </c>
      <c r="AI14" s="377">
        <v>0</v>
      </c>
      <c r="AJ14" s="376">
        <v>0.01</v>
      </c>
      <c r="AK14" s="377">
        <v>0</v>
      </c>
      <c r="AL14" s="376">
        <v>0</v>
      </c>
      <c r="AM14" s="377">
        <v>0</v>
      </c>
      <c r="AN14" s="376">
        <v>0.02</v>
      </c>
      <c r="AO14" s="377">
        <v>0</v>
      </c>
      <c r="AP14" s="376">
        <v>0.01</v>
      </c>
      <c r="AQ14" s="377">
        <v>0</v>
      </c>
      <c r="AR14" s="376">
        <v>0</v>
      </c>
      <c r="AS14" s="377">
        <v>0</v>
      </c>
      <c r="AT14" s="376">
        <v>0</v>
      </c>
      <c r="AU14" s="377">
        <v>0</v>
      </c>
    </row>
    <row r="15" spans="1:48" ht="16.5" customHeight="1">
      <c r="A15" s="362"/>
      <c r="B15" s="378"/>
      <c r="C15" s="379" t="s">
        <v>306</v>
      </c>
      <c r="D15" s="374" t="s">
        <v>192</v>
      </c>
      <c r="E15" s="375">
        <v>147781</v>
      </c>
      <c r="F15" s="375">
        <v>5.07</v>
      </c>
      <c r="G15" s="371">
        <v>0.45700000000000002</v>
      </c>
      <c r="H15" s="376">
        <v>9.08</v>
      </c>
      <c r="I15" s="377">
        <v>0.3</v>
      </c>
      <c r="J15" s="376">
        <v>8.3699999999999992</v>
      </c>
      <c r="K15" s="377">
        <v>0.3</v>
      </c>
      <c r="L15" s="376">
        <v>49.5</v>
      </c>
      <c r="M15" s="377">
        <v>6.1</v>
      </c>
      <c r="N15" s="376">
        <v>47</v>
      </c>
      <c r="O15" s="377">
        <v>5.6</v>
      </c>
      <c r="P15" s="376">
        <v>12</v>
      </c>
      <c r="Q15" s="377">
        <v>0.31</v>
      </c>
      <c r="R15" s="376">
        <v>0.6</v>
      </c>
      <c r="S15" s="377">
        <v>0</v>
      </c>
      <c r="T15" s="376">
        <v>85.33</v>
      </c>
      <c r="U15" s="377">
        <v>0.73</v>
      </c>
      <c r="V15" s="376">
        <v>15.8</v>
      </c>
      <c r="W15" s="377">
        <v>0.31</v>
      </c>
      <c r="X15" s="376">
        <v>4.2699999999999996</v>
      </c>
      <c r="Y15" s="377">
        <v>0.32</v>
      </c>
      <c r="Z15" s="376">
        <v>0.01</v>
      </c>
      <c r="AA15" s="377">
        <v>0</v>
      </c>
      <c r="AB15" s="376">
        <v>0.01</v>
      </c>
      <c r="AC15" s="377">
        <v>0</v>
      </c>
      <c r="AD15" s="376">
        <v>0</v>
      </c>
      <c r="AE15" s="377">
        <v>0</v>
      </c>
      <c r="AF15" s="376">
        <v>0.01</v>
      </c>
      <c r="AG15" s="377">
        <v>0</v>
      </c>
      <c r="AH15" s="376">
        <v>0</v>
      </c>
      <c r="AI15" s="377">
        <v>0</v>
      </c>
      <c r="AJ15" s="376">
        <v>0</v>
      </c>
      <c r="AK15" s="377">
        <v>0</v>
      </c>
      <c r="AL15" s="376">
        <v>0</v>
      </c>
      <c r="AM15" s="377">
        <v>0</v>
      </c>
      <c r="AN15" s="376">
        <v>0</v>
      </c>
      <c r="AO15" s="377">
        <v>0</v>
      </c>
      <c r="AP15" s="376">
        <v>0</v>
      </c>
      <c r="AQ15" s="377">
        <v>0</v>
      </c>
      <c r="AR15" s="376">
        <v>0</v>
      </c>
      <c r="AS15" s="377">
        <v>0</v>
      </c>
      <c r="AT15" s="376">
        <v>0</v>
      </c>
      <c r="AU15" s="377">
        <v>0</v>
      </c>
    </row>
    <row r="16" spans="1:48" ht="16.5" customHeight="1">
      <c r="A16" s="362"/>
      <c r="B16" s="378"/>
      <c r="C16" s="379"/>
      <c r="D16" s="380" t="s">
        <v>310</v>
      </c>
      <c r="E16" s="381"/>
      <c r="F16" s="381">
        <v>5.6181378312601984</v>
      </c>
      <c r="G16" s="382">
        <v>0.3853737994084741</v>
      </c>
      <c r="H16" s="382">
        <v>21.964845095420642</v>
      </c>
      <c r="I16" s="383"/>
      <c r="J16" s="382">
        <v>17.618437988466255</v>
      </c>
      <c r="K16" s="383"/>
      <c r="L16" s="382">
        <v>30.609573470366801</v>
      </c>
      <c r="M16" s="383"/>
      <c r="N16" s="382">
        <v>26.220530817403482</v>
      </c>
      <c r="O16" s="383"/>
      <c r="P16" s="382">
        <v>30.73300630855292</v>
      </c>
      <c r="Q16" s="383"/>
      <c r="R16" s="382">
        <v>1.6232314370217984</v>
      </c>
      <c r="S16" s="383"/>
      <c r="T16" s="382">
        <v>33.31835895507659</v>
      </c>
      <c r="U16" s="383"/>
      <c r="V16" s="382">
        <v>10.801907980701216</v>
      </c>
      <c r="W16" s="383"/>
      <c r="X16" s="382">
        <v>9.2366079750827286</v>
      </c>
      <c r="Y16" s="383"/>
      <c r="Z16" s="382">
        <v>0.13593617686422133</v>
      </c>
      <c r="AA16" s="383"/>
      <c r="AB16" s="382">
        <v>0.13593617686422133</v>
      </c>
      <c r="AC16" s="383"/>
      <c r="AD16" s="382">
        <v>0</v>
      </c>
      <c r="AE16" s="383"/>
      <c r="AF16" s="382">
        <v>4.9355055270069163E-2</v>
      </c>
      <c r="AG16" s="383"/>
      <c r="AH16" s="382">
        <v>4.7226066324083001E-2</v>
      </c>
      <c r="AI16" s="383"/>
      <c r="AJ16" s="382">
        <v>7.871011054013834E-3</v>
      </c>
      <c r="AK16" s="383"/>
      <c r="AL16" s="382">
        <v>0</v>
      </c>
      <c r="AM16" s="383"/>
      <c r="AN16" s="382">
        <v>1.5742022108027668E-2</v>
      </c>
      <c r="AO16" s="383"/>
      <c r="AP16" s="382">
        <v>7.871011054013834E-3</v>
      </c>
      <c r="AQ16" s="383"/>
      <c r="AR16" s="382">
        <v>0</v>
      </c>
      <c r="AS16" s="383"/>
      <c r="AT16" s="382">
        <v>0</v>
      </c>
      <c r="AU16" s="383"/>
    </row>
    <row r="17" spans="1:47" ht="16.5" customHeight="1">
      <c r="A17" s="362"/>
      <c r="B17" s="368">
        <v>9</v>
      </c>
      <c r="C17" s="369" t="s">
        <v>59</v>
      </c>
      <c r="D17" s="374" t="s">
        <v>123</v>
      </c>
      <c r="E17" s="375">
        <v>72778</v>
      </c>
      <c r="F17" s="375">
        <v>4.93</v>
      </c>
      <c r="G17" s="371">
        <v>0.53300000000000003</v>
      </c>
      <c r="H17" s="376">
        <v>18.45</v>
      </c>
      <c r="I17" s="377">
        <v>0.5</v>
      </c>
      <c r="J17" s="376">
        <v>16.239999999999998</v>
      </c>
      <c r="K17" s="377">
        <v>0.5</v>
      </c>
      <c r="L17" s="376">
        <v>22.7</v>
      </c>
      <c r="M17" s="377">
        <v>2.2000000000000002</v>
      </c>
      <c r="N17" s="376">
        <v>22.3</v>
      </c>
      <c r="O17" s="377">
        <v>2.6</v>
      </c>
      <c r="P17" s="376">
        <v>222.01</v>
      </c>
      <c r="Q17" s="377">
        <v>5.58</v>
      </c>
      <c r="R17" s="376">
        <v>85.4</v>
      </c>
      <c r="S17" s="377">
        <v>1.6</v>
      </c>
      <c r="T17" s="376">
        <v>174.02</v>
      </c>
      <c r="U17" s="377">
        <v>4.6399999999999997</v>
      </c>
      <c r="V17" s="376">
        <v>44.06</v>
      </c>
      <c r="W17" s="377">
        <v>0.64</v>
      </c>
      <c r="X17" s="376">
        <v>5.77</v>
      </c>
      <c r="Y17" s="377">
        <v>0.6</v>
      </c>
      <c r="Z17" s="376">
        <v>3.7</v>
      </c>
      <c r="AA17" s="377">
        <v>0.01</v>
      </c>
      <c r="AB17" s="376">
        <v>8.36</v>
      </c>
      <c r="AC17" s="377">
        <v>0.05</v>
      </c>
      <c r="AD17" s="376">
        <v>4.66</v>
      </c>
      <c r="AE17" s="377">
        <v>0.04</v>
      </c>
      <c r="AF17" s="376">
        <v>3.7</v>
      </c>
      <c r="AG17" s="377">
        <v>0.01</v>
      </c>
      <c r="AH17" s="376">
        <v>0</v>
      </c>
      <c r="AI17" s="377">
        <v>0</v>
      </c>
      <c r="AJ17" s="376">
        <v>0</v>
      </c>
      <c r="AK17" s="377">
        <v>0</v>
      </c>
      <c r="AL17" s="376">
        <v>0</v>
      </c>
      <c r="AM17" s="377">
        <v>0</v>
      </c>
      <c r="AN17" s="376">
        <v>0</v>
      </c>
      <c r="AO17" s="377">
        <v>0</v>
      </c>
      <c r="AP17" s="376">
        <v>0</v>
      </c>
      <c r="AQ17" s="377">
        <v>0</v>
      </c>
      <c r="AR17" s="376">
        <v>0</v>
      </c>
      <c r="AS17" s="377">
        <v>0</v>
      </c>
      <c r="AT17" s="376">
        <v>0</v>
      </c>
      <c r="AU17" s="377">
        <v>0</v>
      </c>
    </row>
    <row r="18" spans="1:47" ht="16.5" customHeight="1">
      <c r="A18" s="362"/>
      <c r="B18" s="368">
        <v>10</v>
      </c>
      <c r="C18" s="369" t="s">
        <v>60</v>
      </c>
      <c r="D18" s="374" t="s">
        <v>141</v>
      </c>
      <c r="E18" s="375">
        <v>182865</v>
      </c>
      <c r="F18" s="375">
        <v>7.2</v>
      </c>
      <c r="G18" s="371">
        <v>1.466</v>
      </c>
      <c r="H18" s="376">
        <v>31.55</v>
      </c>
      <c r="I18" s="377">
        <v>3.42</v>
      </c>
      <c r="J18" s="376">
        <v>19.37</v>
      </c>
      <c r="K18" s="377">
        <v>2.2599999999999998</v>
      </c>
      <c r="L18" s="376">
        <v>35.1</v>
      </c>
      <c r="M18" s="377">
        <v>0.4</v>
      </c>
      <c r="N18" s="376">
        <v>22.8</v>
      </c>
      <c r="O18" s="377">
        <v>0.1</v>
      </c>
      <c r="P18" s="376">
        <v>32.26</v>
      </c>
      <c r="Q18" s="377">
        <v>4.41</v>
      </c>
      <c r="R18" s="376">
        <v>0.7</v>
      </c>
      <c r="S18" s="377">
        <v>0</v>
      </c>
      <c r="T18" s="376">
        <v>10.44</v>
      </c>
      <c r="U18" s="377">
        <v>0.12</v>
      </c>
      <c r="V18" s="376">
        <v>12.87</v>
      </c>
      <c r="W18" s="377">
        <v>0.18</v>
      </c>
      <c r="X18" s="376">
        <v>3.25</v>
      </c>
      <c r="Y18" s="377">
        <v>0.35</v>
      </c>
      <c r="Z18" s="376">
        <v>0.02</v>
      </c>
      <c r="AA18" s="377">
        <v>0</v>
      </c>
      <c r="AB18" s="376">
        <v>0.02</v>
      </c>
      <c r="AC18" s="377">
        <v>0</v>
      </c>
      <c r="AD18" s="376">
        <v>0</v>
      </c>
      <c r="AE18" s="377">
        <v>0</v>
      </c>
      <c r="AF18" s="376">
        <v>0.01</v>
      </c>
      <c r="AG18" s="377">
        <v>0</v>
      </c>
      <c r="AH18" s="376">
        <v>0.01</v>
      </c>
      <c r="AI18" s="377">
        <v>0</v>
      </c>
      <c r="AJ18" s="376">
        <v>0</v>
      </c>
      <c r="AK18" s="377">
        <v>0</v>
      </c>
      <c r="AL18" s="376">
        <v>0</v>
      </c>
      <c r="AM18" s="377">
        <v>0</v>
      </c>
      <c r="AN18" s="376">
        <v>0</v>
      </c>
      <c r="AO18" s="377">
        <v>0</v>
      </c>
      <c r="AP18" s="376">
        <v>0</v>
      </c>
      <c r="AQ18" s="377">
        <v>0</v>
      </c>
      <c r="AR18" s="376">
        <v>0</v>
      </c>
      <c r="AS18" s="377">
        <v>0</v>
      </c>
      <c r="AT18" s="376">
        <v>0</v>
      </c>
      <c r="AU18" s="377">
        <v>0</v>
      </c>
    </row>
    <row r="19" spans="1:47" ht="16.5" customHeight="1">
      <c r="A19" s="362"/>
      <c r="B19" s="368">
        <v>11</v>
      </c>
      <c r="C19" s="369" t="s">
        <v>61</v>
      </c>
      <c r="D19" s="374" t="s">
        <v>216</v>
      </c>
      <c r="E19" s="381">
        <v>31628</v>
      </c>
      <c r="F19" s="375">
        <v>6.35</v>
      </c>
      <c r="G19" s="371">
        <v>0.505</v>
      </c>
      <c r="H19" s="376">
        <v>27.55</v>
      </c>
      <c r="I19" s="377">
        <v>0.64</v>
      </c>
      <c r="J19" s="376">
        <v>19.920000000000002</v>
      </c>
      <c r="K19" s="377">
        <v>0.4</v>
      </c>
      <c r="L19" s="376">
        <v>26</v>
      </c>
      <c r="M19" s="377">
        <v>0.4</v>
      </c>
      <c r="N19" s="376">
        <v>20.399999999999999</v>
      </c>
      <c r="O19" s="377">
        <v>0.1</v>
      </c>
      <c r="P19" s="376">
        <v>38.68</v>
      </c>
      <c r="Q19" s="377">
        <v>1.4</v>
      </c>
      <c r="R19" s="376">
        <v>0.6</v>
      </c>
      <c r="S19" s="377">
        <v>0.1</v>
      </c>
      <c r="T19" s="376">
        <v>10.17</v>
      </c>
      <c r="U19" s="377">
        <v>0.6</v>
      </c>
      <c r="V19" s="376">
        <v>17.25</v>
      </c>
      <c r="W19" s="377">
        <v>0.3</v>
      </c>
      <c r="X19" s="376">
        <v>5.48</v>
      </c>
      <c r="Y19" s="377">
        <v>0.32</v>
      </c>
      <c r="Z19" s="376">
        <v>0.01</v>
      </c>
      <c r="AA19" s="377">
        <v>0</v>
      </c>
      <c r="AB19" s="376">
        <v>0.01</v>
      </c>
      <c r="AC19" s="377">
        <v>0</v>
      </c>
      <c r="AD19" s="376">
        <v>0</v>
      </c>
      <c r="AE19" s="377">
        <v>0</v>
      </c>
      <c r="AF19" s="376">
        <v>0.01</v>
      </c>
      <c r="AG19" s="377">
        <v>0</v>
      </c>
      <c r="AH19" s="376">
        <v>0</v>
      </c>
      <c r="AI19" s="377">
        <v>0</v>
      </c>
      <c r="AJ19" s="376">
        <v>0</v>
      </c>
      <c r="AK19" s="377">
        <v>0</v>
      </c>
      <c r="AL19" s="376">
        <v>0</v>
      </c>
      <c r="AM19" s="377">
        <v>0</v>
      </c>
      <c r="AN19" s="376">
        <v>0</v>
      </c>
      <c r="AO19" s="377">
        <v>0</v>
      </c>
      <c r="AP19" s="376">
        <v>0</v>
      </c>
      <c r="AQ19" s="377">
        <v>0</v>
      </c>
      <c r="AR19" s="376">
        <v>0</v>
      </c>
      <c r="AS19" s="377">
        <v>0</v>
      </c>
      <c r="AT19" s="376">
        <v>0</v>
      </c>
      <c r="AU19" s="377">
        <v>0</v>
      </c>
    </row>
    <row r="20" spans="1:47" ht="16.5" customHeight="1">
      <c r="A20" s="362"/>
      <c r="B20" s="378"/>
      <c r="C20" s="379" t="s">
        <v>306</v>
      </c>
      <c r="D20" s="374" t="s">
        <v>227</v>
      </c>
      <c r="E20" s="381">
        <v>61715</v>
      </c>
      <c r="F20" s="375">
        <v>6.58</v>
      </c>
      <c r="G20" s="371">
        <v>0.29899999999999999</v>
      </c>
      <c r="H20" s="376">
        <v>38.85</v>
      </c>
      <c r="I20" s="377">
        <v>8.6999999999999993</v>
      </c>
      <c r="J20" s="376">
        <v>29</v>
      </c>
      <c r="K20" s="377">
        <v>6.55</v>
      </c>
      <c r="L20" s="376">
        <v>45.9</v>
      </c>
      <c r="M20" s="377">
        <v>4.7</v>
      </c>
      <c r="N20" s="376">
        <v>35.200000000000003</v>
      </c>
      <c r="O20" s="377">
        <v>3.2</v>
      </c>
      <c r="P20" s="376">
        <v>57.15</v>
      </c>
      <c r="Q20" s="377">
        <v>2.27</v>
      </c>
      <c r="R20" s="376">
        <v>0.5</v>
      </c>
      <c r="S20" s="377">
        <v>0</v>
      </c>
      <c r="T20" s="376">
        <v>24.74</v>
      </c>
      <c r="U20" s="377">
        <v>0.31</v>
      </c>
      <c r="V20" s="376">
        <v>21.93</v>
      </c>
      <c r="W20" s="377">
        <v>0.16</v>
      </c>
      <c r="X20" s="376">
        <v>3</v>
      </c>
      <c r="Y20" s="377">
        <v>7.0000000000000007E-2</v>
      </c>
      <c r="Z20" s="376">
        <v>0.01</v>
      </c>
      <c r="AA20" s="377">
        <v>0</v>
      </c>
      <c r="AB20" s="376">
        <v>0.01</v>
      </c>
      <c r="AC20" s="377">
        <v>0</v>
      </c>
      <c r="AD20" s="376">
        <v>0</v>
      </c>
      <c r="AE20" s="377">
        <v>0</v>
      </c>
      <c r="AF20" s="376">
        <v>0.01</v>
      </c>
      <c r="AG20" s="377">
        <v>0</v>
      </c>
      <c r="AH20" s="376">
        <v>0</v>
      </c>
      <c r="AI20" s="377">
        <v>0</v>
      </c>
      <c r="AJ20" s="376">
        <v>0</v>
      </c>
      <c r="AK20" s="377">
        <v>0</v>
      </c>
      <c r="AL20" s="376">
        <v>0</v>
      </c>
      <c r="AM20" s="377">
        <v>0</v>
      </c>
      <c r="AN20" s="376">
        <v>0</v>
      </c>
      <c r="AO20" s="377">
        <v>0</v>
      </c>
      <c r="AP20" s="376">
        <v>0</v>
      </c>
      <c r="AQ20" s="377">
        <v>0</v>
      </c>
      <c r="AR20" s="376">
        <v>0</v>
      </c>
      <c r="AS20" s="377">
        <v>0</v>
      </c>
      <c r="AT20" s="376">
        <v>0</v>
      </c>
      <c r="AU20" s="377">
        <v>0</v>
      </c>
    </row>
    <row r="21" spans="1:47" ht="16.5" customHeight="1">
      <c r="A21" s="362"/>
      <c r="B21" s="378"/>
      <c r="C21" s="379"/>
      <c r="D21" s="380" t="s">
        <v>314</v>
      </c>
      <c r="E21" s="381"/>
      <c r="F21" s="381">
        <v>6.4877731507774179</v>
      </c>
      <c r="G21" s="382">
        <v>0.36880113063675007</v>
      </c>
      <c r="H21" s="382">
        <v>35.021103028178274</v>
      </c>
      <c r="I21" s="383"/>
      <c r="J21" s="382">
        <v>25.92332880494325</v>
      </c>
      <c r="K21" s="383"/>
      <c r="L21" s="382">
        <v>39.157075244313944</v>
      </c>
      <c r="M21" s="383"/>
      <c r="N21" s="382">
        <v>30.185161488233494</v>
      </c>
      <c r="O21" s="383"/>
      <c r="P21" s="382">
        <v>50.891617073491389</v>
      </c>
      <c r="Q21" s="383"/>
      <c r="R21" s="382">
        <v>0.53388404399842238</v>
      </c>
      <c r="S21" s="383"/>
      <c r="T21" s="382">
        <v>19.80309478942986</v>
      </c>
      <c r="U21" s="383"/>
      <c r="V21" s="382">
        <v>20.344226740873832</v>
      </c>
      <c r="W21" s="383"/>
      <c r="X21" s="382">
        <v>3.8403242911608748</v>
      </c>
      <c r="Y21" s="383"/>
      <c r="Z21" s="382">
        <v>0.01</v>
      </c>
      <c r="AA21" s="383"/>
      <c r="AB21" s="382">
        <v>0.01</v>
      </c>
      <c r="AC21" s="383"/>
      <c r="AD21" s="382">
        <v>0</v>
      </c>
      <c r="AE21" s="383"/>
      <c r="AF21" s="382">
        <v>0.01</v>
      </c>
      <c r="AG21" s="383"/>
      <c r="AH21" s="382">
        <v>0</v>
      </c>
      <c r="AI21" s="383"/>
      <c r="AJ21" s="382">
        <v>0</v>
      </c>
      <c r="AK21" s="383"/>
      <c r="AL21" s="382">
        <v>0</v>
      </c>
      <c r="AM21" s="383"/>
      <c r="AN21" s="382">
        <v>0</v>
      </c>
      <c r="AO21" s="383"/>
      <c r="AP21" s="382">
        <v>0</v>
      </c>
      <c r="AQ21" s="383"/>
      <c r="AR21" s="382">
        <v>0</v>
      </c>
      <c r="AS21" s="383"/>
      <c r="AT21" s="382">
        <v>0</v>
      </c>
      <c r="AU21" s="383"/>
    </row>
    <row r="22" spans="1:47" ht="16.5" customHeight="1">
      <c r="A22" s="362"/>
      <c r="B22" s="368">
        <v>12</v>
      </c>
      <c r="C22" s="369" t="s">
        <v>64</v>
      </c>
      <c r="D22" s="374" t="s">
        <v>187</v>
      </c>
      <c r="E22" s="375">
        <v>36812</v>
      </c>
      <c r="F22" s="375">
        <v>4.32</v>
      </c>
      <c r="G22" s="371">
        <v>0</v>
      </c>
      <c r="H22" s="376">
        <v>60.6</v>
      </c>
      <c r="I22" s="377">
        <v>1.46</v>
      </c>
      <c r="J22" s="376">
        <v>46.02</v>
      </c>
      <c r="K22" s="377">
        <v>1.2</v>
      </c>
      <c r="L22" s="376">
        <v>31.4</v>
      </c>
      <c r="M22" s="377">
        <v>2</v>
      </c>
      <c r="N22" s="376">
        <v>27.8</v>
      </c>
      <c r="O22" s="377">
        <v>1.6</v>
      </c>
      <c r="P22" s="376">
        <v>115.59</v>
      </c>
      <c r="Q22" s="377">
        <v>0.89</v>
      </c>
      <c r="R22" s="376">
        <v>42.8</v>
      </c>
      <c r="S22" s="377">
        <v>0.7</v>
      </c>
      <c r="T22" s="376">
        <v>16.18</v>
      </c>
      <c r="U22" s="377">
        <v>1.39</v>
      </c>
      <c r="V22" s="376">
        <v>15.8</v>
      </c>
      <c r="W22" s="377">
        <v>0.53</v>
      </c>
      <c r="X22" s="376">
        <v>12.75</v>
      </c>
      <c r="Y22" s="377">
        <v>0.28000000000000003</v>
      </c>
      <c r="Z22" s="376">
        <v>4.7</v>
      </c>
      <c r="AA22" s="377">
        <v>0</v>
      </c>
      <c r="AB22" s="376">
        <v>4.7</v>
      </c>
      <c r="AC22" s="377">
        <v>0</v>
      </c>
      <c r="AD22" s="376">
        <v>0</v>
      </c>
      <c r="AE22" s="377">
        <v>0</v>
      </c>
      <c r="AF22" s="376">
        <v>2.5299999999999998</v>
      </c>
      <c r="AG22" s="377">
        <v>0</v>
      </c>
      <c r="AH22" s="376">
        <v>0.41199999999999998</v>
      </c>
      <c r="AI22" s="377">
        <v>0</v>
      </c>
      <c r="AJ22" s="376">
        <v>0</v>
      </c>
      <c r="AK22" s="377">
        <v>0</v>
      </c>
      <c r="AL22" s="376">
        <v>0.72199999999999998</v>
      </c>
      <c r="AM22" s="377">
        <v>0</v>
      </c>
      <c r="AN22" s="376">
        <v>0.12</v>
      </c>
      <c r="AO22" s="377">
        <v>0</v>
      </c>
      <c r="AP22" s="376">
        <v>0.15</v>
      </c>
      <c r="AQ22" s="377">
        <v>0</v>
      </c>
      <c r="AR22" s="376">
        <v>0</v>
      </c>
      <c r="AS22" s="377">
        <v>0</v>
      </c>
      <c r="AT22" s="376">
        <v>0.53</v>
      </c>
      <c r="AU22" s="377">
        <v>0</v>
      </c>
    </row>
    <row r="23" spans="1:47" ht="16.5" customHeight="1">
      <c r="A23" s="362"/>
      <c r="B23" s="393">
        <v>13</v>
      </c>
      <c r="C23" s="386" t="s">
        <v>65</v>
      </c>
      <c r="D23" s="374" t="s">
        <v>305</v>
      </c>
      <c r="E23" s="375">
        <v>56007</v>
      </c>
      <c r="F23" s="375">
        <v>5.74</v>
      </c>
      <c r="G23" s="371">
        <v>1.3025</v>
      </c>
      <c r="H23" s="376">
        <v>10.88</v>
      </c>
      <c r="I23" s="377">
        <v>1.81</v>
      </c>
      <c r="J23" s="376">
        <v>7.9</v>
      </c>
      <c r="K23" s="377">
        <v>1.51</v>
      </c>
      <c r="L23" s="376">
        <v>10</v>
      </c>
      <c r="M23" s="377">
        <v>1.1000000000000001</v>
      </c>
      <c r="N23" s="376">
        <v>8.1</v>
      </c>
      <c r="O23" s="377">
        <v>0.9</v>
      </c>
      <c r="P23" s="376">
        <v>56.15</v>
      </c>
      <c r="Q23" s="377">
        <v>0.55000000000000004</v>
      </c>
      <c r="R23" s="376">
        <v>2.2000000000000002</v>
      </c>
      <c r="S23" s="377">
        <v>0</v>
      </c>
      <c r="T23" s="376">
        <v>24.1</v>
      </c>
      <c r="U23" s="377">
        <v>3.54</v>
      </c>
      <c r="V23" s="376">
        <v>17.579999999999998</v>
      </c>
      <c r="W23" s="377">
        <v>0.18</v>
      </c>
      <c r="X23" s="376">
        <v>0</v>
      </c>
      <c r="Y23" s="377">
        <v>0</v>
      </c>
      <c r="Z23" s="376">
        <v>0</v>
      </c>
      <c r="AA23" s="377">
        <v>0</v>
      </c>
      <c r="AB23" s="376">
        <v>0</v>
      </c>
      <c r="AC23" s="377">
        <v>0</v>
      </c>
      <c r="AD23" s="376">
        <v>0</v>
      </c>
      <c r="AE23" s="377">
        <v>0</v>
      </c>
      <c r="AF23" s="376">
        <v>0</v>
      </c>
      <c r="AG23" s="377">
        <v>0</v>
      </c>
      <c r="AH23" s="376">
        <v>0</v>
      </c>
      <c r="AI23" s="377">
        <v>0</v>
      </c>
      <c r="AJ23" s="376">
        <v>0</v>
      </c>
      <c r="AK23" s="377">
        <v>0</v>
      </c>
      <c r="AL23" s="376">
        <v>0</v>
      </c>
      <c r="AM23" s="377">
        <v>0</v>
      </c>
      <c r="AN23" s="376">
        <v>0</v>
      </c>
      <c r="AO23" s="377">
        <v>0</v>
      </c>
      <c r="AP23" s="376">
        <v>0</v>
      </c>
      <c r="AQ23" s="377">
        <v>0</v>
      </c>
      <c r="AR23" s="376">
        <v>0</v>
      </c>
      <c r="AS23" s="377">
        <v>0</v>
      </c>
      <c r="AT23" s="376">
        <v>0</v>
      </c>
      <c r="AU23" s="377">
        <v>0</v>
      </c>
    </row>
    <row r="24" spans="1:47" ht="16.5" customHeight="1">
      <c r="A24" s="362"/>
      <c r="B24" s="378"/>
      <c r="C24" s="379"/>
      <c r="D24" s="374" t="s">
        <v>123</v>
      </c>
      <c r="E24" s="375">
        <v>69453</v>
      </c>
      <c r="F24" s="375">
        <v>4.3600000000000003</v>
      </c>
      <c r="G24" s="375" t="s">
        <v>46</v>
      </c>
      <c r="H24" s="376">
        <v>115.1</v>
      </c>
      <c r="I24" s="377">
        <v>4.1500000000000004</v>
      </c>
      <c r="J24" s="376">
        <v>101.67</v>
      </c>
      <c r="K24" s="377">
        <v>1.7</v>
      </c>
      <c r="L24" s="376">
        <v>101.6</v>
      </c>
      <c r="M24" s="377">
        <v>25.8</v>
      </c>
      <c r="N24" s="376">
        <v>90.7</v>
      </c>
      <c r="O24" s="377">
        <v>15.4</v>
      </c>
      <c r="P24" s="376">
        <v>169.88</v>
      </c>
      <c r="Q24" s="377">
        <v>7.3</v>
      </c>
      <c r="R24" s="376">
        <v>66.900000000000006</v>
      </c>
      <c r="S24" s="377">
        <v>0.3</v>
      </c>
      <c r="T24" s="376">
        <v>79.19</v>
      </c>
      <c r="U24" s="377">
        <v>19.55</v>
      </c>
      <c r="V24" s="376">
        <v>25.75</v>
      </c>
      <c r="W24" s="377">
        <v>0.94</v>
      </c>
      <c r="X24" s="376">
        <v>0</v>
      </c>
      <c r="Y24" s="377">
        <v>0</v>
      </c>
      <c r="Z24" s="376">
        <v>0.93</v>
      </c>
      <c r="AA24" s="377">
        <v>0</v>
      </c>
      <c r="AB24" s="376">
        <v>0.93</v>
      </c>
      <c r="AC24" s="377">
        <v>0</v>
      </c>
      <c r="AD24" s="376">
        <v>0</v>
      </c>
      <c r="AE24" s="377">
        <v>0</v>
      </c>
      <c r="AF24" s="376">
        <v>0.93</v>
      </c>
      <c r="AG24" s="377">
        <v>0</v>
      </c>
      <c r="AH24" s="376">
        <v>0</v>
      </c>
      <c r="AI24" s="377">
        <v>0</v>
      </c>
      <c r="AJ24" s="376">
        <v>0</v>
      </c>
      <c r="AK24" s="377">
        <v>0</v>
      </c>
      <c r="AL24" s="376">
        <v>0</v>
      </c>
      <c r="AM24" s="377">
        <v>0</v>
      </c>
      <c r="AN24" s="376">
        <v>0</v>
      </c>
      <c r="AO24" s="377">
        <v>0</v>
      </c>
      <c r="AP24" s="376">
        <v>0</v>
      </c>
      <c r="AQ24" s="377">
        <v>0</v>
      </c>
      <c r="AR24" s="376">
        <v>0</v>
      </c>
      <c r="AS24" s="377">
        <v>0</v>
      </c>
      <c r="AT24" s="376">
        <v>0</v>
      </c>
      <c r="AU24" s="377">
        <v>0</v>
      </c>
    </row>
    <row r="25" spans="1:47" ht="16.5" customHeight="1">
      <c r="A25" s="362"/>
      <c r="B25" s="378"/>
      <c r="C25" s="379"/>
      <c r="D25" s="380" t="s">
        <v>316</v>
      </c>
      <c r="E25" s="381"/>
      <c r="F25" s="381">
        <v>4.6024548788332824</v>
      </c>
      <c r="G25" s="381" t="s">
        <v>46</v>
      </c>
      <c r="H25" s="382">
        <v>68.574816355810611</v>
      </c>
      <c r="I25" s="383"/>
      <c r="J25" s="382">
        <v>59.80983428981348</v>
      </c>
      <c r="K25" s="383"/>
      <c r="L25" s="382">
        <v>60.708550932568144</v>
      </c>
      <c r="M25" s="383"/>
      <c r="N25" s="382">
        <v>53.826269727403165</v>
      </c>
      <c r="O25" s="383"/>
      <c r="P25" s="382">
        <v>119.1094268292683</v>
      </c>
      <c r="Q25" s="383"/>
      <c r="R25" s="382">
        <v>38.017065997130565</v>
      </c>
      <c r="S25" s="383"/>
      <c r="T25" s="382">
        <v>54.597096843615496</v>
      </c>
      <c r="U25" s="383"/>
      <c r="V25" s="382">
        <v>22.102804160688667</v>
      </c>
      <c r="W25" s="383"/>
      <c r="X25" s="382">
        <v>0</v>
      </c>
      <c r="Y25" s="383"/>
      <c r="Z25" s="382">
        <v>0.51483572453371595</v>
      </c>
      <c r="AA25" s="383"/>
      <c r="AB25" s="382">
        <v>0.51483572453371595</v>
      </c>
      <c r="AC25" s="383"/>
      <c r="AD25" s="382">
        <v>0</v>
      </c>
      <c r="AE25" s="383"/>
      <c r="AF25" s="382">
        <v>0.51483572453371595</v>
      </c>
      <c r="AG25" s="383"/>
      <c r="AH25" s="382">
        <v>0</v>
      </c>
      <c r="AI25" s="383"/>
      <c r="AJ25" s="382">
        <v>0</v>
      </c>
      <c r="AK25" s="383"/>
      <c r="AL25" s="382">
        <v>0</v>
      </c>
      <c r="AM25" s="383"/>
      <c r="AN25" s="382">
        <v>0</v>
      </c>
      <c r="AO25" s="383"/>
      <c r="AP25" s="382">
        <v>0</v>
      </c>
      <c r="AQ25" s="383"/>
      <c r="AR25" s="382">
        <v>0</v>
      </c>
      <c r="AS25" s="383"/>
      <c r="AT25" s="382">
        <v>0</v>
      </c>
      <c r="AU25" s="383"/>
    </row>
    <row r="26" spans="1:47" ht="16.5" customHeight="1">
      <c r="A26" s="362"/>
      <c r="B26" s="368">
        <v>14</v>
      </c>
      <c r="C26" s="369" t="s">
        <v>67</v>
      </c>
      <c r="D26" s="374" t="s">
        <v>192</v>
      </c>
      <c r="E26" s="375">
        <v>131768</v>
      </c>
      <c r="F26" s="375">
        <v>3.52</v>
      </c>
      <c r="G26" s="375" t="s">
        <v>46</v>
      </c>
      <c r="H26" s="376">
        <v>86.9</v>
      </c>
      <c r="I26" s="377">
        <v>4.76</v>
      </c>
      <c r="J26" s="376">
        <v>73.569999999999993</v>
      </c>
      <c r="K26" s="377">
        <v>3.82</v>
      </c>
      <c r="L26" s="376">
        <v>40</v>
      </c>
      <c r="M26" s="377">
        <v>2.5</v>
      </c>
      <c r="N26" s="376">
        <v>38.299999999999997</v>
      </c>
      <c r="O26" s="377">
        <v>1.8</v>
      </c>
      <c r="P26" s="376">
        <v>170.88</v>
      </c>
      <c r="Q26" s="377">
        <v>1.01</v>
      </c>
      <c r="R26" s="376">
        <v>106.6</v>
      </c>
      <c r="S26" s="377">
        <v>0.4</v>
      </c>
      <c r="T26" s="376">
        <v>36.99</v>
      </c>
      <c r="U26" s="377">
        <v>4.83</v>
      </c>
      <c r="V26" s="376">
        <v>20.59</v>
      </c>
      <c r="W26" s="377">
        <v>0.36</v>
      </c>
      <c r="X26" s="376">
        <v>22.45</v>
      </c>
      <c r="Y26" s="377">
        <v>1.34</v>
      </c>
      <c r="Z26" s="376">
        <v>4.8099999999999996</v>
      </c>
      <c r="AA26" s="377">
        <v>0</v>
      </c>
      <c r="AB26" s="376">
        <v>4.8099999999999996</v>
      </c>
      <c r="AC26" s="377">
        <v>0</v>
      </c>
      <c r="AD26" s="376">
        <v>0</v>
      </c>
      <c r="AE26" s="377">
        <v>0</v>
      </c>
      <c r="AF26" s="376">
        <v>4.17</v>
      </c>
      <c r="AG26" s="377">
        <v>0</v>
      </c>
      <c r="AH26" s="376">
        <v>0.56999999999999995</v>
      </c>
      <c r="AI26" s="377">
        <v>0</v>
      </c>
      <c r="AJ26" s="376">
        <v>0</v>
      </c>
      <c r="AK26" s="377">
        <v>0</v>
      </c>
      <c r="AL26" s="376">
        <v>0</v>
      </c>
      <c r="AM26" s="377">
        <v>0</v>
      </c>
      <c r="AN26" s="376">
        <v>0</v>
      </c>
      <c r="AO26" s="377">
        <v>0</v>
      </c>
      <c r="AP26" s="376">
        <v>0</v>
      </c>
      <c r="AQ26" s="377">
        <v>0</v>
      </c>
      <c r="AR26" s="376">
        <v>0</v>
      </c>
      <c r="AS26" s="377">
        <v>0</v>
      </c>
      <c r="AT26" s="376">
        <v>0</v>
      </c>
      <c r="AU26" s="377">
        <v>0</v>
      </c>
    </row>
    <row r="27" spans="1:47" ht="16.5" customHeight="1">
      <c r="A27" s="362"/>
      <c r="B27" s="368">
        <v>15</v>
      </c>
      <c r="C27" s="369" t="s">
        <v>69</v>
      </c>
      <c r="D27" s="374" t="s">
        <v>141</v>
      </c>
      <c r="E27" s="375">
        <v>43070</v>
      </c>
      <c r="F27" s="375">
        <v>5.6</v>
      </c>
      <c r="G27" s="371">
        <v>0.77249999999999996</v>
      </c>
      <c r="H27" s="376">
        <v>50.8</v>
      </c>
      <c r="I27" s="377">
        <v>3.3</v>
      </c>
      <c r="J27" s="376">
        <v>42.73</v>
      </c>
      <c r="K27" s="377">
        <v>2.92</v>
      </c>
      <c r="L27" s="376">
        <v>49.4</v>
      </c>
      <c r="M27" s="377">
        <v>2.5</v>
      </c>
      <c r="N27" s="376">
        <v>42.2</v>
      </c>
      <c r="O27" s="377">
        <v>2</v>
      </c>
      <c r="P27" s="376">
        <v>70.77</v>
      </c>
      <c r="Q27" s="377">
        <v>4.55</v>
      </c>
      <c r="R27" s="376">
        <v>2.2000000000000002</v>
      </c>
      <c r="S27" s="377">
        <v>0</v>
      </c>
      <c r="T27" s="376">
        <v>20.79</v>
      </c>
      <c r="U27" s="377">
        <v>0.08</v>
      </c>
      <c r="V27" s="376">
        <v>14.14</v>
      </c>
      <c r="W27" s="377">
        <v>0.22</v>
      </c>
      <c r="X27" s="376">
        <v>0</v>
      </c>
      <c r="Y27" s="377">
        <v>0</v>
      </c>
      <c r="Z27" s="376">
        <v>0.02</v>
      </c>
      <c r="AA27" s="377">
        <v>0</v>
      </c>
      <c r="AB27" s="376">
        <v>0.02</v>
      </c>
      <c r="AC27" s="377">
        <v>0</v>
      </c>
      <c r="AD27" s="376">
        <v>0</v>
      </c>
      <c r="AE27" s="377">
        <v>0</v>
      </c>
      <c r="AF27" s="376">
        <v>0.01</v>
      </c>
      <c r="AG27" s="377">
        <v>0</v>
      </c>
      <c r="AH27" s="376">
        <v>0.01</v>
      </c>
      <c r="AI27" s="377">
        <v>0</v>
      </c>
      <c r="AJ27" s="376">
        <v>0</v>
      </c>
      <c r="AK27" s="377">
        <v>0</v>
      </c>
      <c r="AL27" s="376">
        <v>0</v>
      </c>
      <c r="AM27" s="377">
        <v>0</v>
      </c>
      <c r="AN27" s="376">
        <v>0</v>
      </c>
      <c r="AO27" s="377">
        <v>0</v>
      </c>
      <c r="AP27" s="376">
        <v>0</v>
      </c>
      <c r="AQ27" s="377">
        <v>0</v>
      </c>
      <c r="AR27" s="376">
        <v>0</v>
      </c>
      <c r="AS27" s="377">
        <v>0</v>
      </c>
      <c r="AT27" s="376">
        <v>0</v>
      </c>
      <c r="AU27" s="377">
        <v>0</v>
      </c>
    </row>
    <row r="28" spans="1:47" ht="16.5" customHeight="1">
      <c r="A28" s="362"/>
      <c r="B28" s="368">
        <v>16</v>
      </c>
      <c r="C28" s="369" t="s">
        <v>70</v>
      </c>
      <c r="D28" s="374" t="s">
        <v>196</v>
      </c>
      <c r="E28" s="375">
        <v>36865</v>
      </c>
      <c r="F28" s="375">
        <v>6.03</v>
      </c>
      <c r="G28" s="371">
        <v>0.45630000000000004</v>
      </c>
      <c r="H28" s="376">
        <v>1.47</v>
      </c>
      <c r="I28" s="377">
        <v>0</v>
      </c>
      <c r="J28" s="376">
        <v>0.98</v>
      </c>
      <c r="K28" s="377">
        <v>7.0000000000000007E-2</v>
      </c>
      <c r="L28" s="376">
        <v>5.0999999999999996</v>
      </c>
      <c r="M28" s="377">
        <v>5.4</v>
      </c>
      <c r="N28" s="376">
        <v>3.2</v>
      </c>
      <c r="O28" s="377">
        <v>3.2</v>
      </c>
      <c r="P28" s="376">
        <v>3.21</v>
      </c>
      <c r="Q28" s="377">
        <v>0.24</v>
      </c>
      <c r="R28" s="376">
        <v>0.2</v>
      </c>
      <c r="S28" s="377">
        <v>0</v>
      </c>
      <c r="T28" s="376">
        <v>0.62</v>
      </c>
      <c r="U28" s="377">
        <v>7.0000000000000007E-2</v>
      </c>
      <c r="V28" s="376">
        <v>11.62</v>
      </c>
      <c r="W28" s="377">
        <v>0.42</v>
      </c>
      <c r="X28" s="376">
        <v>0.3</v>
      </c>
      <c r="Y28" s="377">
        <v>0.28000000000000003</v>
      </c>
      <c r="Z28" s="376">
        <v>0</v>
      </c>
      <c r="AA28" s="377">
        <v>0</v>
      </c>
      <c r="AB28" s="376">
        <v>0</v>
      </c>
      <c r="AC28" s="377">
        <v>0</v>
      </c>
      <c r="AD28" s="376">
        <v>0</v>
      </c>
      <c r="AE28" s="377">
        <v>0</v>
      </c>
      <c r="AF28" s="376">
        <v>0</v>
      </c>
      <c r="AG28" s="377">
        <v>0</v>
      </c>
      <c r="AH28" s="376">
        <v>0</v>
      </c>
      <c r="AI28" s="377">
        <v>0</v>
      </c>
      <c r="AJ28" s="376">
        <v>0</v>
      </c>
      <c r="AK28" s="377">
        <v>0</v>
      </c>
      <c r="AL28" s="376">
        <v>0</v>
      </c>
      <c r="AM28" s="377">
        <v>0</v>
      </c>
      <c r="AN28" s="376">
        <v>0</v>
      </c>
      <c r="AO28" s="377">
        <v>0</v>
      </c>
      <c r="AP28" s="376">
        <v>0</v>
      </c>
      <c r="AQ28" s="377">
        <v>0</v>
      </c>
      <c r="AR28" s="376">
        <v>0</v>
      </c>
      <c r="AS28" s="377">
        <v>0</v>
      </c>
      <c r="AT28" s="376">
        <v>0</v>
      </c>
      <c r="AU28" s="377">
        <v>0</v>
      </c>
    </row>
    <row r="29" spans="1:47" ht="16.5" customHeight="1">
      <c r="A29" s="362"/>
      <c r="B29" s="368">
        <v>17</v>
      </c>
      <c r="C29" s="369" t="s">
        <v>72</v>
      </c>
      <c r="D29" s="410" t="s">
        <v>196</v>
      </c>
      <c r="E29" s="375">
        <v>11368</v>
      </c>
      <c r="F29" s="375">
        <v>5.87</v>
      </c>
      <c r="G29" s="371">
        <v>0.53879999999999995</v>
      </c>
      <c r="H29" s="376">
        <v>10.27</v>
      </c>
      <c r="I29" s="377">
        <v>0.09</v>
      </c>
      <c r="J29" s="376">
        <v>8.07</v>
      </c>
      <c r="K29" s="377">
        <v>0.19</v>
      </c>
      <c r="L29" s="376">
        <v>9.5</v>
      </c>
      <c r="M29" s="377">
        <v>0.2</v>
      </c>
      <c r="N29" s="376">
        <v>7.4</v>
      </c>
      <c r="O29" s="377">
        <v>0.1</v>
      </c>
      <c r="P29" s="376">
        <v>13.09</v>
      </c>
      <c r="Q29" s="377">
        <v>0.45</v>
      </c>
      <c r="R29" s="376">
        <v>0.3</v>
      </c>
      <c r="S29" s="377">
        <v>0</v>
      </c>
      <c r="T29" s="376">
        <v>3.44</v>
      </c>
      <c r="U29" s="377">
        <v>0.32</v>
      </c>
      <c r="V29" s="376">
        <v>4.1900000000000004</v>
      </c>
      <c r="W29" s="377">
        <v>0</v>
      </c>
      <c r="X29" s="376">
        <v>1.72</v>
      </c>
      <c r="Y29" s="377">
        <v>0.53</v>
      </c>
      <c r="Z29" s="376">
        <v>0</v>
      </c>
      <c r="AA29" s="377">
        <v>0</v>
      </c>
      <c r="AB29" s="376">
        <v>0</v>
      </c>
      <c r="AC29" s="377">
        <v>0</v>
      </c>
      <c r="AD29" s="376">
        <v>0</v>
      </c>
      <c r="AE29" s="377">
        <v>0</v>
      </c>
      <c r="AF29" s="376">
        <v>0</v>
      </c>
      <c r="AG29" s="377">
        <v>0</v>
      </c>
      <c r="AH29" s="376">
        <v>0</v>
      </c>
      <c r="AI29" s="377">
        <v>0</v>
      </c>
      <c r="AJ29" s="376">
        <v>0</v>
      </c>
      <c r="AK29" s="377">
        <v>0</v>
      </c>
      <c r="AL29" s="376">
        <v>0</v>
      </c>
      <c r="AM29" s="377">
        <v>0</v>
      </c>
      <c r="AN29" s="376">
        <v>0</v>
      </c>
      <c r="AO29" s="377">
        <v>0</v>
      </c>
      <c r="AP29" s="376">
        <v>0</v>
      </c>
      <c r="AQ29" s="377">
        <v>0</v>
      </c>
      <c r="AR29" s="376">
        <v>0</v>
      </c>
      <c r="AS29" s="377">
        <v>0</v>
      </c>
      <c r="AT29" s="376">
        <v>0</v>
      </c>
      <c r="AU29" s="377">
        <v>0</v>
      </c>
    </row>
    <row r="30" spans="1:47" ht="16.5" customHeight="1">
      <c r="A30" s="362"/>
      <c r="B30" s="378"/>
      <c r="C30" s="379" t="s">
        <v>306</v>
      </c>
      <c r="D30" s="410" t="s">
        <v>313</v>
      </c>
      <c r="E30" s="375">
        <v>11368</v>
      </c>
      <c r="F30" s="375">
        <v>6.15</v>
      </c>
      <c r="G30" s="371">
        <v>0.36499999999999999</v>
      </c>
      <c r="H30" s="376">
        <v>8.82</v>
      </c>
      <c r="I30" s="377">
        <v>0.12</v>
      </c>
      <c r="J30" s="376">
        <v>6.57</v>
      </c>
      <c r="K30" s="377">
        <v>0.05</v>
      </c>
      <c r="L30" s="376">
        <v>8.1999999999999993</v>
      </c>
      <c r="M30" s="377">
        <v>0.1</v>
      </c>
      <c r="N30" s="376">
        <v>6.2</v>
      </c>
      <c r="O30" s="377">
        <v>0.1</v>
      </c>
      <c r="P30" s="376">
        <v>7.72</v>
      </c>
      <c r="Q30" s="377">
        <v>0.76</v>
      </c>
      <c r="R30" s="376">
        <v>0</v>
      </c>
      <c r="S30" s="377">
        <v>0</v>
      </c>
      <c r="T30" s="376">
        <v>1.26</v>
      </c>
      <c r="U30" s="377">
        <v>0.18</v>
      </c>
      <c r="V30" s="376">
        <v>4.41</v>
      </c>
      <c r="W30" s="377">
        <v>0.18</v>
      </c>
      <c r="X30" s="376">
        <v>0.88</v>
      </c>
      <c r="Y30" s="377">
        <v>0.04</v>
      </c>
      <c r="Z30" s="376">
        <v>0.01</v>
      </c>
      <c r="AA30" s="377">
        <v>0</v>
      </c>
      <c r="AB30" s="376">
        <v>0.01</v>
      </c>
      <c r="AC30" s="377">
        <v>0</v>
      </c>
      <c r="AD30" s="376">
        <v>0</v>
      </c>
      <c r="AE30" s="377">
        <v>0</v>
      </c>
      <c r="AF30" s="376">
        <v>0.01</v>
      </c>
      <c r="AG30" s="377">
        <v>0</v>
      </c>
      <c r="AH30" s="376">
        <v>0</v>
      </c>
      <c r="AI30" s="377">
        <v>0</v>
      </c>
      <c r="AJ30" s="376">
        <v>0</v>
      </c>
      <c r="AK30" s="377">
        <v>0</v>
      </c>
      <c r="AL30" s="376">
        <v>0</v>
      </c>
      <c r="AM30" s="377">
        <v>0</v>
      </c>
      <c r="AN30" s="376">
        <v>0</v>
      </c>
      <c r="AO30" s="377">
        <v>0</v>
      </c>
      <c r="AP30" s="376">
        <v>0</v>
      </c>
      <c r="AQ30" s="377">
        <v>0</v>
      </c>
      <c r="AR30" s="376">
        <v>0</v>
      </c>
      <c r="AS30" s="377">
        <v>0</v>
      </c>
      <c r="AT30" s="376">
        <v>0</v>
      </c>
      <c r="AU30" s="377">
        <v>0</v>
      </c>
    </row>
    <row r="31" spans="1:47" ht="16.5" customHeight="1">
      <c r="A31" s="362"/>
      <c r="B31" s="378"/>
      <c r="C31" s="379"/>
      <c r="D31" s="374" t="s">
        <v>326</v>
      </c>
      <c r="E31" s="375">
        <v>3180</v>
      </c>
      <c r="F31" s="375">
        <v>7.81</v>
      </c>
      <c r="G31" s="371">
        <v>5.2125000000000004</v>
      </c>
      <c r="H31" s="376">
        <v>42.22</v>
      </c>
      <c r="I31" s="377">
        <v>0.31</v>
      </c>
      <c r="J31" s="376">
        <v>25.53</v>
      </c>
      <c r="K31" s="377">
        <v>0.09</v>
      </c>
      <c r="L31" s="376">
        <v>37.9</v>
      </c>
      <c r="M31" s="377">
        <v>0.1</v>
      </c>
      <c r="N31" s="376">
        <v>24.2</v>
      </c>
      <c r="O31" s="377">
        <v>0.1</v>
      </c>
      <c r="P31" s="376">
        <v>42.79</v>
      </c>
      <c r="Q31" s="377">
        <v>2.08</v>
      </c>
      <c r="R31" s="376">
        <v>1.8</v>
      </c>
      <c r="S31" s="377">
        <v>0</v>
      </c>
      <c r="T31" s="376">
        <v>9.9600000000000009</v>
      </c>
      <c r="U31" s="377">
        <v>0.56000000000000005</v>
      </c>
      <c r="V31" s="376">
        <v>3.73</v>
      </c>
      <c r="W31" s="377">
        <v>0.48</v>
      </c>
      <c r="X31" s="376">
        <v>5.33</v>
      </c>
      <c r="Y31" s="377">
        <v>0.11</v>
      </c>
      <c r="Z31" s="376">
        <v>0.02</v>
      </c>
      <c r="AA31" s="377">
        <v>0</v>
      </c>
      <c r="AB31" s="376">
        <v>0.02</v>
      </c>
      <c r="AC31" s="377">
        <v>0</v>
      </c>
      <c r="AD31" s="376">
        <v>0</v>
      </c>
      <c r="AE31" s="377">
        <v>0</v>
      </c>
      <c r="AF31" s="376">
        <v>0.02</v>
      </c>
      <c r="AG31" s="377">
        <v>0</v>
      </c>
      <c r="AH31" s="376">
        <v>0</v>
      </c>
      <c r="AI31" s="377">
        <v>0</v>
      </c>
      <c r="AJ31" s="376">
        <v>0</v>
      </c>
      <c r="AK31" s="377">
        <v>0</v>
      </c>
      <c r="AL31" s="376">
        <v>0</v>
      </c>
      <c r="AM31" s="377">
        <v>0</v>
      </c>
      <c r="AN31" s="376">
        <v>0</v>
      </c>
      <c r="AO31" s="377">
        <v>0</v>
      </c>
      <c r="AP31" s="376">
        <v>0</v>
      </c>
      <c r="AQ31" s="377">
        <v>0</v>
      </c>
      <c r="AR31" s="376">
        <v>0</v>
      </c>
      <c r="AS31" s="377">
        <v>0</v>
      </c>
      <c r="AT31" s="376">
        <v>0</v>
      </c>
      <c r="AU31" s="377">
        <v>0</v>
      </c>
    </row>
    <row r="32" spans="1:47" ht="16.5" customHeight="1">
      <c r="A32" s="362"/>
      <c r="B32" s="378"/>
      <c r="C32" s="379"/>
      <c r="D32" s="405" t="s">
        <v>327</v>
      </c>
      <c r="E32" s="381"/>
      <c r="F32" s="381">
        <v>6.0437550893525653</v>
      </c>
      <c r="G32" s="382">
        <v>1.0360452384627257</v>
      </c>
      <c r="H32" s="382">
        <v>13.554357153881773</v>
      </c>
      <c r="I32" s="383"/>
      <c r="J32" s="382">
        <v>9.5544420435252366</v>
      </c>
      <c r="K32" s="383"/>
      <c r="L32" s="382">
        <v>12.414554715233832</v>
      </c>
      <c r="M32" s="383"/>
      <c r="N32" s="382">
        <v>8.9350517055101104</v>
      </c>
      <c r="O32" s="383"/>
      <c r="P32" s="382">
        <v>14.378772958789938</v>
      </c>
      <c r="Q32" s="383"/>
      <c r="R32" s="382">
        <v>0.35246179966044139</v>
      </c>
      <c r="S32" s="383"/>
      <c r="T32" s="382">
        <v>3.283778360858157</v>
      </c>
      <c r="U32" s="383"/>
      <c r="V32" s="382">
        <v>4.2300586510263933</v>
      </c>
      <c r="W32" s="383"/>
      <c r="X32" s="382">
        <v>1.7944976076555024</v>
      </c>
      <c r="Y32" s="383"/>
      <c r="Z32" s="382">
        <v>6.8405618150949223E-3</v>
      </c>
      <c r="AA32" s="383"/>
      <c r="AB32" s="382">
        <v>6.8405618150949223E-3</v>
      </c>
      <c r="AC32" s="383"/>
      <c r="AD32" s="382">
        <v>0</v>
      </c>
      <c r="AE32" s="383"/>
      <c r="AF32" s="382">
        <v>6.8405618150949223E-3</v>
      </c>
      <c r="AG32" s="383"/>
      <c r="AH32" s="382">
        <v>0</v>
      </c>
      <c r="AI32" s="383"/>
      <c r="AJ32" s="382">
        <v>0</v>
      </c>
      <c r="AK32" s="383"/>
      <c r="AL32" s="382">
        <v>0</v>
      </c>
      <c r="AM32" s="383"/>
      <c r="AN32" s="382">
        <v>0</v>
      </c>
      <c r="AO32" s="383"/>
      <c r="AP32" s="382">
        <v>0</v>
      </c>
      <c r="AQ32" s="383"/>
      <c r="AR32" s="382">
        <v>0</v>
      </c>
      <c r="AS32" s="383"/>
      <c r="AT32" s="382">
        <v>0</v>
      </c>
      <c r="AU32" s="383"/>
    </row>
    <row r="33" spans="1:47" ht="16.5" customHeight="1">
      <c r="A33" s="362"/>
      <c r="B33" s="368">
        <v>18</v>
      </c>
      <c r="C33" s="369" t="s">
        <v>73</v>
      </c>
      <c r="D33" s="374" t="s">
        <v>196</v>
      </c>
      <c r="E33" s="375">
        <v>47085</v>
      </c>
      <c r="F33" s="375">
        <v>5.44</v>
      </c>
      <c r="G33" s="371">
        <v>0.54249999999999998</v>
      </c>
      <c r="H33" s="376">
        <v>28.22</v>
      </c>
      <c r="I33" s="377">
        <v>2.4700000000000002</v>
      </c>
      <c r="J33" s="376">
        <v>23.45</v>
      </c>
      <c r="K33" s="377">
        <v>2.0499999999999998</v>
      </c>
      <c r="L33" s="376">
        <v>30.4</v>
      </c>
      <c r="M33" s="377">
        <v>0.4</v>
      </c>
      <c r="N33" s="376">
        <v>25.7</v>
      </c>
      <c r="O33" s="377">
        <v>0.6</v>
      </c>
      <c r="P33" s="376">
        <v>38.86</v>
      </c>
      <c r="Q33" s="377">
        <v>1.41</v>
      </c>
      <c r="R33" s="376">
        <v>1.1000000000000001</v>
      </c>
      <c r="S33" s="377">
        <v>0.1</v>
      </c>
      <c r="T33" s="376">
        <v>14.5</v>
      </c>
      <c r="U33" s="377">
        <v>0.48</v>
      </c>
      <c r="V33" s="376">
        <v>10.8</v>
      </c>
      <c r="W33" s="377">
        <v>0.52</v>
      </c>
      <c r="X33" s="376">
        <v>0</v>
      </c>
      <c r="Y33" s="377">
        <v>0</v>
      </c>
      <c r="Z33" s="376">
        <v>0.02</v>
      </c>
      <c r="AA33" s="377">
        <v>0</v>
      </c>
      <c r="AB33" s="376">
        <v>0.02</v>
      </c>
      <c r="AC33" s="377">
        <v>0</v>
      </c>
      <c r="AD33" s="376">
        <v>0</v>
      </c>
      <c r="AE33" s="377">
        <v>0</v>
      </c>
      <c r="AF33" s="376">
        <v>0.01</v>
      </c>
      <c r="AG33" s="377">
        <v>0</v>
      </c>
      <c r="AH33" s="376">
        <v>0</v>
      </c>
      <c r="AI33" s="377">
        <v>0</v>
      </c>
      <c r="AJ33" s="376">
        <v>0</v>
      </c>
      <c r="AK33" s="377">
        <v>0</v>
      </c>
      <c r="AL33" s="376">
        <v>0</v>
      </c>
      <c r="AM33" s="377">
        <v>0</v>
      </c>
      <c r="AN33" s="376">
        <v>0</v>
      </c>
      <c r="AO33" s="377">
        <v>0</v>
      </c>
      <c r="AP33" s="376">
        <v>0</v>
      </c>
      <c r="AQ33" s="377">
        <v>0</v>
      </c>
      <c r="AR33" s="376">
        <v>0.01</v>
      </c>
      <c r="AS33" s="377">
        <v>0</v>
      </c>
      <c r="AT33" s="376">
        <v>0.01</v>
      </c>
      <c r="AU33" s="377">
        <v>0</v>
      </c>
    </row>
    <row r="34" spans="1:47" ht="16.5" customHeight="1">
      <c r="A34" s="362"/>
      <c r="B34" s="379" t="s">
        <v>306</v>
      </c>
      <c r="C34" s="379" t="s">
        <v>306</v>
      </c>
      <c r="D34" s="374" t="s">
        <v>317</v>
      </c>
      <c r="E34" s="375">
        <v>15148</v>
      </c>
      <c r="F34" s="375">
        <v>6.77</v>
      </c>
      <c r="G34" s="371">
        <v>0.3775</v>
      </c>
      <c r="H34" s="376">
        <v>14.2</v>
      </c>
      <c r="I34" s="377">
        <v>0.28000000000000003</v>
      </c>
      <c r="J34" s="376">
        <v>8.98</v>
      </c>
      <c r="K34" s="377">
        <v>7.0000000000000007E-2</v>
      </c>
      <c r="L34" s="376">
        <v>10.9</v>
      </c>
      <c r="M34" s="377">
        <v>1.2</v>
      </c>
      <c r="N34" s="376">
        <v>8.5</v>
      </c>
      <c r="O34" s="377">
        <v>0.4</v>
      </c>
      <c r="P34" s="376">
        <v>12.15</v>
      </c>
      <c r="Q34" s="377">
        <v>0.4</v>
      </c>
      <c r="R34" s="376">
        <v>0.1</v>
      </c>
      <c r="S34" s="377">
        <v>0</v>
      </c>
      <c r="T34" s="376">
        <v>3.18</v>
      </c>
      <c r="U34" s="377">
        <v>0.79</v>
      </c>
      <c r="V34" s="376">
        <v>5.4</v>
      </c>
      <c r="W34" s="377">
        <v>0.06</v>
      </c>
      <c r="X34" s="376">
        <v>0</v>
      </c>
      <c r="Y34" s="377">
        <v>0</v>
      </c>
      <c r="Z34" s="376">
        <v>0</v>
      </c>
      <c r="AA34" s="377">
        <v>0</v>
      </c>
      <c r="AB34" s="376">
        <v>0</v>
      </c>
      <c r="AC34" s="377">
        <v>0</v>
      </c>
      <c r="AD34" s="376">
        <v>0</v>
      </c>
      <c r="AE34" s="377">
        <v>0</v>
      </c>
      <c r="AF34" s="376">
        <v>0</v>
      </c>
      <c r="AG34" s="377">
        <v>0</v>
      </c>
      <c r="AH34" s="376">
        <v>0</v>
      </c>
      <c r="AI34" s="377">
        <v>0</v>
      </c>
      <c r="AJ34" s="376">
        <v>0</v>
      </c>
      <c r="AK34" s="377">
        <v>0</v>
      </c>
      <c r="AL34" s="376">
        <v>0</v>
      </c>
      <c r="AM34" s="377">
        <v>0</v>
      </c>
      <c r="AN34" s="376">
        <v>0</v>
      </c>
      <c r="AO34" s="377">
        <v>0</v>
      </c>
      <c r="AP34" s="376">
        <v>0</v>
      </c>
      <c r="AQ34" s="377">
        <v>0</v>
      </c>
      <c r="AR34" s="376">
        <v>0</v>
      </c>
      <c r="AS34" s="377">
        <v>0</v>
      </c>
      <c r="AT34" s="376">
        <v>0</v>
      </c>
      <c r="AU34" s="377">
        <v>0</v>
      </c>
    </row>
    <row r="35" spans="1:47" ht="16.5" customHeight="1">
      <c r="A35" s="362"/>
      <c r="B35" s="379" t="s">
        <v>306</v>
      </c>
      <c r="C35" s="379" t="s">
        <v>306</v>
      </c>
      <c r="D35" s="374" t="s">
        <v>318</v>
      </c>
      <c r="E35" s="375">
        <v>7264</v>
      </c>
      <c r="F35" s="375">
        <v>7.99</v>
      </c>
      <c r="G35" s="371">
        <v>2.7650000000000001</v>
      </c>
      <c r="H35" s="376">
        <v>33.17</v>
      </c>
      <c r="I35" s="377">
        <v>1.51</v>
      </c>
      <c r="J35" s="376">
        <v>22.32</v>
      </c>
      <c r="K35" s="377">
        <v>1.01</v>
      </c>
      <c r="L35" s="376">
        <v>26.9</v>
      </c>
      <c r="M35" s="377">
        <v>0</v>
      </c>
      <c r="N35" s="376">
        <v>21.2</v>
      </c>
      <c r="O35" s="377">
        <v>0</v>
      </c>
      <c r="P35" s="376">
        <v>42.05</v>
      </c>
      <c r="Q35" s="377">
        <v>0.67</v>
      </c>
      <c r="R35" s="376">
        <v>2.2999999999999998</v>
      </c>
      <c r="S35" s="377">
        <v>0.1</v>
      </c>
      <c r="T35" s="376">
        <v>5.62</v>
      </c>
      <c r="U35" s="377">
        <v>0.36</v>
      </c>
      <c r="V35" s="376">
        <v>17.88</v>
      </c>
      <c r="W35" s="377">
        <v>0.81</v>
      </c>
      <c r="X35" s="376">
        <v>0</v>
      </c>
      <c r="Y35" s="377">
        <v>0</v>
      </c>
      <c r="Z35" s="376">
        <v>0.03</v>
      </c>
      <c r="AA35" s="377">
        <v>0</v>
      </c>
      <c r="AB35" s="376">
        <v>0.03</v>
      </c>
      <c r="AC35" s="377">
        <v>0</v>
      </c>
      <c r="AD35" s="376">
        <v>0</v>
      </c>
      <c r="AE35" s="377">
        <v>0</v>
      </c>
      <c r="AF35" s="376">
        <v>0.02</v>
      </c>
      <c r="AG35" s="377">
        <v>0</v>
      </c>
      <c r="AH35" s="376">
        <v>0</v>
      </c>
      <c r="AI35" s="377">
        <v>0</v>
      </c>
      <c r="AJ35" s="376">
        <v>0</v>
      </c>
      <c r="AK35" s="377">
        <v>0</v>
      </c>
      <c r="AL35" s="376">
        <v>0</v>
      </c>
      <c r="AM35" s="377">
        <v>0</v>
      </c>
      <c r="AN35" s="376">
        <v>0.01</v>
      </c>
      <c r="AO35" s="377">
        <v>0</v>
      </c>
      <c r="AP35" s="376">
        <v>0</v>
      </c>
      <c r="AQ35" s="377">
        <v>0</v>
      </c>
      <c r="AR35" s="376">
        <v>0</v>
      </c>
      <c r="AS35" s="377">
        <v>0</v>
      </c>
      <c r="AT35" s="376">
        <v>0</v>
      </c>
      <c r="AU35" s="377">
        <v>0</v>
      </c>
    </row>
    <row r="36" spans="1:47" ht="16.5" customHeight="1">
      <c r="A36" s="362"/>
      <c r="B36" s="379"/>
      <c r="C36" s="379"/>
      <c r="D36" s="380" t="s">
        <v>319</v>
      </c>
      <c r="E36" s="381"/>
      <c r="F36" s="381">
        <v>5.6024109992936655</v>
      </c>
      <c r="G36" s="382">
        <v>0.73883682029440112</v>
      </c>
      <c r="H36" s="382">
        <v>25.681499633077681</v>
      </c>
      <c r="I36" s="383"/>
      <c r="J36" s="382">
        <v>20.17791803962761</v>
      </c>
      <c r="K36" s="383"/>
      <c r="L36" s="382">
        <v>25.783829517820909</v>
      </c>
      <c r="M36" s="383"/>
      <c r="N36" s="382">
        <v>21.480629379685453</v>
      </c>
      <c r="O36" s="383"/>
      <c r="P36" s="382">
        <v>33.371548412161673</v>
      </c>
      <c r="Q36" s="383"/>
      <c r="R36" s="382">
        <v>1.0074607537015987</v>
      </c>
      <c r="S36" s="383"/>
      <c r="T36" s="382">
        <v>11.104462350892845</v>
      </c>
      <c r="U36" s="383"/>
      <c r="V36" s="382">
        <v>10.363001568413026</v>
      </c>
      <c r="W36" s="383"/>
      <c r="X36" s="382">
        <v>0</v>
      </c>
      <c r="Y36" s="383"/>
      <c r="Z36" s="382">
        <v>1.668590011079615E-2</v>
      </c>
      <c r="AA36" s="383"/>
      <c r="AB36" s="382">
        <v>1.668590011079615E-2</v>
      </c>
      <c r="AC36" s="383"/>
      <c r="AD36" s="382">
        <v>0</v>
      </c>
      <c r="AE36" s="383"/>
      <c r="AF36" s="382">
        <v>8.8655625422680122E-3</v>
      </c>
      <c r="AG36" s="383"/>
      <c r="AH36" s="382">
        <v>0</v>
      </c>
      <c r="AI36" s="383"/>
      <c r="AJ36" s="382">
        <v>0</v>
      </c>
      <c r="AK36" s="383"/>
      <c r="AL36" s="382">
        <v>0</v>
      </c>
      <c r="AM36" s="383"/>
      <c r="AN36" s="382">
        <v>1.0452249737398737E-3</v>
      </c>
      <c r="AO36" s="383"/>
      <c r="AP36" s="382">
        <v>0</v>
      </c>
      <c r="AQ36" s="383"/>
      <c r="AR36" s="382">
        <v>6.7751125947882644E-3</v>
      </c>
      <c r="AS36" s="383"/>
      <c r="AT36" s="382">
        <v>6.7751125947882644E-3</v>
      </c>
      <c r="AU36" s="383"/>
    </row>
    <row r="37" spans="1:47" ht="16.5" customHeight="1">
      <c r="A37" s="362"/>
      <c r="B37" s="368">
        <v>19</v>
      </c>
      <c r="C37" s="369" t="s">
        <v>74</v>
      </c>
      <c r="D37" s="374" t="s">
        <v>123</v>
      </c>
      <c r="E37" s="375">
        <v>21295</v>
      </c>
      <c r="F37" s="375">
        <v>5.32</v>
      </c>
      <c r="G37" s="371">
        <v>2.9175</v>
      </c>
      <c r="H37" s="376">
        <v>56.63</v>
      </c>
      <c r="I37" s="377">
        <v>1.98</v>
      </c>
      <c r="J37" s="376">
        <v>40.72</v>
      </c>
      <c r="K37" s="377">
        <v>1.34</v>
      </c>
      <c r="L37" s="376">
        <v>27</v>
      </c>
      <c r="M37" s="377">
        <v>4.8</v>
      </c>
      <c r="N37" s="376">
        <v>20.9</v>
      </c>
      <c r="O37" s="377">
        <v>2.8</v>
      </c>
      <c r="P37" s="376">
        <v>68.53</v>
      </c>
      <c r="Q37" s="377">
        <v>0.66</v>
      </c>
      <c r="R37" s="376">
        <v>24.5</v>
      </c>
      <c r="S37" s="377">
        <v>0.3</v>
      </c>
      <c r="T37" s="376">
        <v>5.15</v>
      </c>
      <c r="U37" s="377">
        <v>0.24</v>
      </c>
      <c r="V37" s="376">
        <v>19.170000000000002</v>
      </c>
      <c r="W37" s="377">
        <v>0.09</v>
      </c>
      <c r="X37" s="376">
        <v>0</v>
      </c>
      <c r="Y37" s="377">
        <v>0</v>
      </c>
      <c r="Z37" s="376">
        <v>1.96</v>
      </c>
      <c r="AA37" s="377">
        <v>0.01</v>
      </c>
      <c r="AB37" s="376">
        <v>3.78</v>
      </c>
      <c r="AC37" s="377">
        <v>0.02</v>
      </c>
      <c r="AD37" s="376">
        <v>1.83</v>
      </c>
      <c r="AE37" s="377">
        <v>0.01</v>
      </c>
      <c r="AF37" s="376">
        <v>1.03</v>
      </c>
      <c r="AG37" s="377">
        <v>0</v>
      </c>
      <c r="AH37" s="376">
        <v>0.17</v>
      </c>
      <c r="AI37" s="377">
        <v>0.01</v>
      </c>
      <c r="AJ37" s="376">
        <v>0</v>
      </c>
      <c r="AK37" s="377">
        <v>0</v>
      </c>
      <c r="AL37" s="376">
        <v>0.24</v>
      </c>
      <c r="AM37" s="377">
        <v>0</v>
      </c>
      <c r="AN37" s="376">
        <v>0</v>
      </c>
      <c r="AO37" s="377">
        <v>0</v>
      </c>
      <c r="AP37" s="376">
        <v>0.09</v>
      </c>
      <c r="AQ37" s="377">
        <v>0.01</v>
      </c>
      <c r="AR37" s="376">
        <v>0</v>
      </c>
      <c r="AS37" s="377">
        <v>0</v>
      </c>
      <c r="AT37" s="376">
        <v>0.43</v>
      </c>
      <c r="AU37" s="377">
        <v>0</v>
      </c>
    </row>
    <row r="38" spans="1:47" ht="16.5" customHeight="1">
      <c r="A38" s="362"/>
      <c r="B38" s="393">
        <v>20</v>
      </c>
      <c r="C38" s="386" t="s">
        <v>76</v>
      </c>
      <c r="D38" s="374" t="s">
        <v>212</v>
      </c>
      <c r="E38" s="381">
        <v>84678</v>
      </c>
      <c r="F38" s="375">
        <v>5.7750000000000004</v>
      </c>
      <c r="G38" s="371">
        <v>2.3933999999999997</v>
      </c>
      <c r="H38" s="376">
        <v>47.075000000000003</v>
      </c>
      <c r="I38" s="377">
        <v>1.2150000000000001</v>
      </c>
      <c r="J38" s="376">
        <v>33.864999999999995</v>
      </c>
      <c r="K38" s="377">
        <v>0.73</v>
      </c>
      <c r="L38" s="376">
        <v>28.55</v>
      </c>
      <c r="M38" s="377">
        <v>1.4</v>
      </c>
      <c r="N38" s="376">
        <v>24.6</v>
      </c>
      <c r="O38" s="377">
        <v>0.9</v>
      </c>
      <c r="P38" s="376">
        <v>108.30000000000001</v>
      </c>
      <c r="Q38" s="377">
        <v>1.7949999999999999</v>
      </c>
      <c r="R38" s="376">
        <v>71.099999999999994</v>
      </c>
      <c r="S38" s="377">
        <v>0.75</v>
      </c>
      <c r="T38" s="376">
        <v>12.405000000000001</v>
      </c>
      <c r="U38" s="377">
        <v>0.745</v>
      </c>
      <c r="V38" s="376">
        <v>13.106</v>
      </c>
      <c r="W38" s="377">
        <v>1.3540000000000001</v>
      </c>
      <c r="X38" s="376">
        <v>3.6</v>
      </c>
      <c r="Y38" s="377">
        <v>0.74</v>
      </c>
      <c r="Z38" s="376">
        <v>0</v>
      </c>
      <c r="AA38" s="377">
        <v>0</v>
      </c>
      <c r="AB38" s="376">
        <v>0</v>
      </c>
      <c r="AC38" s="377">
        <v>0</v>
      </c>
      <c r="AD38" s="376">
        <v>0</v>
      </c>
      <c r="AE38" s="377">
        <v>0</v>
      </c>
      <c r="AF38" s="376">
        <v>0</v>
      </c>
      <c r="AG38" s="377">
        <v>0</v>
      </c>
      <c r="AH38" s="376">
        <v>0</v>
      </c>
      <c r="AI38" s="377">
        <v>0</v>
      </c>
      <c r="AJ38" s="376">
        <v>0</v>
      </c>
      <c r="AK38" s="377">
        <v>0</v>
      </c>
      <c r="AL38" s="376">
        <v>0</v>
      </c>
      <c r="AM38" s="377">
        <v>0</v>
      </c>
      <c r="AN38" s="376">
        <v>0</v>
      </c>
      <c r="AO38" s="377">
        <v>0</v>
      </c>
      <c r="AP38" s="376">
        <v>0</v>
      </c>
      <c r="AQ38" s="377">
        <v>0</v>
      </c>
      <c r="AR38" s="376">
        <v>0</v>
      </c>
      <c r="AS38" s="377">
        <v>0</v>
      </c>
      <c r="AT38" s="376">
        <v>0</v>
      </c>
      <c r="AU38" s="377">
        <v>0</v>
      </c>
    </row>
    <row r="39" spans="1:47" ht="16.5" customHeight="1">
      <c r="A39" s="362"/>
      <c r="B39" s="368">
        <v>21</v>
      </c>
      <c r="C39" s="369" t="s">
        <v>77</v>
      </c>
      <c r="D39" s="374" t="s">
        <v>216</v>
      </c>
      <c r="E39" s="375">
        <v>17605</v>
      </c>
      <c r="F39" s="375">
        <v>5.83</v>
      </c>
      <c r="G39" s="371">
        <v>5.4899999999999997E-2</v>
      </c>
      <c r="H39" s="376">
        <v>29.48</v>
      </c>
      <c r="I39" s="377">
        <v>1.86</v>
      </c>
      <c r="J39" s="376">
        <v>23.97</v>
      </c>
      <c r="K39" s="377">
        <v>1.56</v>
      </c>
      <c r="L39" s="376">
        <v>33.799999999999997</v>
      </c>
      <c r="M39" s="377">
        <v>1.5</v>
      </c>
      <c r="N39" s="376">
        <v>27.6</v>
      </c>
      <c r="O39" s="377">
        <v>1</v>
      </c>
      <c r="P39" s="376">
        <v>37.33</v>
      </c>
      <c r="Q39" s="377">
        <v>0.08</v>
      </c>
      <c r="R39" s="376">
        <v>0.6</v>
      </c>
      <c r="S39" s="377">
        <v>0.1</v>
      </c>
      <c r="T39" s="376">
        <v>7.91</v>
      </c>
      <c r="U39" s="377">
        <v>1.4</v>
      </c>
      <c r="V39" s="376">
        <v>13.82</v>
      </c>
      <c r="W39" s="377">
        <v>0.09</v>
      </c>
      <c r="X39" s="376">
        <v>0</v>
      </c>
      <c r="Y39" s="377">
        <v>0</v>
      </c>
      <c r="Z39" s="376">
        <v>0.01</v>
      </c>
      <c r="AA39" s="377">
        <v>0</v>
      </c>
      <c r="AB39" s="376">
        <v>0.01</v>
      </c>
      <c r="AC39" s="377">
        <v>0</v>
      </c>
      <c r="AD39" s="376">
        <v>0</v>
      </c>
      <c r="AE39" s="377">
        <v>0</v>
      </c>
      <c r="AF39" s="376">
        <v>0.01</v>
      </c>
      <c r="AG39" s="377">
        <v>0</v>
      </c>
      <c r="AH39" s="376">
        <v>0</v>
      </c>
      <c r="AI39" s="377">
        <v>0</v>
      </c>
      <c r="AJ39" s="376">
        <v>0</v>
      </c>
      <c r="AK39" s="377">
        <v>0</v>
      </c>
      <c r="AL39" s="376">
        <v>0</v>
      </c>
      <c r="AM39" s="377">
        <v>0</v>
      </c>
      <c r="AN39" s="376">
        <v>0</v>
      </c>
      <c r="AO39" s="377">
        <v>0</v>
      </c>
      <c r="AP39" s="376">
        <v>0</v>
      </c>
      <c r="AQ39" s="377">
        <v>0</v>
      </c>
      <c r="AR39" s="376">
        <v>0</v>
      </c>
      <c r="AS39" s="377">
        <v>0</v>
      </c>
      <c r="AT39" s="376">
        <v>0</v>
      </c>
      <c r="AU39" s="377">
        <v>0</v>
      </c>
    </row>
    <row r="40" spans="1:47" ht="16.5" customHeight="1">
      <c r="A40" s="362"/>
      <c r="B40" s="368">
        <v>22</v>
      </c>
      <c r="C40" s="369" t="s">
        <v>79</v>
      </c>
      <c r="D40" s="374" t="s">
        <v>163</v>
      </c>
      <c r="E40" s="375">
        <v>17134</v>
      </c>
      <c r="F40" s="375">
        <v>6.3</v>
      </c>
      <c r="G40" s="371">
        <v>0</v>
      </c>
      <c r="H40" s="376">
        <v>43.23</v>
      </c>
      <c r="I40" s="377">
        <v>1</v>
      </c>
      <c r="J40" s="376">
        <v>32.799999999999997</v>
      </c>
      <c r="K40" s="377">
        <v>0.6</v>
      </c>
      <c r="L40" s="376">
        <v>28.15</v>
      </c>
      <c r="M40" s="377">
        <v>0.85000000000000009</v>
      </c>
      <c r="N40" s="376">
        <v>24.05</v>
      </c>
      <c r="O40" s="377">
        <v>0.60000000000000009</v>
      </c>
      <c r="P40" s="376">
        <v>57.5</v>
      </c>
      <c r="Q40" s="377">
        <v>1.05</v>
      </c>
      <c r="R40" s="376">
        <v>28.3</v>
      </c>
      <c r="S40" s="377">
        <v>0.3</v>
      </c>
      <c r="T40" s="376">
        <v>8.36</v>
      </c>
      <c r="U40" s="377">
        <v>0.26500000000000001</v>
      </c>
      <c r="V40" s="376">
        <v>12.51</v>
      </c>
      <c r="W40" s="377">
        <v>0.62</v>
      </c>
      <c r="X40" s="376">
        <v>2.5049999999999999</v>
      </c>
      <c r="Y40" s="377">
        <v>0.11</v>
      </c>
      <c r="Z40" s="376">
        <v>2.81</v>
      </c>
      <c r="AA40" s="377">
        <v>0</v>
      </c>
      <c r="AB40" s="376">
        <v>2.81</v>
      </c>
      <c r="AC40" s="377">
        <v>0</v>
      </c>
      <c r="AD40" s="376">
        <v>0</v>
      </c>
      <c r="AE40" s="377">
        <v>0</v>
      </c>
      <c r="AF40" s="376">
        <v>1.54</v>
      </c>
      <c r="AG40" s="377">
        <v>0</v>
      </c>
      <c r="AH40" s="376">
        <v>0.28999999999999998</v>
      </c>
      <c r="AI40" s="377">
        <v>0</v>
      </c>
      <c r="AJ40" s="376">
        <v>0</v>
      </c>
      <c r="AK40" s="377">
        <v>0</v>
      </c>
      <c r="AL40" s="376">
        <v>0.46</v>
      </c>
      <c r="AM40" s="377">
        <v>0</v>
      </c>
      <c r="AN40" s="376">
        <v>0</v>
      </c>
      <c r="AO40" s="377">
        <v>0</v>
      </c>
      <c r="AP40" s="376">
        <v>0.17</v>
      </c>
      <c r="AQ40" s="377">
        <v>0</v>
      </c>
      <c r="AR40" s="376">
        <v>0</v>
      </c>
      <c r="AS40" s="377">
        <v>0</v>
      </c>
      <c r="AT40" s="376">
        <v>0.33</v>
      </c>
      <c r="AU40" s="377">
        <v>0</v>
      </c>
    </row>
    <row r="41" spans="1:47" ht="16.5" customHeight="1">
      <c r="A41" s="362"/>
      <c r="B41" s="368">
        <v>23</v>
      </c>
      <c r="C41" s="369" t="s">
        <v>81</v>
      </c>
      <c r="D41" s="374" t="s">
        <v>305</v>
      </c>
      <c r="E41" s="375">
        <v>125697</v>
      </c>
      <c r="F41" s="375">
        <v>5.54</v>
      </c>
      <c r="G41" s="371">
        <v>0.73129999999999995</v>
      </c>
      <c r="H41" s="376">
        <v>31.92</v>
      </c>
      <c r="I41" s="377">
        <v>7.38</v>
      </c>
      <c r="J41" s="376">
        <v>24.63</v>
      </c>
      <c r="K41" s="377">
        <v>5.7</v>
      </c>
      <c r="L41" s="376">
        <v>28</v>
      </c>
      <c r="M41" s="377">
        <v>0.9</v>
      </c>
      <c r="N41" s="376">
        <v>21.5</v>
      </c>
      <c r="O41" s="377">
        <v>0.8</v>
      </c>
      <c r="P41" s="376">
        <v>38.04</v>
      </c>
      <c r="Q41" s="377">
        <v>3.73</v>
      </c>
      <c r="R41" s="376">
        <v>1.1000000000000001</v>
      </c>
      <c r="S41" s="377">
        <v>0</v>
      </c>
      <c r="T41" s="376">
        <v>10.32</v>
      </c>
      <c r="U41" s="377">
        <v>7.0000000000000007E-2</v>
      </c>
      <c r="V41" s="376">
        <v>10.01</v>
      </c>
      <c r="W41" s="377">
        <v>0.09</v>
      </c>
      <c r="X41" s="376">
        <v>4</v>
      </c>
      <c r="Y41" s="377">
        <v>7.0000000000000007E-2</v>
      </c>
      <c r="Z41" s="376">
        <v>0.53</v>
      </c>
      <c r="AA41" s="377">
        <v>0</v>
      </c>
      <c r="AB41" s="376">
        <v>0.54</v>
      </c>
      <c r="AC41" s="377">
        <v>0</v>
      </c>
      <c r="AD41" s="376">
        <v>0.01</v>
      </c>
      <c r="AE41" s="377">
        <v>0</v>
      </c>
      <c r="AF41" s="376">
        <v>0.28000000000000003</v>
      </c>
      <c r="AG41" s="377">
        <v>0</v>
      </c>
      <c r="AH41" s="376">
        <v>0.15</v>
      </c>
      <c r="AI41" s="377">
        <v>0</v>
      </c>
      <c r="AJ41" s="376">
        <v>0.01</v>
      </c>
      <c r="AK41" s="377">
        <v>0</v>
      </c>
      <c r="AL41" s="376">
        <v>0.06</v>
      </c>
      <c r="AM41" s="377">
        <v>0</v>
      </c>
      <c r="AN41" s="376">
        <v>0.01</v>
      </c>
      <c r="AO41" s="377">
        <v>0</v>
      </c>
      <c r="AP41" s="376">
        <v>0.02</v>
      </c>
      <c r="AQ41" s="377">
        <v>0</v>
      </c>
      <c r="AR41" s="376">
        <v>0</v>
      </c>
      <c r="AS41" s="377">
        <v>0</v>
      </c>
      <c r="AT41" s="376">
        <v>0.01</v>
      </c>
      <c r="AU41" s="377">
        <v>0</v>
      </c>
    </row>
    <row r="42" spans="1:47" ht="16.5" customHeight="1">
      <c r="A42" s="362"/>
      <c r="B42" s="378"/>
      <c r="C42" s="379" t="s">
        <v>306</v>
      </c>
      <c r="D42" s="374" t="s">
        <v>227</v>
      </c>
      <c r="E42" s="375">
        <v>125697</v>
      </c>
      <c r="F42" s="375">
        <v>6.6</v>
      </c>
      <c r="G42" s="371">
        <v>0.5575</v>
      </c>
      <c r="H42" s="376">
        <v>29.87</v>
      </c>
      <c r="I42" s="377">
        <v>7.45</v>
      </c>
      <c r="J42" s="376">
        <v>21.93</v>
      </c>
      <c r="K42" s="377">
        <v>5.37</v>
      </c>
      <c r="L42" s="376">
        <v>25.4</v>
      </c>
      <c r="M42" s="377">
        <v>2.8</v>
      </c>
      <c r="N42" s="376">
        <v>18.600000000000001</v>
      </c>
      <c r="O42" s="377">
        <v>1.8</v>
      </c>
      <c r="P42" s="376">
        <v>31.31</v>
      </c>
      <c r="Q42" s="377">
        <v>0.38</v>
      </c>
      <c r="R42" s="376">
        <v>0.4</v>
      </c>
      <c r="S42" s="377">
        <v>0.1</v>
      </c>
      <c r="T42" s="376">
        <v>7.48</v>
      </c>
      <c r="U42" s="377">
        <v>0.51</v>
      </c>
      <c r="V42" s="376">
        <v>9.86</v>
      </c>
      <c r="W42" s="377">
        <v>0.35</v>
      </c>
      <c r="X42" s="376">
        <v>1.47</v>
      </c>
      <c r="Y42" s="377">
        <v>0.04</v>
      </c>
      <c r="Z42" s="376">
        <v>0</v>
      </c>
      <c r="AA42" s="377">
        <v>0</v>
      </c>
      <c r="AB42" s="376">
        <v>0</v>
      </c>
      <c r="AC42" s="377">
        <v>0</v>
      </c>
      <c r="AD42" s="376">
        <v>0</v>
      </c>
      <c r="AE42" s="377">
        <v>0</v>
      </c>
      <c r="AF42" s="376">
        <v>0</v>
      </c>
      <c r="AG42" s="377">
        <v>0</v>
      </c>
      <c r="AH42" s="376">
        <v>0</v>
      </c>
      <c r="AI42" s="377">
        <v>0</v>
      </c>
      <c r="AJ42" s="376">
        <v>0</v>
      </c>
      <c r="AK42" s="377">
        <v>0</v>
      </c>
      <c r="AL42" s="376">
        <v>0</v>
      </c>
      <c r="AM42" s="377">
        <v>0</v>
      </c>
      <c r="AN42" s="376">
        <v>0</v>
      </c>
      <c r="AO42" s="377">
        <v>0</v>
      </c>
      <c r="AP42" s="376">
        <v>0</v>
      </c>
      <c r="AQ42" s="377">
        <v>0</v>
      </c>
      <c r="AR42" s="376">
        <v>0</v>
      </c>
      <c r="AS42" s="377">
        <v>0</v>
      </c>
      <c r="AT42" s="376">
        <v>0</v>
      </c>
      <c r="AU42" s="377">
        <v>0</v>
      </c>
    </row>
    <row r="43" spans="1:47" ht="16.5" customHeight="1">
      <c r="A43" s="362"/>
      <c r="B43" s="378"/>
      <c r="C43" s="379" t="s">
        <v>306</v>
      </c>
      <c r="D43" s="374" t="s">
        <v>123</v>
      </c>
      <c r="E43" s="375">
        <v>46573</v>
      </c>
      <c r="F43" s="375">
        <v>3.8</v>
      </c>
      <c r="G43" s="371" t="s">
        <v>46</v>
      </c>
      <c r="H43" s="376" t="s">
        <v>46</v>
      </c>
      <c r="I43" s="377" t="s">
        <v>46</v>
      </c>
      <c r="J43" s="376" t="s">
        <v>46</v>
      </c>
      <c r="K43" s="377" t="s">
        <v>46</v>
      </c>
      <c r="L43" s="376" t="s">
        <v>46</v>
      </c>
      <c r="M43" s="377" t="s">
        <v>46</v>
      </c>
      <c r="N43" s="376" t="s">
        <v>46</v>
      </c>
      <c r="O43" s="377" t="s">
        <v>46</v>
      </c>
      <c r="P43" s="376" t="s">
        <v>46</v>
      </c>
      <c r="Q43" s="377" t="s">
        <v>46</v>
      </c>
      <c r="R43" s="376" t="s">
        <v>46</v>
      </c>
      <c r="S43" s="377" t="s">
        <v>46</v>
      </c>
      <c r="T43" s="376" t="s">
        <v>46</v>
      </c>
      <c r="U43" s="377" t="s">
        <v>46</v>
      </c>
      <c r="V43" s="376" t="s">
        <v>46</v>
      </c>
      <c r="W43" s="377" t="s">
        <v>46</v>
      </c>
      <c r="X43" s="376" t="s">
        <v>46</v>
      </c>
      <c r="Y43" s="377" t="s">
        <v>46</v>
      </c>
      <c r="Z43" s="376" t="s">
        <v>46</v>
      </c>
      <c r="AA43" s="377" t="s">
        <v>46</v>
      </c>
      <c r="AB43" s="376" t="s">
        <v>46</v>
      </c>
      <c r="AC43" s="377" t="s">
        <v>46</v>
      </c>
      <c r="AD43" s="376" t="s">
        <v>46</v>
      </c>
      <c r="AE43" s="377" t="s">
        <v>46</v>
      </c>
      <c r="AF43" s="376" t="s">
        <v>46</v>
      </c>
      <c r="AG43" s="377" t="s">
        <v>46</v>
      </c>
      <c r="AH43" s="376" t="s">
        <v>46</v>
      </c>
      <c r="AI43" s="377" t="s">
        <v>46</v>
      </c>
      <c r="AJ43" s="376" t="s">
        <v>46</v>
      </c>
      <c r="AK43" s="377" t="s">
        <v>46</v>
      </c>
      <c r="AL43" s="376" t="s">
        <v>46</v>
      </c>
      <c r="AM43" s="377" t="s">
        <v>46</v>
      </c>
      <c r="AN43" s="376" t="s">
        <v>46</v>
      </c>
      <c r="AO43" s="377" t="s">
        <v>46</v>
      </c>
      <c r="AP43" s="376" t="s">
        <v>46</v>
      </c>
      <c r="AQ43" s="377" t="s">
        <v>46</v>
      </c>
      <c r="AR43" s="376" t="s">
        <v>46</v>
      </c>
      <c r="AS43" s="377" t="s">
        <v>46</v>
      </c>
      <c r="AT43" s="376" t="s">
        <v>46</v>
      </c>
      <c r="AU43" s="377" t="s">
        <v>46</v>
      </c>
    </row>
    <row r="44" spans="1:47" ht="16.5" customHeight="1">
      <c r="A44" s="362"/>
      <c r="B44" s="378"/>
      <c r="C44" s="379"/>
      <c r="D44" s="380" t="s">
        <v>320</v>
      </c>
      <c r="E44" s="381"/>
      <c r="F44" s="381">
        <v>4.5834448231325604</v>
      </c>
      <c r="G44" s="381" t="s">
        <v>46</v>
      </c>
      <c r="H44" s="382" t="s">
        <v>46</v>
      </c>
      <c r="I44" s="383" t="s">
        <v>46</v>
      </c>
      <c r="J44" s="382" t="s">
        <v>46</v>
      </c>
      <c r="K44" s="383" t="s">
        <v>46</v>
      </c>
      <c r="L44" s="382" t="s">
        <v>46</v>
      </c>
      <c r="M44" s="383" t="s">
        <v>46</v>
      </c>
      <c r="N44" s="382" t="s">
        <v>46</v>
      </c>
      <c r="O44" s="383" t="s">
        <v>46</v>
      </c>
      <c r="P44" s="382" t="s">
        <v>46</v>
      </c>
      <c r="Q44" s="383" t="s">
        <v>46</v>
      </c>
      <c r="R44" s="382" t="s">
        <v>46</v>
      </c>
      <c r="S44" s="383" t="s">
        <v>46</v>
      </c>
      <c r="T44" s="382" t="s">
        <v>46</v>
      </c>
      <c r="U44" s="383" t="s">
        <v>46</v>
      </c>
      <c r="V44" s="382" t="s">
        <v>46</v>
      </c>
      <c r="W44" s="383" t="s">
        <v>46</v>
      </c>
      <c r="X44" s="382" t="s">
        <v>46</v>
      </c>
      <c r="Y44" s="383" t="s">
        <v>46</v>
      </c>
      <c r="Z44" s="382" t="s">
        <v>46</v>
      </c>
      <c r="AA44" s="383" t="s">
        <v>46</v>
      </c>
      <c r="AB44" s="382" t="s">
        <v>46</v>
      </c>
      <c r="AC44" s="383" t="s">
        <v>46</v>
      </c>
      <c r="AD44" s="382" t="s">
        <v>46</v>
      </c>
      <c r="AE44" s="383" t="s">
        <v>46</v>
      </c>
      <c r="AF44" s="382" t="s">
        <v>46</v>
      </c>
      <c r="AG44" s="383" t="s">
        <v>46</v>
      </c>
      <c r="AH44" s="382" t="s">
        <v>46</v>
      </c>
      <c r="AI44" s="383" t="s">
        <v>46</v>
      </c>
      <c r="AJ44" s="382" t="s">
        <v>46</v>
      </c>
      <c r="AK44" s="383" t="s">
        <v>46</v>
      </c>
      <c r="AL44" s="382" t="s">
        <v>46</v>
      </c>
      <c r="AM44" s="383" t="s">
        <v>46</v>
      </c>
      <c r="AN44" s="382" t="s">
        <v>46</v>
      </c>
      <c r="AO44" s="383" t="s">
        <v>46</v>
      </c>
      <c r="AP44" s="382" t="s">
        <v>46</v>
      </c>
      <c r="AQ44" s="383" t="s">
        <v>46</v>
      </c>
      <c r="AR44" s="382" t="s">
        <v>46</v>
      </c>
      <c r="AS44" s="383" t="s">
        <v>46</v>
      </c>
      <c r="AT44" s="382" t="s">
        <v>46</v>
      </c>
      <c r="AU44" s="383" t="s">
        <v>46</v>
      </c>
    </row>
    <row r="45" spans="1:47" ht="16.5" customHeight="1">
      <c r="A45" s="362"/>
      <c r="B45" s="368">
        <v>24</v>
      </c>
      <c r="C45" s="369" t="s">
        <v>82</v>
      </c>
      <c r="D45" s="374" t="s">
        <v>196</v>
      </c>
      <c r="E45" s="375">
        <v>39709</v>
      </c>
      <c r="F45" s="375">
        <v>4.4800000000000004</v>
      </c>
      <c r="G45" s="371">
        <v>0.45700000000000002</v>
      </c>
      <c r="H45" s="376">
        <v>25.35</v>
      </c>
      <c r="I45" s="377">
        <v>1.2</v>
      </c>
      <c r="J45" s="376">
        <v>22.57</v>
      </c>
      <c r="K45" s="377">
        <v>1.04</v>
      </c>
      <c r="L45" s="376">
        <v>22.3</v>
      </c>
      <c r="M45" s="377">
        <v>1.1000000000000001</v>
      </c>
      <c r="N45" s="376">
        <v>20.2</v>
      </c>
      <c r="O45" s="377">
        <v>0.8</v>
      </c>
      <c r="P45" s="376">
        <v>42.35</v>
      </c>
      <c r="Q45" s="377">
        <v>2.96</v>
      </c>
      <c r="R45" s="376">
        <v>3.2</v>
      </c>
      <c r="S45" s="377">
        <v>0.1</v>
      </c>
      <c r="T45" s="376">
        <v>13.22</v>
      </c>
      <c r="U45" s="377">
        <v>0.25</v>
      </c>
      <c r="V45" s="376">
        <v>9.98</v>
      </c>
      <c r="W45" s="377">
        <v>0.08</v>
      </c>
      <c r="X45" s="376">
        <v>6.52</v>
      </c>
      <c r="Y45" s="377">
        <v>0.67</v>
      </c>
      <c r="Z45" s="376">
        <v>1.86</v>
      </c>
      <c r="AA45" s="377">
        <v>0</v>
      </c>
      <c r="AB45" s="376">
        <v>1.87</v>
      </c>
      <c r="AC45" s="377">
        <v>0.01</v>
      </c>
      <c r="AD45" s="376">
        <v>0.01</v>
      </c>
      <c r="AE45" s="377">
        <v>0</v>
      </c>
      <c r="AF45" s="376">
        <v>0.82</v>
      </c>
      <c r="AG45" s="377">
        <v>0</v>
      </c>
      <c r="AH45" s="376">
        <v>0.63</v>
      </c>
      <c r="AI45" s="377">
        <v>0</v>
      </c>
      <c r="AJ45" s="376">
        <v>0.02</v>
      </c>
      <c r="AK45" s="377">
        <v>0</v>
      </c>
      <c r="AL45" s="376">
        <v>0.28000000000000003</v>
      </c>
      <c r="AM45" s="377">
        <v>0</v>
      </c>
      <c r="AN45" s="376">
        <v>0.02</v>
      </c>
      <c r="AO45" s="377">
        <v>0</v>
      </c>
      <c r="AP45" s="376">
        <v>0.08</v>
      </c>
      <c r="AQ45" s="377">
        <v>0</v>
      </c>
      <c r="AR45" s="376">
        <v>0</v>
      </c>
      <c r="AS45" s="377">
        <v>0</v>
      </c>
      <c r="AT45" s="376">
        <v>0.02</v>
      </c>
      <c r="AU45" s="377">
        <v>0</v>
      </c>
    </row>
    <row r="46" spans="1:47" ht="16.5" customHeight="1">
      <c r="A46" s="362"/>
      <c r="B46" s="368">
        <v>25</v>
      </c>
      <c r="C46" s="369" t="s">
        <v>84</v>
      </c>
      <c r="D46" s="374" t="s">
        <v>227</v>
      </c>
      <c r="E46" s="375">
        <v>100200</v>
      </c>
      <c r="F46" s="375">
        <v>6.38</v>
      </c>
      <c r="G46" s="371">
        <v>2.7</v>
      </c>
      <c r="H46" s="376">
        <v>11.72</v>
      </c>
      <c r="I46" s="377">
        <v>7.0000000000000007E-2</v>
      </c>
      <c r="J46" s="376">
        <v>9.02</v>
      </c>
      <c r="K46" s="377">
        <v>0.12</v>
      </c>
      <c r="L46" s="376">
        <v>11.1</v>
      </c>
      <c r="M46" s="377">
        <v>0.1</v>
      </c>
      <c r="N46" s="376">
        <v>9.1</v>
      </c>
      <c r="O46" s="377">
        <v>0.1</v>
      </c>
      <c r="P46" s="376">
        <v>17.04</v>
      </c>
      <c r="Q46" s="377">
        <v>1.5</v>
      </c>
      <c r="R46" s="376">
        <v>0.7</v>
      </c>
      <c r="S46" s="377">
        <v>0</v>
      </c>
      <c r="T46" s="376">
        <v>5.42</v>
      </c>
      <c r="U46" s="377">
        <v>0.15</v>
      </c>
      <c r="V46" s="376">
        <v>14.59</v>
      </c>
      <c r="W46" s="377">
        <v>0.56999999999999995</v>
      </c>
      <c r="X46" s="376">
        <v>1.83</v>
      </c>
      <c r="Y46" s="377">
        <v>0.25</v>
      </c>
      <c r="Z46" s="376">
        <v>0.03</v>
      </c>
      <c r="AA46" s="377">
        <v>0</v>
      </c>
      <c r="AB46" s="376">
        <v>0.03</v>
      </c>
      <c r="AC46" s="377">
        <v>0</v>
      </c>
      <c r="AD46" s="376">
        <v>0</v>
      </c>
      <c r="AE46" s="377">
        <v>0</v>
      </c>
      <c r="AF46" s="376">
        <v>0.01</v>
      </c>
      <c r="AG46" s="377">
        <v>0</v>
      </c>
      <c r="AH46" s="376">
        <v>0.01</v>
      </c>
      <c r="AI46" s="377">
        <v>0</v>
      </c>
      <c r="AJ46" s="376">
        <v>0</v>
      </c>
      <c r="AK46" s="377">
        <v>0</v>
      </c>
      <c r="AL46" s="376">
        <v>0</v>
      </c>
      <c r="AM46" s="377">
        <v>0</v>
      </c>
      <c r="AN46" s="376">
        <v>0</v>
      </c>
      <c r="AO46" s="377">
        <v>0</v>
      </c>
      <c r="AP46" s="376">
        <v>0</v>
      </c>
      <c r="AQ46" s="377">
        <v>0</v>
      </c>
      <c r="AR46" s="376">
        <v>0</v>
      </c>
      <c r="AS46" s="377">
        <v>0</v>
      </c>
      <c r="AT46" s="376">
        <v>0</v>
      </c>
      <c r="AU46" s="377">
        <v>0</v>
      </c>
    </row>
    <row r="47" spans="1:47" ht="16.5" customHeight="1">
      <c r="A47" s="362"/>
      <c r="B47" s="368">
        <v>26</v>
      </c>
      <c r="C47" s="369" t="s">
        <v>85</v>
      </c>
      <c r="D47" s="374" t="s">
        <v>240</v>
      </c>
      <c r="E47" s="375">
        <v>124168</v>
      </c>
      <c r="F47" s="375">
        <v>8.84</v>
      </c>
      <c r="G47" s="371">
        <v>4.5433000000000003</v>
      </c>
      <c r="H47" s="376">
        <v>35.950000000000003</v>
      </c>
      <c r="I47" s="377">
        <v>2.0499999999999998</v>
      </c>
      <c r="J47" s="376">
        <v>25.83</v>
      </c>
      <c r="K47" s="377">
        <v>1.6</v>
      </c>
      <c r="L47" s="376">
        <v>40</v>
      </c>
      <c r="M47" s="377">
        <v>3.3</v>
      </c>
      <c r="N47" s="376">
        <v>28.9</v>
      </c>
      <c r="O47" s="377">
        <v>2.2999999999999998</v>
      </c>
      <c r="P47" s="376">
        <v>49.44</v>
      </c>
      <c r="Q47" s="377">
        <v>0.66</v>
      </c>
      <c r="R47" s="376">
        <v>9.9</v>
      </c>
      <c r="S47" s="377">
        <v>0.1</v>
      </c>
      <c r="T47" s="376">
        <v>12.56</v>
      </c>
      <c r="U47" s="377">
        <v>0.73</v>
      </c>
      <c r="V47" s="376">
        <v>31.77</v>
      </c>
      <c r="W47" s="377">
        <v>0.4</v>
      </c>
      <c r="X47" s="376">
        <v>3.92</v>
      </c>
      <c r="Y47" s="377">
        <v>0.18</v>
      </c>
      <c r="Z47" s="376">
        <v>0.04</v>
      </c>
      <c r="AA47" s="377">
        <v>0.01</v>
      </c>
      <c r="AB47" s="376">
        <v>0.08</v>
      </c>
      <c r="AC47" s="377">
        <v>0.01</v>
      </c>
      <c r="AD47" s="376">
        <v>0.04</v>
      </c>
      <c r="AE47" s="377">
        <v>0</v>
      </c>
      <c r="AF47" s="376">
        <v>0.04</v>
      </c>
      <c r="AG47" s="377">
        <v>0.01</v>
      </c>
      <c r="AH47" s="376">
        <v>0</v>
      </c>
      <c r="AI47" s="377">
        <v>0</v>
      </c>
      <c r="AJ47" s="376">
        <v>0</v>
      </c>
      <c r="AK47" s="377">
        <v>0</v>
      </c>
      <c r="AL47" s="376">
        <v>0</v>
      </c>
      <c r="AM47" s="377">
        <v>0</v>
      </c>
      <c r="AN47" s="376">
        <v>0</v>
      </c>
      <c r="AO47" s="377">
        <v>0</v>
      </c>
      <c r="AP47" s="376">
        <v>0</v>
      </c>
      <c r="AQ47" s="377">
        <v>0</v>
      </c>
      <c r="AR47" s="376">
        <v>0</v>
      </c>
      <c r="AS47" s="377">
        <v>0</v>
      </c>
      <c r="AT47" s="376">
        <v>0</v>
      </c>
      <c r="AU47" s="377">
        <v>0</v>
      </c>
    </row>
    <row r="48" spans="1:47" ht="16.5" customHeight="1">
      <c r="A48" s="362"/>
      <c r="B48" s="393">
        <v>27</v>
      </c>
      <c r="C48" s="386" t="s">
        <v>86</v>
      </c>
      <c r="D48" s="374" t="s">
        <v>192</v>
      </c>
      <c r="E48" s="375">
        <v>25578</v>
      </c>
      <c r="F48" s="375">
        <v>3.41</v>
      </c>
      <c r="G48" s="375" t="s">
        <v>46</v>
      </c>
      <c r="H48" s="376">
        <v>87.62</v>
      </c>
      <c r="I48" s="377">
        <v>2.95</v>
      </c>
      <c r="J48" s="376">
        <v>76.13</v>
      </c>
      <c r="K48" s="377">
        <v>2.5499999999999998</v>
      </c>
      <c r="L48" s="376">
        <v>49.1</v>
      </c>
      <c r="M48" s="377">
        <v>1.3</v>
      </c>
      <c r="N48" s="376">
        <v>47.4</v>
      </c>
      <c r="O48" s="377">
        <v>0.9</v>
      </c>
      <c r="P48" s="376">
        <v>141.24</v>
      </c>
      <c r="Q48" s="377">
        <v>1.98</v>
      </c>
      <c r="R48" s="376">
        <v>91.9</v>
      </c>
      <c r="S48" s="377">
        <v>0.3</v>
      </c>
      <c r="T48" s="376">
        <v>25.24</v>
      </c>
      <c r="U48" s="377">
        <v>0.06</v>
      </c>
      <c r="V48" s="376">
        <v>18.489999999999998</v>
      </c>
      <c r="W48" s="377">
        <v>0.73</v>
      </c>
      <c r="X48" s="376">
        <v>8.5549999999999997</v>
      </c>
      <c r="Y48" s="377">
        <v>0.67500000000000004</v>
      </c>
      <c r="Z48" s="376">
        <v>3.02</v>
      </c>
      <c r="AA48" s="377">
        <v>0</v>
      </c>
      <c r="AB48" s="376">
        <v>3.02</v>
      </c>
      <c r="AC48" s="377">
        <v>0</v>
      </c>
      <c r="AD48" s="376">
        <v>0</v>
      </c>
      <c r="AE48" s="377">
        <v>0</v>
      </c>
      <c r="AF48" s="376">
        <v>3.02</v>
      </c>
      <c r="AG48" s="377">
        <v>0</v>
      </c>
      <c r="AH48" s="376">
        <v>0</v>
      </c>
      <c r="AI48" s="377">
        <v>0</v>
      </c>
      <c r="AJ48" s="376">
        <v>0</v>
      </c>
      <c r="AK48" s="377">
        <v>0</v>
      </c>
      <c r="AL48" s="376">
        <v>0</v>
      </c>
      <c r="AM48" s="377">
        <v>0</v>
      </c>
      <c r="AN48" s="376">
        <v>0</v>
      </c>
      <c r="AO48" s="377">
        <v>0</v>
      </c>
      <c r="AP48" s="376">
        <v>0</v>
      </c>
      <c r="AQ48" s="377">
        <v>0</v>
      </c>
      <c r="AR48" s="376">
        <v>0</v>
      </c>
      <c r="AS48" s="377">
        <v>0</v>
      </c>
      <c r="AT48" s="376">
        <v>0</v>
      </c>
      <c r="AU48" s="377">
        <v>0</v>
      </c>
    </row>
    <row r="49" spans="1:47" ht="16.5" customHeight="1">
      <c r="A49" s="362"/>
      <c r="B49" s="368">
        <v>28</v>
      </c>
      <c r="C49" s="369" t="s">
        <v>87</v>
      </c>
      <c r="D49" s="374" t="s">
        <v>187</v>
      </c>
      <c r="E49" s="375">
        <v>23843</v>
      </c>
      <c r="F49" s="375">
        <v>5.15</v>
      </c>
      <c r="G49" s="371">
        <v>3.262</v>
      </c>
      <c r="H49" s="376">
        <v>71.97</v>
      </c>
      <c r="I49" s="377">
        <v>0.19</v>
      </c>
      <c r="J49" s="376">
        <v>61.45</v>
      </c>
      <c r="K49" s="377">
        <v>0.45</v>
      </c>
      <c r="L49" s="376">
        <v>50.1</v>
      </c>
      <c r="M49" s="377">
        <v>3.2</v>
      </c>
      <c r="N49" s="376">
        <v>44.8</v>
      </c>
      <c r="O49" s="377">
        <v>3.5</v>
      </c>
      <c r="P49" s="376">
        <v>110.5</v>
      </c>
      <c r="Q49" s="377">
        <v>4.46</v>
      </c>
      <c r="R49" s="376">
        <v>43.5</v>
      </c>
      <c r="S49" s="377">
        <v>0.1</v>
      </c>
      <c r="T49" s="376">
        <v>51.25</v>
      </c>
      <c r="U49" s="377">
        <v>1.99</v>
      </c>
      <c r="V49" s="376">
        <v>25.28</v>
      </c>
      <c r="W49" s="377">
        <v>0.92</v>
      </c>
      <c r="X49" s="376">
        <v>11.3</v>
      </c>
      <c r="Y49" s="377">
        <v>0.49</v>
      </c>
      <c r="Z49" s="376">
        <v>4.47</v>
      </c>
      <c r="AA49" s="377">
        <v>0.14000000000000001</v>
      </c>
      <c r="AB49" s="376">
        <v>5.54</v>
      </c>
      <c r="AC49" s="377">
        <v>0.17</v>
      </c>
      <c r="AD49" s="376">
        <v>1.08</v>
      </c>
      <c r="AE49" s="377">
        <v>0.02</v>
      </c>
      <c r="AF49" s="376">
        <v>2.57</v>
      </c>
      <c r="AG49" s="377">
        <v>0.06</v>
      </c>
      <c r="AH49" s="376">
        <v>0.72</v>
      </c>
      <c r="AI49" s="377">
        <v>0.02</v>
      </c>
      <c r="AJ49" s="376">
        <v>0.11</v>
      </c>
      <c r="AK49" s="377">
        <v>0</v>
      </c>
      <c r="AL49" s="376">
        <v>0.48</v>
      </c>
      <c r="AM49" s="377">
        <v>0.01</v>
      </c>
      <c r="AN49" s="376">
        <v>0.2</v>
      </c>
      <c r="AO49" s="377">
        <v>0.03</v>
      </c>
      <c r="AP49" s="376">
        <v>0.22</v>
      </c>
      <c r="AQ49" s="377">
        <v>0.01</v>
      </c>
      <c r="AR49" s="376">
        <v>0</v>
      </c>
      <c r="AS49" s="377">
        <v>0</v>
      </c>
      <c r="AT49" s="376">
        <v>0.17</v>
      </c>
      <c r="AU49" s="377">
        <v>0.01</v>
      </c>
    </row>
    <row r="50" spans="1:47" ht="16.5" customHeight="1">
      <c r="A50" s="357"/>
      <c r="B50" s="368">
        <v>29</v>
      </c>
      <c r="C50" s="411" t="s">
        <v>88</v>
      </c>
      <c r="D50" s="374" t="s">
        <v>216</v>
      </c>
      <c r="E50" s="375">
        <v>5978</v>
      </c>
      <c r="F50" s="375">
        <v>5.69</v>
      </c>
      <c r="G50" s="371">
        <v>1.1160000000000001</v>
      </c>
      <c r="H50" s="376">
        <v>40.28</v>
      </c>
      <c r="I50" s="377">
        <v>0.97</v>
      </c>
      <c r="J50" s="376">
        <v>29.03</v>
      </c>
      <c r="K50" s="377">
        <v>0.56999999999999995</v>
      </c>
      <c r="L50" s="376">
        <v>47.4</v>
      </c>
      <c r="M50" s="377">
        <v>2.2999999999999998</v>
      </c>
      <c r="N50" s="376">
        <v>35.299999999999997</v>
      </c>
      <c r="O50" s="377">
        <v>2.1</v>
      </c>
      <c r="P50" s="376">
        <v>50.07</v>
      </c>
      <c r="Q50" s="377">
        <v>4.96</v>
      </c>
      <c r="R50" s="376">
        <v>3.1</v>
      </c>
      <c r="S50" s="377">
        <v>0</v>
      </c>
      <c r="T50" s="376">
        <v>13.14</v>
      </c>
      <c r="U50" s="377">
        <v>0.06</v>
      </c>
      <c r="V50" s="376">
        <v>13.62</v>
      </c>
      <c r="W50" s="377">
        <v>0.38</v>
      </c>
      <c r="X50" s="376">
        <v>8.6999999999999993</v>
      </c>
      <c r="Y50" s="377">
        <v>0.21</v>
      </c>
      <c r="Z50" s="376">
        <v>0</v>
      </c>
      <c r="AA50" s="377">
        <v>0</v>
      </c>
      <c r="AB50" s="376">
        <v>0</v>
      </c>
      <c r="AC50" s="377">
        <v>0</v>
      </c>
      <c r="AD50" s="376">
        <v>0</v>
      </c>
      <c r="AE50" s="377">
        <v>0</v>
      </c>
      <c r="AF50" s="376">
        <v>0</v>
      </c>
      <c r="AG50" s="377">
        <v>0</v>
      </c>
      <c r="AH50" s="376">
        <v>0</v>
      </c>
      <c r="AI50" s="377">
        <v>0</v>
      </c>
      <c r="AJ50" s="376">
        <v>0</v>
      </c>
      <c r="AK50" s="377">
        <v>0</v>
      </c>
      <c r="AL50" s="376">
        <v>0</v>
      </c>
      <c r="AM50" s="377">
        <v>0</v>
      </c>
      <c r="AN50" s="376">
        <v>0</v>
      </c>
      <c r="AO50" s="377">
        <v>0</v>
      </c>
      <c r="AP50" s="376">
        <v>0</v>
      </c>
      <c r="AQ50" s="377">
        <v>0</v>
      </c>
      <c r="AR50" s="376">
        <v>0</v>
      </c>
      <c r="AS50" s="377">
        <v>0</v>
      </c>
      <c r="AT50" s="376">
        <v>0</v>
      </c>
      <c r="AU50" s="377">
        <v>0</v>
      </c>
    </row>
    <row r="51" spans="1:47" ht="16.5" customHeight="1">
      <c r="A51" s="357"/>
      <c r="B51" s="378"/>
      <c r="C51" s="412"/>
      <c r="D51" s="374" t="s">
        <v>227</v>
      </c>
      <c r="E51" s="375">
        <v>9254</v>
      </c>
      <c r="F51" s="375">
        <v>6.07</v>
      </c>
      <c r="G51" s="371">
        <v>2.09</v>
      </c>
      <c r="H51" s="376">
        <v>50.08</v>
      </c>
      <c r="I51" s="377">
        <v>9.7799999999999994</v>
      </c>
      <c r="J51" s="376">
        <v>38.299999999999997</v>
      </c>
      <c r="K51" s="377">
        <v>7.45</v>
      </c>
      <c r="L51" s="376">
        <v>64.5</v>
      </c>
      <c r="M51" s="377">
        <v>0.4</v>
      </c>
      <c r="N51" s="376">
        <v>49.7</v>
      </c>
      <c r="O51" s="377">
        <v>0.2</v>
      </c>
      <c r="P51" s="376">
        <v>83.96</v>
      </c>
      <c r="Q51" s="377">
        <v>1.36</v>
      </c>
      <c r="R51" s="376">
        <v>8.1</v>
      </c>
      <c r="S51" s="377">
        <v>0</v>
      </c>
      <c r="T51" s="376">
        <v>20.14</v>
      </c>
      <c r="U51" s="377">
        <v>1.62</v>
      </c>
      <c r="V51" s="376">
        <v>14.45</v>
      </c>
      <c r="W51" s="377">
        <v>0.63</v>
      </c>
      <c r="X51" s="376">
        <v>0</v>
      </c>
      <c r="Y51" s="377">
        <v>0</v>
      </c>
      <c r="Z51" s="376">
        <v>0.16</v>
      </c>
      <c r="AA51" s="377">
        <v>0</v>
      </c>
      <c r="AB51" s="376">
        <v>0.16</v>
      </c>
      <c r="AC51" s="377">
        <v>0</v>
      </c>
      <c r="AD51" s="376">
        <v>0</v>
      </c>
      <c r="AE51" s="377">
        <v>0</v>
      </c>
      <c r="AF51" s="376">
        <v>0</v>
      </c>
      <c r="AG51" s="377">
        <v>0</v>
      </c>
      <c r="AH51" s="376">
        <v>0</v>
      </c>
      <c r="AI51" s="377">
        <v>0</v>
      </c>
      <c r="AJ51" s="376">
        <v>0.03</v>
      </c>
      <c r="AK51" s="377">
        <v>0</v>
      </c>
      <c r="AL51" s="376">
        <v>0</v>
      </c>
      <c r="AM51" s="377">
        <v>0</v>
      </c>
      <c r="AN51" s="376">
        <v>0.11</v>
      </c>
      <c r="AO51" s="377">
        <v>0</v>
      </c>
      <c r="AP51" s="376">
        <v>0.01</v>
      </c>
      <c r="AQ51" s="377">
        <v>0</v>
      </c>
      <c r="AR51" s="376">
        <v>0</v>
      </c>
      <c r="AS51" s="377">
        <v>0</v>
      </c>
      <c r="AT51" s="376">
        <v>0</v>
      </c>
      <c r="AU51" s="377">
        <v>0</v>
      </c>
    </row>
    <row r="52" spans="1:47" ht="16.5" customHeight="1">
      <c r="A52" s="362"/>
      <c r="B52" s="378"/>
      <c r="C52" s="412" t="s">
        <v>306</v>
      </c>
      <c r="D52" s="374" t="s">
        <v>192</v>
      </c>
      <c r="E52" s="375">
        <v>29881</v>
      </c>
      <c r="F52" s="375">
        <v>3.99</v>
      </c>
      <c r="G52" s="371">
        <v>0</v>
      </c>
      <c r="H52" s="376">
        <v>51.02</v>
      </c>
      <c r="I52" s="377">
        <v>2.1</v>
      </c>
      <c r="J52" s="376">
        <v>42.78</v>
      </c>
      <c r="K52" s="377">
        <v>2.0499999999999998</v>
      </c>
      <c r="L52" s="376">
        <v>37.5</v>
      </c>
      <c r="M52" s="377">
        <v>2.2999999999999998</v>
      </c>
      <c r="N52" s="376">
        <v>35.1</v>
      </c>
      <c r="O52" s="377">
        <v>1.4</v>
      </c>
      <c r="P52" s="376">
        <v>84.66</v>
      </c>
      <c r="Q52" s="377">
        <v>2.29</v>
      </c>
      <c r="R52" s="376">
        <v>36.700000000000003</v>
      </c>
      <c r="S52" s="377">
        <v>2.4</v>
      </c>
      <c r="T52" s="376">
        <v>19.16</v>
      </c>
      <c r="U52" s="377">
        <v>0.94</v>
      </c>
      <c r="V52" s="376">
        <v>15.43</v>
      </c>
      <c r="W52" s="377">
        <v>0.11</v>
      </c>
      <c r="X52" s="376">
        <v>0</v>
      </c>
      <c r="Y52" s="377">
        <v>0</v>
      </c>
      <c r="Z52" s="376">
        <v>0.94</v>
      </c>
      <c r="AA52" s="377">
        <v>0</v>
      </c>
      <c r="AB52" s="376">
        <v>0.94</v>
      </c>
      <c r="AC52" s="377">
        <v>0</v>
      </c>
      <c r="AD52" s="376">
        <v>0</v>
      </c>
      <c r="AE52" s="377">
        <v>0</v>
      </c>
      <c r="AF52" s="376">
        <v>0.94</v>
      </c>
      <c r="AG52" s="377">
        <v>0</v>
      </c>
      <c r="AH52" s="376">
        <v>0</v>
      </c>
      <c r="AI52" s="377">
        <v>0</v>
      </c>
      <c r="AJ52" s="376">
        <v>0</v>
      </c>
      <c r="AK52" s="377">
        <v>0</v>
      </c>
      <c r="AL52" s="376">
        <v>0</v>
      </c>
      <c r="AM52" s="377">
        <v>0</v>
      </c>
      <c r="AN52" s="376">
        <v>0</v>
      </c>
      <c r="AO52" s="377">
        <v>0</v>
      </c>
      <c r="AP52" s="376">
        <v>0</v>
      </c>
      <c r="AQ52" s="377">
        <v>0</v>
      </c>
      <c r="AR52" s="376">
        <v>0</v>
      </c>
      <c r="AS52" s="377">
        <v>0</v>
      </c>
      <c r="AT52" s="376">
        <v>0</v>
      </c>
      <c r="AU52" s="377">
        <v>0</v>
      </c>
    </row>
    <row r="53" spans="1:47" ht="16.5" customHeight="1">
      <c r="A53" s="362"/>
      <c r="B53" s="378"/>
      <c r="C53" s="412"/>
      <c r="D53" s="413" t="s">
        <v>322</v>
      </c>
      <c r="E53" s="381"/>
      <c r="F53" s="381">
        <v>4.1660636088284733</v>
      </c>
      <c r="G53" s="382">
        <v>0.57660337375036019</v>
      </c>
      <c r="H53" s="382">
        <v>49.404002837319624</v>
      </c>
      <c r="I53" s="383"/>
      <c r="J53" s="382">
        <v>40.038984771573602</v>
      </c>
      <c r="K53" s="383"/>
      <c r="L53" s="382">
        <v>44.350357989936384</v>
      </c>
      <c r="M53" s="383"/>
      <c r="N53" s="382">
        <v>38.121390729944807</v>
      </c>
      <c r="O53" s="383"/>
      <c r="P53" s="382">
        <v>79.932830004654974</v>
      </c>
      <c r="Q53" s="383"/>
      <c r="R53" s="382">
        <v>26.380907942278281</v>
      </c>
      <c r="S53" s="383"/>
      <c r="T53" s="382">
        <v>18.56330636401924</v>
      </c>
      <c r="U53" s="383"/>
      <c r="V53" s="382">
        <v>14.989127080885776</v>
      </c>
      <c r="W53" s="383"/>
      <c r="X53" s="382">
        <v>1.1528517278833152</v>
      </c>
      <c r="Y53" s="383"/>
      <c r="Z53" s="382">
        <v>0.6554381220490767</v>
      </c>
      <c r="AA53" s="383"/>
      <c r="AB53" s="382">
        <v>0.6554381220490767</v>
      </c>
      <c r="AC53" s="383"/>
      <c r="AD53" s="382">
        <v>0</v>
      </c>
      <c r="AE53" s="383"/>
      <c r="AF53" s="382">
        <v>0.62261742734910108</v>
      </c>
      <c r="AG53" s="383"/>
      <c r="AH53" s="382">
        <v>0</v>
      </c>
      <c r="AI53" s="383"/>
      <c r="AJ53" s="382">
        <v>6.1538802562454281E-3</v>
      </c>
      <c r="AK53" s="383"/>
      <c r="AL53" s="382">
        <v>0</v>
      </c>
      <c r="AM53" s="383"/>
      <c r="AN53" s="382">
        <v>2.2564227606233236E-2</v>
      </c>
      <c r="AO53" s="383"/>
      <c r="AP53" s="382">
        <v>2.051293418748476E-3</v>
      </c>
      <c r="AQ53" s="383"/>
      <c r="AR53" s="382">
        <v>0</v>
      </c>
      <c r="AS53" s="383"/>
      <c r="AT53" s="382">
        <v>0</v>
      </c>
      <c r="AU53" s="383"/>
    </row>
    <row r="54" spans="1:47" ht="16.5" customHeight="1">
      <c r="A54" s="362"/>
      <c r="B54" s="368">
        <v>30</v>
      </c>
      <c r="C54" s="369" t="s">
        <v>89</v>
      </c>
      <c r="D54" s="370" t="s">
        <v>240</v>
      </c>
      <c r="E54" s="375">
        <v>194589</v>
      </c>
      <c r="F54" s="375">
        <v>7.53</v>
      </c>
      <c r="G54" s="371">
        <v>6.8819999999999997</v>
      </c>
      <c r="H54" s="376">
        <v>30.13</v>
      </c>
      <c r="I54" s="377">
        <v>1.41</v>
      </c>
      <c r="J54" s="376">
        <v>20.53</v>
      </c>
      <c r="K54" s="377">
        <v>0.9</v>
      </c>
      <c r="L54" s="376">
        <v>32</v>
      </c>
      <c r="M54" s="377">
        <v>3.4</v>
      </c>
      <c r="N54" s="376">
        <v>21.9</v>
      </c>
      <c r="O54" s="377">
        <v>2.5</v>
      </c>
      <c r="P54" s="376">
        <v>38.04</v>
      </c>
      <c r="Q54" s="377">
        <v>0.5</v>
      </c>
      <c r="R54" s="376">
        <v>1.7</v>
      </c>
      <c r="S54" s="377">
        <v>0</v>
      </c>
      <c r="T54" s="376">
        <v>9.75</v>
      </c>
      <c r="U54" s="377">
        <v>0.98</v>
      </c>
      <c r="V54" s="376">
        <v>9.31</v>
      </c>
      <c r="W54" s="377">
        <v>1.1200000000000001</v>
      </c>
      <c r="X54" s="376">
        <v>2.27</v>
      </c>
      <c r="Y54" s="377">
        <v>0.11</v>
      </c>
      <c r="Z54" s="376">
        <v>0</v>
      </c>
      <c r="AA54" s="377">
        <v>0</v>
      </c>
      <c r="AB54" s="376">
        <v>0</v>
      </c>
      <c r="AC54" s="377">
        <v>0</v>
      </c>
      <c r="AD54" s="376">
        <v>0</v>
      </c>
      <c r="AE54" s="377">
        <v>0</v>
      </c>
      <c r="AF54" s="376">
        <v>0</v>
      </c>
      <c r="AG54" s="377">
        <v>0</v>
      </c>
      <c r="AH54" s="376">
        <v>0</v>
      </c>
      <c r="AI54" s="377">
        <v>0</v>
      </c>
      <c r="AJ54" s="376">
        <v>0</v>
      </c>
      <c r="AK54" s="377">
        <v>0</v>
      </c>
      <c r="AL54" s="376">
        <v>0</v>
      </c>
      <c r="AM54" s="377">
        <v>0</v>
      </c>
      <c r="AN54" s="376">
        <v>0</v>
      </c>
      <c r="AO54" s="377">
        <v>0</v>
      </c>
      <c r="AP54" s="376">
        <v>0</v>
      </c>
      <c r="AQ54" s="377">
        <v>0</v>
      </c>
      <c r="AR54" s="376">
        <v>0</v>
      </c>
      <c r="AS54" s="377">
        <v>0</v>
      </c>
      <c r="AT54" s="376">
        <v>0</v>
      </c>
      <c r="AU54" s="377">
        <v>0</v>
      </c>
    </row>
    <row r="55" spans="1:47" ht="16.5" customHeight="1">
      <c r="A55" s="362"/>
      <c r="B55" s="368">
        <v>31</v>
      </c>
      <c r="C55" s="369" t="s">
        <v>91</v>
      </c>
      <c r="D55" s="374" t="s">
        <v>187</v>
      </c>
      <c r="E55" s="375">
        <v>40415</v>
      </c>
      <c r="F55" s="375">
        <v>4.5599999999999996</v>
      </c>
      <c r="G55" s="371">
        <v>2.1139999999999999</v>
      </c>
      <c r="H55" s="376">
        <v>59.55</v>
      </c>
      <c r="I55" s="377">
        <v>1.77</v>
      </c>
      <c r="J55" s="376">
        <v>46.92</v>
      </c>
      <c r="K55" s="377">
        <v>1.34</v>
      </c>
      <c r="L55" s="376">
        <v>37.1</v>
      </c>
      <c r="M55" s="377">
        <v>1.8</v>
      </c>
      <c r="N55" s="376">
        <v>32.799999999999997</v>
      </c>
      <c r="O55" s="377">
        <v>1.1000000000000001</v>
      </c>
      <c r="P55" s="376">
        <v>103.92</v>
      </c>
      <c r="Q55" s="377">
        <v>5.55</v>
      </c>
      <c r="R55" s="376">
        <v>40.700000000000003</v>
      </c>
      <c r="S55" s="377">
        <v>0.4</v>
      </c>
      <c r="T55" s="376">
        <v>12.56</v>
      </c>
      <c r="U55" s="377">
        <v>7.0000000000000007E-2</v>
      </c>
      <c r="V55" s="376">
        <v>14.89</v>
      </c>
      <c r="W55" s="377">
        <v>0.14000000000000001</v>
      </c>
      <c r="X55" s="376">
        <v>11.98</v>
      </c>
      <c r="Y55" s="377">
        <v>0.25</v>
      </c>
      <c r="Z55" s="376">
        <v>3.36</v>
      </c>
      <c r="AA55" s="377">
        <v>0</v>
      </c>
      <c r="AB55" s="376">
        <v>3.36</v>
      </c>
      <c r="AC55" s="377">
        <v>0</v>
      </c>
      <c r="AD55" s="376">
        <v>0</v>
      </c>
      <c r="AE55" s="377">
        <v>0</v>
      </c>
      <c r="AF55" s="376">
        <v>2.3199999999999998</v>
      </c>
      <c r="AG55" s="377">
        <v>0</v>
      </c>
      <c r="AH55" s="376">
        <v>0.37</v>
      </c>
      <c r="AI55" s="377">
        <v>0</v>
      </c>
      <c r="AJ55" s="376">
        <v>0</v>
      </c>
      <c r="AK55" s="377">
        <v>0</v>
      </c>
      <c r="AL55" s="376">
        <v>0.36</v>
      </c>
      <c r="AM55" s="377">
        <v>0</v>
      </c>
      <c r="AN55" s="376">
        <v>0.12</v>
      </c>
      <c r="AO55" s="377">
        <v>0</v>
      </c>
      <c r="AP55" s="376">
        <v>0</v>
      </c>
      <c r="AQ55" s="377">
        <v>0</v>
      </c>
      <c r="AR55" s="376">
        <v>0</v>
      </c>
      <c r="AS55" s="377">
        <v>0</v>
      </c>
      <c r="AT55" s="376">
        <v>0.2</v>
      </c>
      <c r="AU55" s="377">
        <v>0</v>
      </c>
    </row>
    <row r="56" spans="1:47" ht="16.5" customHeight="1">
      <c r="A56" s="362"/>
      <c r="B56" s="368">
        <v>32</v>
      </c>
      <c r="C56" s="369" t="s">
        <v>92</v>
      </c>
      <c r="D56" s="374" t="s">
        <v>240</v>
      </c>
      <c r="E56" s="375">
        <v>261716</v>
      </c>
      <c r="F56" s="375">
        <v>5.84</v>
      </c>
      <c r="G56" s="371">
        <v>0.77600000000000002</v>
      </c>
      <c r="H56" s="376">
        <v>23.82</v>
      </c>
      <c r="I56" s="377">
        <v>1.01</v>
      </c>
      <c r="J56" s="376">
        <v>20.32</v>
      </c>
      <c r="K56" s="377">
        <v>0.82</v>
      </c>
      <c r="L56" s="376">
        <v>24.4</v>
      </c>
      <c r="M56" s="377">
        <v>1.4</v>
      </c>
      <c r="N56" s="376">
        <v>21.6</v>
      </c>
      <c r="O56" s="377">
        <v>1.5</v>
      </c>
      <c r="P56" s="376">
        <v>37.700000000000003</v>
      </c>
      <c r="Q56" s="377">
        <v>2.09</v>
      </c>
      <c r="R56" s="376">
        <v>1.6</v>
      </c>
      <c r="S56" s="377">
        <v>0.2</v>
      </c>
      <c r="T56" s="376">
        <v>12.34</v>
      </c>
      <c r="U56" s="377">
        <v>0.85</v>
      </c>
      <c r="V56" s="376">
        <v>11.91</v>
      </c>
      <c r="W56" s="377">
        <v>0.01</v>
      </c>
      <c r="X56" s="376">
        <v>4.45</v>
      </c>
      <c r="Y56" s="377">
        <v>0.28000000000000003</v>
      </c>
      <c r="Z56" s="376">
        <v>0.06</v>
      </c>
      <c r="AA56" s="377">
        <v>0</v>
      </c>
      <c r="AB56" s="376">
        <v>0.06</v>
      </c>
      <c r="AC56" s="377">
        <v>0</v>
      </c>
      <c r="AD56" s="376">
        <v>0</v>
      </c>
      <c r="AE56" s="377">
        <v>0</v>
      </c>
      <c r="AF56" s="376">
        <v>0</v>
      </c>
      <c r="AG56" s="377">
        <v>0</v>
      </c>
      <c r="AH56" s="376">
        <v>0</v>
      </c>
      <c r="AI56" s="377">
        <v>0</v>
      </c>
      <c r="AJ56" s="376">
        <v>0</v>
      </c>
      <c r="AK56" s="377">
        <v>0</v>
      </c>
      <c r="AL56" s="376">
        <v>0</v>
      </c>
      <c r="AM56" s="377">
        <v>0</v>
      </c>
      <c r="AN56" s="376">
        <v>0</v>
      </c>
      <c r="AO56" s="377">
        <v>0</v>
      </c>
      <c r="AP56" s="376">
        <v>0</v>
      </c>
      <c r="AQ56" s="377">
        <v>0</v>
      </c>
      <c r="AR56" s="376">
        <v>0</v>
      </c>
      <c r="AS56" s="377">
        <v>0</v>
      </c>
      <c r="AT56" s="376">
        <v>0.06</v>
      </c>
      <c r="AU56" s="377">
        <v>0</v>
      </c>
    </row>
    <row r="57" spans="1:47" ht="16.5" customHeight="1">
      <c r="A57" s="362"/>
      <c r="B57" s="368" t="s">
        <v>93</v>
      </c>
      <c r="C57" s="369" t="s">
        <v>94</v>
      </c>
      <c r="D57" s="374" t="s">
        <v>192</v>
      </c>
      <c r="E57" s="375">
        <v>26626</v>
      </c>
      <c r="F57" s="375">
        <v>5.58</v>
      </c>
      <c r="G57" s="371">
        <v>7.3380000000000001</v>
      </c>
      <c r="H57" s="376">
        <v>40.9</v>
      </c>
      <c r="I57" s="377">
        <v>0.42</v>
      </c>
      <c r="J57" s="376">
        <v>24.67</v>
      </c>
      <c r="K57" s="377">
        <v>0.09</v>
      </c>
      <c r="L57" s="376">
        <v>10.1</v>
      </c>
      <c r="M57" s="377">
        <v>0</v>
      </c>
      <c r="N57" s="376">
        <v>9.1</v>
      </c>
      <c r="O57" s="377">
        <v>0.1</v>
      </c>
      <c r="P57" s="376">
        <v>91.2</v>
      </c>
      <c r="Q57" s="377">
        <v>1.58</v>
      </c>
      <c r="R57" s="376">
        <v>64.099999999999994</v>
      </c>
      <c r="S57" s="377">
        <v>0.5</v>
      </c>
      <c r="T57" s="376">
        <v>3.7</v>
      </c>
      <c r="U57" s="377">
        <v>0.42</v>
      </c>
      <c r="V57" s="376">
        <v>10.039999999999999</v>
      </c>
      <c r="W57" s="377">
        <v>0.01</v>
      </c>
      <c r="X57" s="376">
        <v>3.98</v>
      </c>
      <c r="Y57" s="377">
        <v>0.04</v>
      </c>
      <c r="Z57" s="376">
        <v>6.5505555555555555</v>
      </c>
      <c r="AA57" s="377">
        <v>0</v>
      </c>
      <c r="AB57" s="376">
        <v>6.5505555555555555</v>
      </c>
      <c r="AC57" s="377">
        <v>0</v>
      </c>
      <c r="AD57" s="376">
        <v>0</v>
      </c>
      <c r="AE57" s="377">
        <v>0</v>
      </c>
      <c r="AF57" s="376">
        <v>1.5455555555555556</v>
      </c>
      <c r="AG57" s="377">
        <v>0</v>
      </c>
      <c r="AH57" s="376">
        <v>0.56333333333333335</v>
      </c>
      <c r="AI57" s="377">
        <v>0</v>
      </c>
      <c r="AJ57" s="376">
        <v>4.3333333333333328E-2</v>
      </c>
      <c r="AK57" s="377">
        <v>0</v>
      </c>
      <c r="AL57" s="376">
        <v>1.9427777777777777</v>
      </c>
      <c r="AM57" s="377">
        <v>0</v>
      </c>
      <c r="AN57" s="376">
        <v>8.6666666666666656E-2</v>
      </c>
      <c r="AO57" s="377">
        <v>0</v>
      </c>
      <c r="AP57" s="376">
        <v>0.90277777777777779</v>
      </c>
      <c r="AQ57" s="377">
        <v>0</v>
      </c>
      <c r="AR57" s="376">
        <v>1.4444444444444444E-2</v>
      </c>
      <c r="AS57" s="377">
        <v>0</v>
      </c>
      <c r="AT57" s="376">
        <v>1.4444444444444444</v>
      </c>
      <c r="AU57" s="377">
        <v>0</v>
      </c>
    </row>
    <row r="58" spans="1:47" ht="16.5" customHeight="1">
      <c r="A58" s="362"/>
      <c r="B58" s="378">
        <v>33</v>
      </c>
      <c r="C58" s="379" t="s">
        <v>97</v>
      </c>
      <c r="D58" s="370" t="s">
        <v>248</v>
      </c>
      <c r="E58" s="371">
        <v>414670</v>
      </c>
      <c r="F58" s="371">
        <v>6.1</v>
      </c>
      <c r="G58" s="371">
        <v>0.29599999999999999</v>
      </c>
      <c r="H58" s="372">
        <v>11.52</v>
      </c>
      <c r="I58" s="373">
        <v>0.26</v>
      </c>
      <c r="J58" s="372">
        <v>7.92</v>
      </c>
      <c r="K58" s="373">
        <v>0.16</v>
      </c>
      <c r="L58" s="372">
        <v>9.6</v>
      </c>
      <c r="M58" s="373">
        <v>0.8</v>
      </c>
      <c r="N58" s="372">
        <v>8.1</v>
      </c>
      <c r="O58" s="373">
        <v>0.6</v>
      </c>
      <c r="P58" s="372">
        <v>11.29</v>
      </c>
      <c r="Q58" s="373">
        <v>0.04</v>
      </c>
      <c r="R58" s="372">
        <v>0.1</v>
      </c>
      <c r="S58" s="373">
        <v>0</v>
      </c>
      <c r="T58" s="372">
        <v>3.79</v>
      </c>
      <c r="U58" s="373">
        <v>0.37</v>
      </c>
      <c r="V58" s="376">
        <v>6.73</v>
      </c>
      <c r="W58" s="377">
        <v>0.25</v>
      </c>
      <c r="X58" s="376">
        <v>0.22</v>
      </c>
      <c r="Y58" s="377">
        <v>0.39</v>
      </c>
      <c r="Z58" s="376">
        <v>0</v>
      </c>
      <c r="AA58" s="377">
        <v>0</v>
      </c>
      <c r="AB58" s="376">
        <v>0</v>
      </c>
      <c r="AC58" s="377">
        <v>0</v>
      </c>
      <c r="AD58" s="376">
        <v>0</v>
      </c>
      <c r="AE58" s="377">
        <v>0</v>
      </c>
      <c r="AF58" s="376">
        <v>0</v>
      </c>
      <c r="AG58" s="377">
        <v>0</v>
      </c>
      <c r="AH58" s="376">
        <v>0</v>
      </c>
      <c r="AI58" s="377">
        <v>0</v>
      </c>
      <c r="AJ58" s="376">
        <v>0</v>
      </c>
      <c r="AK58" s="377">
        <v>0</v>
      </c>
      <c r="AL58" s="376">
        <v>0</v>
      </c>
      <c r="AM58" s="377">
        <v>0</v>
      </c>
      <c r="AN58" s="376">
        <v>0</v>
      </c>
      <c r="AO58" s="377">
        <v>0</v>
      </c>
      <c r="AP58" s="376">
        <v>0</v>
      </c>
      <c r="AQ58" s="377">
        <v>0</v>
      </c>
      <c r="AR58" s="376">
        <v>0</v>
      </c>
      <c r="AS58" s="377">
        <v>0</v>
      </c>
      <c r="AT58" s="376">
        <v>0</v>
      </c>
      <c r="AU58" s="377">
        <v>0</v>
      </c>
    </row>
    <row r="59" spans="1:47" ht="16.5" customHeight="1">
      <c r="A59" s="362"/>
      <c r="B59" s="368">
        <v>34</v>
      </c>
      <c r="C59" s="369" t="s">
        <v>98</v>
      </c>
      <c r="D59" s="374" t="s">
        <v>192</v>
      </c>
      <c r="E59" s="375">
        <v>20518</v>
      </c>
      <c r="F59" s="375">
        <v>3.81</v>
      </c>
      <c r="G59" s="375" t="s">
        <v>46</v>
      </c>
      <c r="H59" s="376">
        <v>40.03</v>
      </c>
      <c r="I59" s="377">
        <v>0.09</v>
      </c>
      <c r="J59" s="376">
        <v>34.770000000000003</v>
      </c>
      <c r="K59" s="377">
        <v>0.05</v>
      </c>
      <c r="L59" s="376">
        <v>22.4</v>
      </c>
      <c r="M59" s="377">
        <v>0.1</v>
      </c>
      <c r="N59" s="376">
        <v>21.8</v>
      </c>
      <c r="O59" s="377">
        <v>0.3</v>
      </c>
      <c r="P59" s="376">
        <v>68.7</v>
      </c>
      <c r="Q59" s="377">
        <v>0.59</v>
      </c>
      <c r="R59" s="376">
        <v>20.100000000000001</v>
      </c>
      <c r="S59" s="377">
        <v>1</v>
      </c>
      <c r="T59" s="376">
        <v>27.31</v>
      </c>
      <c r="U59" s="377">
        <v>0.24</v>
      </c>
      <c r="V59" s="376">
        <v>12.39</v>
      </c>
      <c r="W59" s="377">
        <v>0.47</v>
      </c>
      <c r="X59" s="376">
        <v>7.9</v>
      </c>
      <c r="Y59" s="377">
        <v>0.49</v>
      </c>
      <c r="Z59" s="376">
        <v>1.84</v>
      </c>
      <c r="AA59" s="377">
        <v>0.01</v>
      </c>
      <c r="AB59" s="376">
        <v>8.83</v>
      </c>
      <c r="AC59" s="377">
        <v>0.02</v>
      </c>
      <c r="AD59" s="376">
        <v>6.99</v>
      </c>
      <c r="AE59" s="377">
        <v>0.01</v>
      </c>
      <c r="AF59" s="376">
        <v>1.84</v>
      </c>
      <c r="AG59" s="377">
        <v>0.01</v>
      </c>
      <c r="AH59" s="376">
        <v>0</v>
      </c>
      <c r="AI59" s="377">
        <v>0</v>
      </c>
      <c r="AJ59" s="376">
        <v>0</v>
      </c>
      <c r="AK59" s="377">
        <v>0</v>
      </c>
      <c r="AL59" s="376">
        <v>0</v>
      </c>
      <c r="AM59" s="377">
        <v>0</v>
      </c>
      <c r="AN59" s="376">
        <v>0</v>
      </c>
      <c r="AO59" s="377">
        <v>0</v>
      </c>
      <c r="AP59" s="376">
        <v>0</v>
      </c>
      <c r="AQ59" s="377">
        <v>0</v>
      </c>
      <c r="AR59" s="376">
        <v>0</v>
      </c>
      <c r="AS59" s="377">
        <v>0</v>
      </c>
      <c r="AT59" s="376">
        <v>0</v>
      </c>
      <c r="AU59" s="377">
        <v>0</v>
      </c>
    </row>
    <row r="60" spans="1:47" ht="16.5" customHeight="1">
      <c r="A60" s="362"/>
      <c r="B60" s="402">
        <f>COUNTA(B3:B59)</f>
        <v>37</v>
      </c>
      <c r="C60" s="362"/>
      <c r="D60" s="362"/>
      <c r="E60" s="403"/>
      <c r="F60" s="407"/>
      <c r="G60" s="407"/>
      <c r="H60" s="362"/>
      <c r="I60" s="362"/>
      <c r="J60" s="362"/>
      <c r="K60" s="362"/>
      <c r="L60" s="362"/>
      <c r="M60" s="362"/>
      <c r="N60" s="362"/>
      <c r="O60" s="362"/>
      <c r="P60" s="362"/>
      <c r="Q60" s="362"/>
      <c r="R60" s="362"/>
      <c r="S60" s="362"/>
      <c r="T60" s="362"/>
      <c r="U60" s="362"/>
      <c r="V60" s="362"/>
      <c r="W60" s="362"/>
      <c r="X60" s="362"/>
      <c r="Y60" s="362"/>
      <c r="Z60" s="362"/>
      <c r="AA60" s="362"/>
      <c r="AB60" s="362"/>
      <c r="AC60" s="362"/>
      <c r="AD60" s="362"/>
      <c r="AE60" s="362"/>
      <c r="AF60" s="362"/>
      <c r="AG60" s="362"/>
      <c r="AH60" s="362"/>
      <c r="AI60" s="362"/>
      <c r="AJ60" s="357"/>
      <c r="AK60" s="357"/>
      <c r="AL60" s="357"/>
      <c r="AM60" s="357"/>
      <c r="AN60" s="357"/>
      <c r="AO60" s="357"/>
      <c r="AP60" s="357"/>
      <c r="AQ60" s="357"/>
      <c r="AR60" s="357"/>
      <c r="AS60" s="357"/>
      <c r="AT60" s="357"/>
      <c r="AU60" s="357"/>
    </row>
    <row r="61" spans="1:47" ht="16.5" customHeight="1">
      <c r="E61" s="404"/>
    </row>
    <row r="62" spans="1:47" ht="16.5" customHeight="1">
      <c r="E62" s="404"/>
    </row>
    <row r="63" spans="1:47" ht="16.5" customHeight="1">
      <c r="E63" s="404"/>
    </row>
    <row r="64" spans="1:47" ht="16.5" customHeight="1">
      <c r="E64" s="404"/>
    </row>
    <row r="65" spans="1:47" ht="16.5" customHeight="1">
      <c r="E65" s="404"/>
    </row>
    <row r="66" spans="1:47" ht="16.5" customHeight="1">
      <c r="E66" s="404"/>
    </row>
    <row r="67" spans="1:47" ht="16.5" customHeight="1">
      <c r="E67" s="404"/>
    </row>
    <row r="68" spans="1:47" ht="16.5" customHeight="1">
      <c r="E68" s="404"/>
    </row>
    <row r="69" spans="1:47" ht="16.5" customHeight="1">
      <c r="E69" s="404"/>
    </row>
    <row r="70" spans="1:47" s="408" customFormat="1" ht="16.5" customHeight="1">
      <c r="A70" s="210"/>
      <c r="B70" s="210"/>
      <c r="C70" s="210"/>
      <c r="D70" s="210"/>
      <c r="E70" s="404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  <c r="AA70" s="210"/>
      <c r="AB70" s="210"/>
      <c r="AC70" s="210"/>
      <c r="AD70" s="210"/>
      <c r="AE70" s="210"/>
      <c r="AF70" s="210"/>
      <c r="AG70" s="210"/>
      <c r="AH70" s="210"/>
      <c r="AI70" s="210"/>
      <c r="AJ70"/>
      <c r="AK70"/>
      <c r="AL70"/>
      <c r="AM70"/>
      <c r="AN70"/>
      <c r="AO70"/>
      <c r="AP70"/>
      <c r="AQ70"/>
      <c r="AR70"/>
      <c r="AS70"/>
      <c r="AT70"/>
      <c r="AU70"/>
    </row>
    <row r="71" spans="1:47" s="408" customFormat="1" ht="16.5" customHeight="1">
      <c r="A71" s="210"/>
      <c r="B71" s="210"/>
      <c r="C71" s="210"/>
      <c r="D71" s="210"/>
      <c r="E71" s="404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  <c r="AA71" s="210"/>
      <c r="AB71" s="210"/>
      <c r="AC71" s="210"/>
      <c r="AD71" s="210"/>
      <c r="AE71" s="210"/>
      <c r="AF71" s="210"/>
      <c r="AG71" s="210"/>
      <c r="AH71" s="210"/>
      <c r="AI71" s="210"/>
      <c r="AJ71"/>
      <c r="AK71"/>
      <c r="AL71"/>
      <c r="AM71"/>
      <c r="AN71"/>
      <c r="AO71"/>
      <c r="AP71"/>
      <c r="AQ71"/>
      <c r="AR71"/>
      <c r="AS71"/>
      <c r="AT71"/>
      <c r="AU71"/>
    </row>
    <row r="72" spans="1:47" s="408" customFormat="1" ht="16.5" customHeight="1">
      <c r="A72" s="210"/>
      <c r="B72" s="210"/>
      <c r="C72" s="210"/>
      <c r="D72" s="210"/>
      <c r="E72" s="404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  <c r="AA72" s="210"/>
      <c r="AB72" s="210"/>
      <c r="AC72" s="210"/>
      <c r="AD72" s="210"/>
      <c r="AE72" s="210"/>
      <c r="AF72" s="210"/>
      <c r="AG72" s="210"/>
      <c r="AH72" s="210"/>
      <c r="AI72" s="210"/>
      <c r="AJ72"/>
      <c r="AK72"/>
      <c r="AL72"/>
      <c r="AM72"/>
      <c r="AN72"/>
      <c r="AO72"/>
      <c r="AP72"/>
      <c r="AQ72"/>
      <c r="AR72"/>
      <c r="AS72"/>
      <c r="AT72"/>
      <c r="AU72"/>
    </row>
    <row r="73" spans="1:47" s="408" customFormat="1" ht="16.5" customHeight="1">
      <c r="A73" s="210"/>
      <c r="B73" s="210"/>
      <c r="C73" s="210"/>
      <c r="D73" s="210"/>
      <c r="E73" s="404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  <c r="AA73" s="210"/>
      <c r="AB73" s="210"/>
      <c r="AC73" s="210"/>
      <c r="AD73" s="210"/>
      <c r="AE73" s="210"/>
      <c r="AF73" s="210"/>
      <c r="AG73" s="210"/>
      <c r="AH73" s="210"/>
      <c r="AI73" s="210"/>
      <c r="AJ73"/>
      <c r="AK73"/>
      <c r="AL73"/>
      <c r="AM73"/>
      <c r="AN73"/>
      <c r="AO73"/>
      <c r="AP73"/>
      <c r="AQ73"/>
      <c r="AR73"/>
      <c r="AS73"/>
      <c r="AT73"/>
      <c r="AU73"/>
    </row>
    <row r="74" spans="1:47" s="408" customFormat="1" ht="16.5" customHeight="1">
      <c r="A74" s="210"/>
      <c r="B74" s="210"/>
      <c r="C74" s="210"/>
      <c r="D74" s="210"/>
      <c r="E74" s="404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  <c r="AA74" s="210"/>
      <c r="AB74" s="210"/>
      <c r="AC74" s="210"/>
      <c r="AD74" s="210"/>
      <c r="AE74" s="210"/>
      <c r="AF74" s="210"/>
      <c r="AG74" s="210"/>
      <c r="AH74" s="210"/>
      <c r="AI74" s="210"/>
      <c r="AJ74"/>
      <c r="AK74"/>
      <c r="AL74"/>
      <c r="AM74"/>
      <c r="AN74"/>
      <c r="AO74"/>
      <c r="AP74"/>
      <c r="AQ74"/>
      <c r="AR74"/>
      <c r="AS74"/>
      <c r="AT74"/>
      <c r="AU74"/>
    </row>
    <row r="75" spans="1:47" s="408" customFormat="1" ht="16.5" customHeight="1">
      <c r="A75" s="210"/>
      <c r="B75" s="210"/>
      <c r="C75" s="210"/>
      <c r="D75" s="210"/>
      <c r="E75" s="404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  <c r="AA75" s="210"/>
      <c r="AB75" s="210"/>
      <c r="AC75" s="210"/>
      <c r="AD75" s="210"/>
      <c r="AE75" s="210"/>
      <c r="AF75" s="210"/>
      <c r="AG75" s="210"/>
      <c r="AH75" s="210"/>
      <c r="AI75" s="210"/>
      <c r="AJ75"/>
      <c r="AK75"/>
      <c r="AL75"/>
      <c r="AM75"/>
      <c r="AN75"/>
      <c r="AO75"/>
      <c r="AP75"/>
      <c r="AQ75"/>
      <c r="AR75"/>
      <c r="AS75"/>
      <c r="AT75"/>
      <c r="AU75"/>
    </row>
    <row r="76" spans="1:47" s="408" customFormat="1" ht="16.5" customHeight="1">
      <c r="A76" s="210"/>
      <c r="B76" s="210"/>
      <c r="C76" s="210"/>
      <c r="D76" s="210"/>
      <c r="E76" s="404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  <c r="AA76" s="210"/>
      <c r="AB76" s="210"/>
      <c r="AC76" s="210"/>
      <c r="AD76" s="210"/>
      <c r="AE76" s="210"/>
      <c r="AF76" s="210"/>
      <c r="AG76" s="210"/>
      <c r="AH76" s="210"/>
      <c r="AI76" s="210"/>
      <c r="AJ76"/>
      <c r="AK76"/>
      <c r="AL76"/>
      <c r="AM76"/>
      <c r="AN76"/>
      <c r="AO76"/>
      <c r="AP76"/>
      <c r="AQ76"/>
      <c r="AR76"/>
      <c r="AS76"/>
      <c r="AT76"/>
      <c r="AU76"/>
    </row>
    <row r="77" spans="1:47" s="408" customFormat="1" ht="16.5" customHeight="1">
      <c r="A77" s="210"/>
      <c r="B77" s="210"/>
      <c r="C77" s="210"/>
      <c r="D77" s="210"/>
      <c r="E77" s="404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  <c r="AA77" s="210"/>
      <c r="AB77" s="210"/>
      <c r="AC77" s="210"/>
      <c r="AD77" s="210"/>
      <c r="AE77" s="210"/>
      <c r="AF77" s="210"/>
      <c r="AG77" s="210"/>
      <c r="AH77" s="210"/>
      <c r="AI77" s="210"/>
      <c r="AJ77"/>
      <c r="AK77"/>
      <c r="AL77"/>
      <c r="AM77"/>
      <c r="AN77"/>
      <c r="AO77"/>
      <c r="AP77"/>
      <c r="AQ77"/>
      <c r="AR77"/>
      <c r="AS77"/>
      <c r="AT77"/>
      <c r="AU77"/>
    </row>
    <row r="78" spans="1:47" s="408" customFormat="1" ht="16.5" customHeight="1">
      <c r="A78" s="210"/>
      <c r="B78" s="210"/>
      <c r="C78" s="210"/>
      <c r="D78" s="210"/>
      <c r="E78" s="404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  <c r="AA78" s="210"/>
      <c r="AB78" s="210"/>
      <c r="AC78" s="210"/>
      <c r="AD78" s="210"/>
      <c r="AE78" s="210"/>
      <c r="AF78" s="210"/>
      <c r="AG78" s="210"/>
      <c r="AH78" s="210"/>
      <c r="AI78" s="210"/>
      <c r="AJ78"/>
      <c r="AK78"/>
      <c r="AL78"/>
      <c r="AM78"/>
      <c r="AN78"/>
      <c r="AO78"/>
      <c r="AP78"/>
      <c r="AQ78"/>
      <c r="AR78"/>
      <c r="AS78"/>
      <c r="AT78"/>
      <c r="AU78"/>
    </row>
    <row r="79" spans="1:47" s="408" customFormat="1" ht="16.5" customHeight="1">
      <c r="A79" s="210"/>
      <c r="B79" s="210"/>
      <c r="C79" s="210"/>
      <c r="D79" s="210"/>
      <c r="E79" s="404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  <c r="AA79" s="210"/>
      <c r="AB79" s="210"/>
      <c r="AC79" s="210"/>
      <c r="AD79" s="210"/>
      <c r="AE79" s="210"/>
      <c r="AF79" s="210"/>
      <c r="AG79" s="210"/>
      <c r="AH79" s="210"/>
      <c r="AI79" s="210"/>
      <c r="AJ79"/>
      <c r="AK79"/>
      <c r="AL79"/>
      <c r="AM79"/>
      <c r="AN79"/>
      <c r="AO79"/>
      <c r="AP79"/>
      <c r="AQ79"/>
      <c r="AR79"/>
      <c r="AS79"/>
      <c r="AT79"/>
      <c r="AU79"/>
    </row>
    <row r="80" spans="1:47" s="408" customFormat="1" ht="16.5" customHeight="1">
      <c r="A80" s="210"/>
      <c r="B80" s="210"/>
      <c r="C80" s="210"/>
      <c r="D80" s="210"/>
      <c r="E80" s="404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  <c r="AA80" s="210"/>
      <c r="AB80" s="210"/>
      <c r="AC80" s="210"/>
      <c r="AD80" s="210"/>
      <c r="AE80" s="210"/>
      <c r="AF80" s="210"/>
      <c r="AG80" s="210"/>
      <c r="AH80" s="210"/>
      <c r="AI80" s="210"/>
      <c r="AJ80"/>
      <c r="AK80"/>
      <c r="AL80"/>
      <c r="AM80"/>
      <c r="AN80"/>
      <c r="AO80"/>
      <c r="AP80"/>
      <c r="AQ80"/>
      <c r="AR80"/>
      <c r="AS80"/>
      <c r="AT80"/>
      <c r="AU80"/>
    </row>
    <row r="81" spans="1:47" s="408" customFormat="1" ht="16.5" customHeight="1">
      <c r="A81" s="210"/>
      <c r="B81" s="210"/>
      <c r="C81" s="210"/>
      <c r="D81" s="210"/>
      <c r="E81" s="404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  <c r="AA81" s="210"/>
      <c r="AB81" s="210"/>
      <c r="AC81" s="210"/>
      <c r="AD81" s="210"/>
      <c r="AE81" s="210"/>
      <c r="AF81" s="210"/>
      <c r="AG81" s="210"/>
      <c r="AH81" s="210"/>
      <c r="AI81" s="210"/>
      <c r="AJ81"/>
      <c r="AK81"/>
      <c r="AL81"/>
      <c r="AM81"/>
      <c r="AN81"/>
      <c r="AO81"/>
      <c r="AP81"/>
      <c r="AQ81"/>
      <c r="AR81"/>
      <c r="AS81"/>
      <c r="AT81"/>
      <c r="AU81"/>
    </row>
    <row r="82" spans="1:47" s="408" customFormat="1" ht="16.5" customHeight="1">
      <c r="A82" s="210"/>
      <c r="B82" s="210"/>
      <c r="C82" s="210"/>
      <c r="D82" s="210"/>
      <c r="E82" s="404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  <c r="AA82" s="210"/>
      <c r="AB82" s="210"/>
      <c r="AC82" s="210"/>
      <c r="AD82" s="210"/>
      <c r="AE82" s="210"/>
      <c r="AF82" s="210"/>
      <c r="AG82" s="210"/>
      <c r="AH82" s="210"/>
      <c r="AI82" s="210"/>
      <c r="AJ82"/>
      <c r="AK82"/>
      <c r="AL82"/>
      <c r="AM82"/>
      <c r="AN82"/>
      <c r="AO82"/>
      <c r="AP82"/>
      <c r="AQ82"/>
      <c r="AR82"/>
      <c r="AS82"/>
      <c r="AT82"/>
      <c r="AU82"/>
    </row>
    <row r="83" spans="1:47" s="408" customFormat="1" ht="16.5" customHeight="1">
      <c r="A83" s="210"/>
      <c r="B83" s="210"/>
      <c r="C83" s="210"/>
      <c r="D83" s="210"/>
      <c r="E83" s="404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  <c r="AA83" s="210"/>
      <c r="AB83" s="210"/>
      <c r="AC83" s="210"/>
      <c r="AD83" s="210"/>
      <c r="AE83" s="210"/>
      <c r="AF83" s="210"/>
      <c r="AG83" s="210"/>
      <c r="AH83" s="210"/>
      <c r="AI83" s="210"/>
      <c r="AJ83"/>
      <c r="AK83"/>
      <c r="AL83"/>
      <c r="AM83"/>
      <c r="AN83"/>
      <c r="AO83"/>
      <c r="AP83"/>
      <c r="AQ83"/>
      <c r="AR83"/>
      <c r="AS83"/>
      <c r="AT83"/>
      <c r="AU83"/>
    </row>
    <row r="84" spans="1:47" s="408" customFormat="1" ht="16.5" customHeight="1">
      <c r="A84" s="210"/>
      <c r="B84" s="210"/>
      <c r="C84" s="210"/>
      <c r="D84" s="210"/>
      <c r="E84" s="404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  <c r="AA84" s="210"/>
      <c r="AB84" s="210"/>
      <c r="AC84" s="210"/>
      <c r="AD84" s="210"/>
      <c r="AE84" s="210"/>
      <c r="AF84" s="210"/>
      <c r="AG84" s="210"/>
      <c r="AH84" s="210"/>
      <c r="AI84" s="210"/>
      <c r="AJ84"/>
      <c r="AK84"/>
      <c r="AL84"/>
      <c r="AM84"/>
      <c r="AN84"/>
      <c r="AO84"/>
      <c r="AP84"/>
      <c r="AQ84"/>
      <c r="AR84"/>
      <c r="AS84"/>
      <c r="AT84"/>
      <c r="AU84"/>
    </row>
    <row r="85" spans="1:47" s="408" customFormat="1" ht="16.5" customHeight="1">
      <c r="A85" s="210"/>
      <c r="B85" s="210"/>
      <c r="C85" s="210"/>
      <c r="D85" s="210"/>
      <c r="E85" s="404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  <c r="AA85" s="210"/>
      <c r="AB85" s="210"/>
      <c r="AC85" s="210"/>
      <c r="AD85" s="210"/>
      <c r="AE85" s="210"/>
      <c r="AF85" s="210"/>
      <c r="AG85" s="210"/>
      <c r="AH85" s="210"/>
      <c r="AI85" s="210"/>
      <c r="AJ85"/>
      <c r="AK85"/>
      <c r="AL85"/>
      <c r="AM85"/>
      <c r="AN85"/>
      <c r="AO85"/>
      <c r="AP85"/>
      <c r="AQ85"/>
      <c r="AR85"/>
      <c r="AS85"/>
      <c r="AT85"/>
      <c r="AU85"/>
    </row>
    <row r="86" spans="1:47" s="408" customFormat="1" ht="16.5" customHeight="1">
      <c r="A86" s="210"/>
      <c r="B86" s="210"/>
      <c r="C86" s="210"/>
      <c r="D86" s="210"/>
      <c r="E86" s="404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  <c r="AA86" s="210"/>
      <c r="AB86" s="210"/>
      <c r="AC86" s="210"/>
      <c r="AD86" s="210"/>
      <c r="AE86" s="210"/>
      <c r="AF86" s="210"/>
      <c r="AG86" s="210"/>
      <c r="AH86" s="210"/>
      <c r="AI86" s="210"/>
      <c r="AJ86"/>
      <c r="AK86"/>
      <c r="AL86"/>
      <c r="AM86"/>
      <c r="AN86"/>
      <c r="AO86"/>
      <c r="AP86"/>
      <c r="AQ86"/>
      <c r="AR86"/>
      <c r="AS86"/>
      <c r="AT86"/>
      <c r="AU86"/>
    </row>
    <row r="87" spans="1:47" s="408" customFormat="1" ht="16.5" customHeight="1">
      <c r="A87" s="210"/>
      <c r="B87" s="210"/>
      <c r="C87" s="210"/>
      <c r="D87" s="210"/>
      <c r="E87" s="404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  <c r="AA87" s="210"/>
      <c r="AB87" s="210"/>
      <c r="AC87" s="210"/>
      <c r="AD87" s="210"/>
      <c r="AE87" s="210"/>
      <c r="AF87" s="210"/>
      <c r="AG87" s="210"/>
      <c r="AH87" s="210"/>
      <c r="AI87" s="210"/>
      <c r="AJ87"/>
      <c r="AK87"/>
      <c r="AL87"/>
      <c r="AM87"/>
      <c r="AN87"/>
      <c r="AO87"/>
      <c r="AP87"/>
      <c r="AQ87"/>
      <c r="AR87"/>
      <c r="AS87"/>
      <c r="AT87"/>
      <c r="AU87"/>
    </row>
    <row r="88" spans="1:47" s="408" customFormat="1" ht="16.5" customHeight="1">
      <c r="A88" s="210"/>
      <c r="B88" s="210"/>
      <c r="C88" s="210"/>
      <c r="D88" s="210"/>
      <c r="E88" s="404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  <c r="AA88" s="210"/>
      <c r="AB88" s="210"/>
      <c r="AC88" s="210"/>
      <c r="AD88" s="210"/>
      <c r="AE88" s="210"/>
      <c r="AF88" s="210"/>
      <c r="AG88" s="210"/>
      <c r="AH88" s="210"/>
      <c r="AI88" s="210"/>
      <c r="AJ88"/>
      <c r="AK88"/>
      <c r="AL88"/>
      <c r="AM88"/>
      <c r="AN88"/>
      <c r="AO88"/>
      <c r="AP88"/>
      <c r="AQ88"/>
      <c r="AR88"/>
      <c r="AS88"/>
      <c r="AT88"/>
      <c r="AU88"/>
    </row>
    <row r="89" spans="1:47" s="408" customFormat="1" ht="16.5" customHeight="1">
      <c r="A89" s="210"/>
      <c r="B89" s="210"/>
      <c r="C89" s="210"/>
      <c r="D89" s="210"/>
      <c r="E89" s="404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  <c r="AA89" s="210"/>
      <c r="AB89" s="210"/>
      <c r="AC89" s="210"/>
      <c r="AD89" s="210"/>
      <c r="AE89" s="210"/>
      <c r="AF89" s="210"/>
      <c r="AG89" s="210"/>
      <c r="AH89" s="210"/>
      <c r="AI89" s="210"/>
      <c r="AJ89"/>
      <c r="AK89"/>
      <c r="AL89"/>
      <c r="AM89"/>
      <c r="AN89"/>
      <c r="AO89"/>
      <c r="AP89"/>
      <c r="AQ89"/>
      <c r="AR89"/>
      <c r="AS89"/>
      <c r="AT89"/>
      <c r="AU89"/>
    </row>
    <row r="90" spans="1:47" s="408" customFormat="1" ht="16.5" customHeight="1">
      <c r="A90" s="210"/>
      <c r="B90" s="210"/>
      <c r="C90" s="210"/>
      <c r="D90" s="210"/>
      <c r="E90" s="404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  <c r="AA90" s="210"/>
      <c r="AB90" s="210"/>
      <c r="AC90" s="210"/>
      <c r="AD90" s="210"/>
      <c r="AE90" s="210"/>
      <c r="AF90" s="210"/>
      <c r="AG90" s="210"/>
      <c r="AH90" s="210"/>
      <c r="AI90" s="210"/>
      <c r="AJ90"/>
      <c r="AK90"/>
      <c r="AL90"/>
      <c r="AM90"/>
      <c r="AN90"/>
      <c r="AO90"/>
      <c r="AP90"/>
      <c r="AQ90"/>
      <c r="AR90"/>
      <c r="AS90"/>
      <c r="AT90"/>
      <c r="AU90"/>
    </row>
    <row r="91" spans="1:47" s="408" customFormat="1" ht="16.5" customHeight="1">
      <c r="A91" s="210"/>
      <c r="B91" s="210"/>
      <c r="C91" s="210"/>
      <c r="D91" s="210"/>
      <c r="E91" s="404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  <c r="AA91" s="210"/>
      <c r="AB91" s="210"/>
      <c r="AC91" s="210"/>
      <c r="AD91" s="210"/>
      <c r="AE91" s="210"/>
      <c r="AF91" s="210"/>
      <c r="AG91" s="210"/>
      <c r="AH91" s="210"/>
      <c r="AI91" s="210"/>
      <c r="AJ91"/>
      <c r="AK91"/>
      <c r="AL91"/>
      <c r="AM91"/>
      <c r="AN91"/>
      <c r="AO91"/>
      <c r="AP91"/>
      <c r="AQ91"/>
      <c r="AR91"/>
      <c r="AS91"/>
      <c r="AT91"/>
      <c r="AU91"/>
    </row>
    <row r="92" spans="1:47" s="408" customFormat="1" ht="16.5" customHeight="1">
      <c r="A92" s="210"/>
      <c r="B92" s="210"/>
      <c r="C92" s="210"/>
      <c r="D92" s="210"/>
      <c r="E92" s="404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  <c r="AA92" s="210"/>
      <c r="AB92" s="210"/>
      <c r="AC92" s="210"/>
      <c r="AD92" s="210"/>
      <c r="AE92" s="210"/>
      <c r="AF92" s="210"/>
      <c r="AG92" s="210"/>
      <c r="AH92" s="210"/>
      <c r="AI92" s="210"/>
      <c r="AJ92"/>
      <c r="AK92"/>
      <c r="AL92"/>
      <c r="AM92"/>
      <c r="AN92"/>
      <c r="AO92"/>
      <c r="AP92"/>
      <c r="AQ92"/>
      <c r="AR92"/>
      <c r="AS92"/>
      <c r="AT92"/>
      <c r="AU92"/>
    </row>
    <row r="93" spans="1:47" s="408" customFormat="1" ht="16.5" customHeight="1">
      <c r="A93" s="210"/>
      <c r="B93" s="210"/>
      <c r="C93" s="210"/>
      <c r="D93" s="210"/>
      <c r="E93" s="404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  <c r="AA93" s="210"/>
      <c r="AB93" s="210"/>
      <c r="AC93" s="210"/>
      <c r="AD93" s="210"/>
      <c r="AE93" s="210"/>
      <c r="AF93" s="210"/>
      <c r="AG93" s="210"/>
      <c r="AH93" s="210"/>
      <c r="AI93" s="210"/>
      <c r="AJ93"/>
      <c r="AK93"/>
      <c r="AL93"/>
      <c r="AM93"/>
      <c r="AN93"/>
      <c r="AO93"/>
      <c r="AP93"/>
      <c r="AQ93"/>
      <c r="AR93"/>
      <c r="AS93"/>
      <c r="AT93"/>
      <c r="AU93"/>
    </row>
    <row r="94" spans="1:47" s="408" customFormat="1" ht="16.5" customHeight="1">
      <c r="A94" s="210"/>
      <c r="B94" s="210"/>
      <c r="C94" s="210"/>
      <c r="D94" s="210"/>
      <c r="E94" s="404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  <c r="AA94" s="210"/>
      <c r="AB94" s="210"/>
      <c r="AC94" s="210"/>
      <c r="AD94" s="210"/>
      <c r="AE94" s="210"/>
      <c r="AF94" s="210"/>
      <c r="AG94" s="210"/>
      <c r="AH94" s="210"/>
      <c r="AI94" s="210"/>
      <c r="AJ94"/>
      <c r="AK94"/>
      <c r="AL94"/>
      <c r="AM94"/>
      <c r="AN94"/>
      <c r="AO94"/>
      <c r="AP94"/>
      <c r="AQ94"/>
      <c r="AR94"/>
      <c r="AS94"/>
      <c r="AT94"/>
      <c r="AU94"/>
    </row>
    <row r="95" spans="1:47" s="408" customFormat="1" ht="16.5" customHeight="1">
      <c r="A95" s="210"/>
      <c r="B95" s="210"/>
      <c r="C95" s="210"/>
      <c r="D95" s="210"/>
      <c r="E95" s="404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  <c r="AA95" s="210"/>
      <c r="AB95" s="210"/>
      <c r="AC95" s="210"/>
      <c r="AD95" s="210"/>
      <c r="AE95" s="210"/>
      <c r="AF95" s="210"/>
      <c r="AG95" s="210"/>
      <c r="AH95" s="210"/>
      <c r="AI95" s="210"/>
      <c r="AJ95"/>
      <c r="AK95"/>
      <c r="AL95"/>
      <c r="AM95"/>
      <c r="AN95"/>
      <c r="AO95"/>
      <c r="AP95"/>
      <c r="AQ95"/>
      <c r="AR95"/>
      <c r="AS95"/>
      <c r="AT95"/>
      <c r="AU95"/>
    </row>
    <row r="96" spans="1:47" s="408" customFormat="1" ht="16.5" customHeight="1">
      <c r="A96" s="210"/>
      <c r="B96" s="210"/>
      <c r="C96" s="210"/>
      <c r="D96" s="210"/>
      <c r="E96" s="404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  <c r="AA96" s="210"/>
      <c r="AB96" s="210"/>
      <c r="AC96" s="210"/>
      <c r="AD96" s="210"/>
      <c r="AE96" s="210"/>
      <c r="AF96" s="210"/>
      <c r="AG96" s="210"/>
      <c r="AH96" s="210"/>
      <c r="AI96" s="210"/>
      <c r="AJ96"/>
      <c r="AK96"/>
      <c r="AL96"/>
      <c r="AM96"/>
      <c r="AN96"/>
      <c r="AO96"/>
      <c r="AP96"/>
      <c r="AQ96"/>
      <c r="AR96"/>
      <c r="AS96"/>
      <c r="AT96"/>
      <c r="AU96"/>
    </row>
    <row r="97" spans="1:47" s="408" customFormat="1" ht="16.5" customHeight="1">
      <c r="A97" s="210"/>
      <c r="B97" s="210"/>
      <c r="C97" s="210"/>
      <c r="D97" s="210"/>
      <c r="E97" s="404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  <c r="AA97" s="210"/>
      <c r="AB97" s="210"/>
      <c r="AC97" s="210"/>
      <c r="AD97" s="210"/>
      <c r="AE97" s="210"/>
      <c r="AF97" s="210"/>
      <c r="AG97" s="210"/>
      <c r="AH97" s="210"/>
      <c r="AI97" s="210"/>
      <c r="AJ97"/>
      <c r="AK97"/>
      <c r="AL97"/>
      <c r="AM97"/>
      <c r="AN97"/>
      <c r="AO97"/>
      <c r="AP97"/>
      <c r="AQ97"/>
      <c r="AR97"/>
      <c r="AS97"/>
      <c r="AT97"/>
      <c r="AU97"/>
    </row>
    <row r="98" spans="1:47" s="408" customFormat="1" ht="16.5" customHeight="1">
      <c r="A98" s="210"/>
      <c r="B98" s="210"/>
      <c r="C98" s="210"/>
      <c r="D98" s="210"/>
      <c r="E98" s="404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  <c r="AA98" s="210"/>
      <c r="AB98" s="210"/>
      <c r="AC98" s="210"/>
      <c r="AD98" s="210"/>
      <c r="AE98" s="210"/>
      <c r="AF98" s="210"/>
      <c r="AG98" s="210"/>
      <c r="AH98" s="210"/>
      <c r="AI98" s="210"/>
      <c r="AJ98"/>
      <c r="AK98"/>
      <c r="AL98"/>
      <c r="AM98"/>
      <c r="AN98"/>
      <c r="AO98"/>
      <c r="AP98"/>
      <c r="AQ98"/>
      <c r="AR98"/>
      <c r="AS98"/>
      <c r="AT98"/>
      <c r="AU98"/>
    </row>
    <row r="99" spans="1:47" s="408" customFormat="1" ht="16.5" customHeight="1">
      <c r="A99" s="210"/>
      <c r="B99" s="210"/>
      <c r="C99" s="210"/>
      <c r="D99" s="210"/>
      <c r="E99" s="404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  <c r="AA99" s="210"/>
      <c r="AB99" s="210"/>
      <c r="AC99" s="210"/>
      <c r="AD99" s="210"/>
      <c r="AE99" s="210"/>
      <c r="AF99" s="210"/>
      <c r="AG99" s="210"/>
      <c r="AH99" s="210"/>
      <c r="AI99" s="210"/>
      <c r="AJ99"/>
      <c r="AK99"/>
      <c r="AL99"/>
      <c r="AM99"/>
      <c r="AN99"/>
      <c r="AO99"/>
      <c r="AP99"/>
      <c r="AQ99"/>
      <c r="AR99"/>
      <c r="AS99"/>
      <c r="AT99"/>
      <c r="AU99"/>
    </row>
    <row r="100" spans="1:47" s="408" customFormat="1" ht="16.5" customHeight="1">
      <c r="A100" s="210"/>
      <c r="B100" s="210"/>
      <c r="C100" s="210"/>
      <c r="D100" s="210"/>
      <c r="E100" s="404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  <c r="AA100" s="210"/>
      <c r="AB100" s="210"/>
      <c r="AC100" s="210"/>
      <c r="AD100" s="210"/>
      <c r="AE100" s="210"/>
      <c r="AF100" s="210"/>
      <c r="AG100" s="210"/>
      <c r="AH100" s="210"/>
      <c r="AI100" s="210"/>
      <c r="AJ100"/>
      <c r="AK100"/>
      <c r="AL100"/>
      <c r="AM100"/>
      <c r="AN100"/>
      <c r="AO100"/>
      <c r="AP100"/>
      <c r="AQ100"/>
      <c r="AR100"/>
      <c r="AS100"/>
      <c r="AT100"/>
      <c r="AU100"/>
    </row>
    <row r="101" spans="1:47" s="408" customFormat="1" ht="16.5" customHeight="1">
      <c r="A101" s="210"/>
      <c r="B101" s="210"/>
      <c r="C101" s="210"/>
      <c r="D101" s="210"/>
      <c r="E101" s="404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  <c r="AA101" s="210"/>
      <c r="AB101" s="210"/>
      <c r="AC101" s="210"/>
      <c r="AD101" s="210"/>
      <c r="AE101" s="210"/>
      <c r="AF101" s="210"/>
      <c r="AG101" s="210"/>
      <c r="AH101" s="210"/>
      <c r="AI101" s="210"/>
      <c r="AJ101"/>
      <c r="AK101"/>
      <c r="AL101"/>
      <c r="AM101"/>
      <c r="AN101"/>
      <c r="AO101"/>
      <c r="AP101"/>
      <c r="AQ101"/>
      <c r="AR101"/>
      <c r="AS101"/>
      <c r="AT101"/>
      <c r="AU101"/>
    </row>
    <row r="102" spans="1:47" s="408" customFormat="1" ht="16.5" customHeight="1">
      <c r="A102" s="210"/>
      <c r="B102" s="210"/>
      <c r="C102" s="210"/>
      <c r="D102" s="210"/>
      <c r="E102" s="404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  <c r="AA102" s="210"/>
      <c r="AB102" s="210"/>
      <c r="AC102" s="210"/>
      <c r="AD102" s="210"/>
      <c r="AE102" s="210"/>
      <c r="AF102" s="210"/>
      <c r="AG102" s="210"/>
      <c r="AH102" s="210"/>
      <c r="AI102" s="210"/>
      <c r="AJ102"/>
      <c r="AK102"/>
      <c r="AL102"/>
      <c r="AM102"/>
      <c r="AN102"/>
      <c r="AO102"/>
      <c r="AP102"/>
      <c r="AQ102"/>
      <c r="AR102"/>
      <c r="AS102"/>
      <c r="AT102"/>
      <c r="AU102"/>
    </row>
    <row r="103" spans="1:47" s="408" customFormat="1" ht="16.5" customHeight="1">
      <c r="A103" s="210"/>
      <c r="B103" s="210"/>
      <c r="C103" s="210"/>
      <c r="D103" s="210"/>
      <c r="E103" s="404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  <c r="AA103" s="210"/>
      <c r="AB103" s="210"/>
      <c r="AC103" s="210"/>
      <c r="AD103" s="210"/>
      <c r="AE103" s="210"/>
      <c r="AF103" s="210"/>
      <c r="AG103" s="210"/>
      <c r="AH103" s="210"/>
      <c r="AI103" s="210"/>
      <c r="AJ103"/>
      <c r="AK103"/>
      <c r="AL103"/>
      <c r="AM103"/>
      <c r="AN103"/>
      <c r="AO103"/>
      <c r="AP103"/>
      <c r="AQ103"/>
      <c r="AR103"/>
      <c r="AS103"/>
      <c r="AT103"/>
      <c r="AU103"/>
    </row>
    <row r="104" spans="1:47" s="408" customFormat="1" ht="16.5" customHeight="1">
      <c r="A104" s="210"/>
      <c r="B104" s="210"/>
      <c r="C104" s="210"/>
      <c r="D104" s="210"/>
      <c r="E104" s="404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  <c r="AA104" s="210"/>
      <c r="AB104" s="210"/>
      <c r="AC104" s="210"/>
      <c r="AD104" s="210"/>
      <c r="AE104" s="210"/>
      <c r="AF104" s="210"/>
      <c r="AG104" s="210"/>
      <c r="AH104" s="210"/>
      <c r="AI104" s="210"/>
      <c r="AJ104"/>
      <c r="AK104"/>
      <c r="AL104"/>
      <c r="AM104"/>
      <c r="AN104"/>
      <c r="AO104"/>
      <c r="AP104"/>
      <c r="AQ104"/>
      <c r="AR104"/>
      <c r="AS104"/>
      <c r="AT104"/>
      <c r="AU104"/>
    </row>
    <row r="105" spans="1:47" s="408" customFormat="1" ht="16.5" customHeight="1">
      <c r="A105" s="210"/>
      <c r="B105" s="210"/>
      <c r="C105" s="210"/>
      <c r="D105" s="210"/>
      <c r="E105" s="404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0"/>
      <c r="AG105" s="210"/>
      <c r="AH105" s="210"/>
      <c r="AI105" s="210"/>
      <c r="AJ105"/>
      <c r="AK105"/>
      <c r="AL105"/>
      <c r="AM105"/>
      <c r="AN105"/>
      <c r="AO105"/>
      <c r="AP105"/>
      <c r="AQ105"/>
      <c r="AR105"/>
      <c r="AS105"/>
      <c r="AT105"/>
      <c r="AU105"/>
    </row>
    <row r="106" spans="1:47" s="408" customFormat="1" ht="16.5" customHeight="1">
      <c r="A106" s="210"/>
      <c r="B106" s="210"/>
      <c r="C106" s="210"/>
      <c r="D106" s="210"/>
      <c r="E106" s="404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  <c r="AA106" s="210"/>
      <c r="AB106" s="210"/>
      <c r="AC106" s="210"/>
      <c r="AD106" s="210"/>
      <c r="AE106" s="210"/>
      <c r="AF106" s="210"/>
      <c r="AG106" s="210"/>
      <c r="AH106" s="210"/>
      <c r="AI106" s="210"/>
      <c r="AJ106"/>
      <c r="AK106"/>
      <c r="AL106"/>
      <c r="AM106"/>
      <c r="AN106"/>
      <c r="AO106"/>
      <c r="AP106"/>
      <c r="AQ106"/>
      <c r="AR106"/>
      <c r="AS106"/>
      <c r="AT106"/>
      <c r="AU106"/>
    </row>
    <row r="107" spans="1:47" s="408" customFormat="1" ht="16.5" customHeight="1">
      <c r="A107" s="210"/>
      <c r="B107" s="210"/>
      <c r="C107" s="210"/>
      <c r="D107" s="210"/>
      <c r="E107" s="404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  <c r="AA107" s="210"/>
      <c r="AB107" s="210"/>
      <c r="AC107" s="210"/>
      <c r="AD107" s="210"/>
      <c r="AE107" s="210"/>
      <c r="AF107" s="210"/>
      <c r="AG107" s="210"/>
      <c r="AH107" s="210"/>
      <c r="AI107" s="210"/>
      <c r="AJ107"/>
      <c r="AK107"/>
      <c r="AL107"/>
      <c r="AM107"/>
      <c r="AN107"/>
      <c r="AO107"/>
      <c r="AP107"/>
      <c r="AQ107"/>
      <c r="AR107"/>
      <c r="AS107"/>
      <c r="AT107"/>
      <c r="AU107"/>
    </row>
    <row r="108" spans="1:47" s="408" customFormat="1" ht="16.5" customHeight="1">
      <c r="A108" s="210"/>
      <c r="B108" s="210"/>
      <c r="C108" s="210"/>
      <c r="D108" s="210"/>
      <c r="E108" s="404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  <c r="AA108" s="210"/>
      <c r="AB108" s="210"/>
      <c r="AC108" s="210"/>
      <c r="AD108" s="210"/>
      <c r="AE108" s="210"/>
      <c r="AF108" s="210"/>
      <c r="AG108" s="210"/>
      <c r="AH108" s="210"/>
      <c r="AI108" s="210"/>
      <c r="AJ108"/>
      <c r="AK108"/>
      <c r="AL108"/>
      <c r="AM108"/>
      <c r="AN108"/>
      <c r="AO108"/>
      <c r="AP108"/>
      <c r="AQ108"/>
      <c r="AR108"/>
      <c r="AS108"/>
      <c r="AT108"/>
      <c r="AU108"/>
    </row>
    <row r="109" spans="1:47" s="408" customFormat="1" ht="16.5" customHeight="1">
      <c r="A109" s="210"/>
      <c r="B109" s="210"/>
      <c r="C109" s="210"/>
      <c r="D109" s="210"/>
      <c r="E109" s="404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  <c r="AA109" s="210"/>
      <c r="AB109" s="210"/>
      <c r="AC109" s="210"/>
      <c r="AD109" s="210"/>
      <c r="AE109" s="210"/>
      <c r="AF109" s="210"/>
      <c r="AG109" s="210"/>
      <c r="AH109" s="210"/>
      <c r="AI109" s="210"/>
      <c r="AJ109"/>
      <c r="AK109"/>
      <c r="AL109"/>
      <c r="AM109"/>
      <c r="AN109"/>
      <c r="AO109"/>
      <c r="AP109"/>
      <c r="AQ109"/>
      <c r="AR109"/>
      <c r="AS109"/>
      <c r="AT109"/>
      <c r="AU109"/>
    </row>
    <row r="110" spans="1:47" s="408" customFormat="1" ht="16.5" customHeight="1">
      <c r="A110" s="210"/>
      <c r="B110" s="210"/>
      <c r="C110" s="210"/>
      <c r="D110" s="210"/>
      <c r="E110" s="404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  <c r="AA110" s="210"/>
      <c r="AB110" s="210"/>
      <c r="AC110" s="210"/>
      <c r="AD110" s="210"/>
      <c r="AE110" s="210"/>
      <c r="AF110" s="210"/>
      <c r="AG110" s="210"/>
      <c r="AH110" s="210"/>
      <c r="AI110" s="210"/>
      <c r="AJ110"/>
      <c r="AK110"/>
      <c r="AL110"/>
      <c r="AM110"/>
      <c r="AN110"/>
      <c r="AO110"/>
      <c r="AP110"/>
      <c r="AQ110"/>
      <c r="AR110"/>
      <c r="AS110"/>
      <c r="AT110"/>
      <c r="AU110"/>
    </row>
    <row r="111" spans="1:47" s="408" customFormat="1" ht="16.5" customHeight="1">
      <c r="A111" s="210"/>
      <c r="B111" s="210"/>
      <c r="C111" s="210"/>
      <c r="D111" s="210"/>
      <c r="E111" s="404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  <c r="AA111" s="210"/>
      <c r="AB111" s="210"/>
      <c r="AC111" s="210"/>
      <c r="AD111" s="210"/>
      <c r="AE111" s="210"/>
      <c r="AF111" s="210"/>
      <c r="AG111" s="210"/>
      <c r="AH111" s="210"/>
      <c r="AI111" s="210"/>
      <c r="AJ111"/>
      <c r="AK111"/>
      <c r="AL111"/>
      <c r="AM111"/>
      <c r="AN111"/>
      <c r="AO111"/>
      <c r="AP111"/>
      <c r="AQ111"/>
      <c r="AR111"/>
      <c r="AS111"/>
      <c r="AT111"/>
      <c r="AU111"/>
    </row>
    <row r="112" spans="1:47" s="408" customFormat="1" ht="16.5" customHeight="1">
      <c r="A112" s="210"/>
      <c r="B112" s="210"/>
      <c r="C112" s="210"/>
      <c r="D112" s="210"/>
      <c r="E112" s="404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  <c r="AA112" s="210"/>
      <c r="AB112" s="210"/>
      <c r="AC112" s="210"/>
      <c r="AD112" s="210"/>
      <c r="AE112" s="210"/>
      <c r="AF112" s="210"/>
      <c r="AG112" s="210"/>
      <c r="AH112" s="210"/>
      <c r="AI112" s="210"/>
      <c r="AJ112"/>
      <c r="AK112"/>
      <c r="AL112"/>
      <c r="AM112"/>
      <c r="AN112"/>
      <c r="AO112"/>
      <c r="AP112"/>
      <c r="AQ112"/>
      <c r="AR112"/>
      <c r="AS112"/>
      <c r="AT112"/>
      <c r="AU112"/>
    </row>
    <row r="113" spans="1:47" s="408" customFormat="1" ht="16.5" customHeight="1">
      <c r="A113" s="210"/>
      <c r="B113" s="210"/>
      <c r="C113" s="210"/>
      <c r="D113" s="210"/>
      <c r="E113" s="404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  <c r="AA113" s="210"/>
      <c r="AB113" s="210"/>
      <c r="AC113" s="210"/>
      <c r="AD113" s="210"/>
      <c r="AE113" s="210"/>
      <c r="AF113" s="210"/>
      <c r="AG113" s="210"/>
      <c r="AH113" s="210"/>
      <c r="AI113" s="210"/>
      <c r="AJ113"/>
      <c r="AK113"/>
      <c r="AL113"/>
      <c r="AM113"/>
      <c r="AN113"/>
      <c r="AO113"/>
      <c r="AP113"/>
      <c r="AQ113"/>
      <c r="AR113"/>
      <c r="AS113"/>
      <c r="AT113"/>
      <c r="AU113"/>
    </row>
    <row r="114" spans="1:47" s="408" customFormat="1" ht="16.5" customHeight="1">
      <c r="A114" s="210"/>
      <c r="B114" s="210"/>
      <c r="C114" s="210"/>
      <c r="D114" s="210"/>
      <c r="E114" s="404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  <c r="AA114" s="210"/>
      <c r="AB114" s="210"/>
      <c r="AC114" s="210"/>
      <c r="AD114" s="210"/>
      <c r="AE114" s="210"/>
      <c r="AF114" s="210"/>
      <c r="AG114" s="210"/>
      <c r="AH114" s="210"/>
      <c r="AI114" s="210"/>
      <c r="AJ114"/>
      <c r="AK114"/>
      <c r="AL114"/>
      <c r="AM114"/>
      <c r="AN114"/>
      <c r="AO114"/>
      <c r="AP114"/>
      <c r="AQ114"/>
      <c r="AR114"/>
      <c r="AS114"/>
      <c r="AT114"/>
      <c r="AU114"/>
    </row>
    <row r="115" spans="1:47" s="408" customFormat="1" ht="16.5" customHeight="1">
      <c r="A115" s="210"/>
      <c r="B115" s="210"/>
      <c r="C115" s="210"/>
      <c r="D115" s="210"/>
      <c r="E115" s="404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  <c r="AA115" s="210"/>
      <c r="AB115" s="210"/>
      <c r="AC115" s="210"/>
      <c r="AD115" s="210"/>
      <c r="AE115" s="210"/>
      <c r="AF115" s="210"/>
      <c r="AG115" s="210"/>
      <c r="AH115" s="210"/>
      <c r="AI115" s="210"/>
      <c r="AJ115"/>
      <c r="AK115"/>
      <c r="AL115"/>
      <c r="AM115"/>
      <c r="AN115"/>
      <c r="AO115"/>
      <c r="AP115"/>
      <c r="AQ115"/>
      <c r="AR115"/>
      <c r="AS115"/>
      <c r="AT115"/>
      <c r="AU115"/>
    </row>
    <row r="116" spans="1:47" s="408" customFormat="1" ht="16.5" customHeight="1">
      <c r="A116" s="210"/>
      <c r="B116" s="210"/>
      <c r="C116" s="210"/>
      <c r="D116" s="210"/>
      <c r="E116" s="404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  <c r="AA116" s="210"/>
      <c r="AB116" s="210"/>
      <c r="AC116" s="210"/>
      <c r="AD116" s="210"/>
      <c r="AE116" s="210"/>
      <c r="AF116" s="210"/>
      <c r="AG116" s="210"/>
      <c r="AH116" s="210"/>
      <c r="AI116" s="210"/>
      <c r="AJ116"/>
      <c r="AK116"/>
      <c r="AL116"/>
      <c r="AM116"/>
      <c r="AN116"/>
      <c r="AO116"/>
      <c r="AP116"/>
      <c r="AQ116"/>
      <c r="AR116"/>
      <c r="AS116"/>
      <c r="AT116"/>
      <c r="AU116"/>
    </row>
    <row r="117" spans="1:47" s="408" customFormat="1" ht="16.5" customHeight="1">
      <c r="A117" s="210"/>
      <c r="B117" s="210"/>
      <c r="C117" s="210"/>
      <c r="D117" s="210"/>
      <c r="E117" s="404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  <c r="AA117" s="210"/>
      <c r="AB117" s="210"/>
      <c r="AC117" s="210"/>
      <c r="AD117" s="210"/>
      <c r="AE117" s="210"/>
      <c r="AF117" s="210"/>
      <c r="AG117" s="210"/>
      <c r="AH117" s="210"/>
      <c r="AI117" s="210"/>
      <c r="AJ117"/>
      <c r="AK117"/>
      <c r="AL117"/>
      <c r="AM117"/>
      <c r="AN117"/>
      <c r="AO117"/>
      <c r="AP117"/>
      <c r="AQ117"/>
      <c r="AR117"/>
      <c r="AS117"/>
      <c r="AT117"/>
      <c r="AU117"/>
    </row>
    <row r="118" spans="1:47" s="408" customFormat="1" ht="16.5" customHeight="1">
      <c r="A118" s="210"/>
      <c r="B118" s="210"/>
      <c r="C118" s="210"/>
      <c r="D118" s="210"/>
      <c r="E118" s="404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  <c r="AA118" s="210"/>
      <c r="AB118" s="210"/>
      <c r="AC118" s="210"/>
      <c r="AD118" s="210"/>
      <c r="AE118" s="210"/>
      <c r="AF118" s="210"/>
      <c r="AG118" s="210"/>
      <c r="AH118" s="210"/>
      <c r="AI118" s="210"/>
      <c r="AJ118"/>
      <c r="AK118"/>
      <c r="AL118"/>
      <c r="AM118"/>
      <c r="AN118"/>
      <c r="AO118"/>
      <c r="AP118"/>
      <c r="AQ118"/>
      <c r="AR118"/>
      <c r="AS118"/>
      <c r="AT118"/>
      <c r="AU118"/>
    </row>
    <row r="119" spans="1:47" s="408" customFormat="1" ht="16.5" customHeight="1">
      <c r="A119" s="210"/>
      <c r="B119" s="210"/>
      <c r="C119" s="210"/>
      <c r="D119" s="210"/>
      <c r="E119" s="404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  <c r="AA119" s="210"/>
      <c r="AB119" s="210"/>
      <c r="AC119" s="210"/>
      <c r="AD119" s="210"/>
      <c r="AE119" s="210"/>
      <c r="AF119" s="210"/>
      <c r="AG119" s="210"/>
      <c r="AH119" s="210"/>
      <c r="AI119" s="210"/>
      <c r="AJ119"/>
      <c r="AK119"/>
      <c r="AL119"/>
      <c r="AM119"/>
      <c r="AN119"/>
      <c r="AO119"/>
      <c r="AP119"/>
      <c r="AQ119"/>
      <c r="AR119"/>
      <c r="AS119"/>
      <c r="AT119"/>
      <c r="AU119"/>
    </row>
    <row r="120" spans="1:47" s="408" customFormat="1" ht="16.5" customHeight="1">
      <c r="A120" s="210"/>
      <c r="B120" s="210"/>
      <c r="C120" s="210"/>
      <c r="D120" s="210"/>
      <c r="E120" s="404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  <c r="AA120" s="210"/>
      <c r="AB120" s="210"/>
      <c r="AC120" s="210"/>
      <c r="AD120" s="210"/>
      <c r="AE120" s="210"/>
      <c r="AF120" s="210"/>
      <c r="AG120" s="210"/>
      <c r="AH120" s="210"/>
      <c r="AI120" s="210"/>
      <c r="AJ120"/>
      <c r="AK120"/>
      <c r="AL120"/>
      <c r="AM120"/>
      <c r="AN120"/>
      <c r="AO120"/>
      <c r="AP120"/>
      <c r="AQ120"/>
      <c r="AR120"/>
      <c r="AS120"/>
      <c r="AT120"/>
      <c r="AU120"/>
    </row>
    <row r="121" spans="1:47" s="408" customFormat="1" ht="16.5" customHeight="1">
      <c r="A121" s="210"/>
      <c r="B121" s="210"/>
      <c r="C121" s="210"/>
      <c r="D121" s="210"/>
      <c r="E121" s="404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  <c r="AA121" s="210"/>
      <c r="AB121" s="210"/>
      <c r="AC121" s="210"/>
      <c r="AD121" s="210"/>
      <c r="AE121" s="210"/>
      <c r="AF121" s="210"/>
      <c r="AG121" s="210"/>
      <c r="AH121" s="210"/>
      <c r="AI121" s="210"/>
      <c r="AJ121"/>
      <c r="AK121"/>
      <c r="AL121"/>
      <c r="AM121"/>
      <c r="AN121"/>
      <c r="AO121"/>
      <c r="AP121"/>
      <c r="AQ121"/>
      <c r="AR121"/>
      <c r="AS121"/>
      <c r="AT121"/>
      <c r="AU121"/>
    </row>
    <row r="122" spans="1:47" s="408" customFormat="1" ht="16.5" customHeight="1">
      <c r="A122" s="210"/>
      <c r="B122" s="210"/>
      <c r="C122" s="210"/>
      <c r="D122" s="210"/>
      <c r="E122" s="404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  <c r="AA122" s="210"/>
      <c r="AB122" s="210"/>
      <c r="AC122" s="210"/>
      <c r="AD122" s="210"/>
      <c r="AE122" s="210"/>
      <c r="AF122" s="210"/>
      <c r="AG122" s="210"/>
      <c r="AH122" s="210"/>
      <c r="AI122" s="210"/>
      <c r="AJ122"/>
      <c r="AK122"/>
      <c r="AL122"/>
      <c r="AM122"/>
      <c r="AN122"/>
      <c r="AO122"/>
      <c r="AP122"/>
      <c r="AQ122"/>
      <c r="AR122"/>
      <c r="AS122"/>
      <c r="AT122"/>
      <c r="AU122"/>
    </row>
    <row r="123" spans="1:47" s="408" customFormat="1" ht="16.5" customHeight="1">
      <c r="A123" s="210"/>
      <c r="B123" s="210"/>
      <c r="C123" s="210"/>
      <c r="D123" s="210"/>
      <c r="E123" s="404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  <c r="AA123" s="210"/>
      <c r="AB123" s="210"/>
      <c r="AC123" s="210"/>
      <c r="AD123" s="210"/>
      <c r="AE123" s="210"/>
      <c r="AF123" s="210"/>
      <c r="AG123" s="210"/>
      <c r="AH123" s="210"/>
      <c r="AI123" s="210"/>
      <c r="AJ123"/>
      <c r="AK123"/>
      <c r="AL123"/>
      <c r="AM123"/>
      <c r="AN123"/>
      <c r="AO123"/>
      <c r="AP123"/>
      <c r="AQ123"/>
      <c r="AR123"/>
      <c r="AS123"/>
      <c r="AT123"/>
      <c r="AU123"/>
    </row>
    <row r="124" spans="1:47" s="408" customFormat="1" ht="16.5" customHeight="1">
      <c r="A124" s="210"/>
      <c r="B124" s="210"/>
      <c r="C124" s="210"/>
      <c r="D124" s="210"/>
      <c r="E124" s="404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  <c r="AA124" s="210"/>
      <c r="AB124" s="210"/>
      <c r="AC124" s="210"/>
      <c r="AD124" s="210"/>
      <c r="AE124" s="210"/>
      <c r="AF124" s="210"/>
      <c r="AG124" s="210"/>
      <c r="AH124" s="210"/>
      <c r="AI124" s="210"/>
      <c r="AJ124"/>
      <c r="AK124"/>
      <c r="AL124"/>
      <c r="AM124"/>
      <c r="AN124"/>
      <c r="AO124"/>
      <c r="AP124"/>
      <c r="AQ124"/>
      <c r="AR124"/>
      <c r="AS124"/>
      <c r="AT124"/>
      <c r="AU124"/>
    </row>
    <row r="125" spans="1:47" s="408" customFormat="1" ht="16.5" customHeight="1">
      <c r="A125" s="210"/>
      <c r="B125" s="210"/>
      <c r="C125" s="210"/>
      <c r="D125" s="210"/>
      <c r="E125" s="404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  <c r="AA125" s="210"/>
      <c r="AB125" s="210"/>
      <c r="AC125" s="210"/>
      <c r="AD125" s="210"/>
      <c r="AE125" s="210"/>
      <c r="AF125" s="210"/>
      <c r="AG125" s="210"/>
      <c r="AH125" s="210"/>
      <c r="AI125" s="210"/>
      <c r="AJ125"/>
      <c r="AK125"/>
      <c r="AL125"/>
      <c r="AM125"/>
      <c r="AN125"/>
      <c r="AO125"/>
      <c r="AP125"/>
      <c r="AQ125"/>
      <c r="AR125"/>
      <c r="AS125"/>
      <c r="AT125"/>
      <c r="AU125"/>
    </row>
    <row r="126" spans="1:47" s="408" customFormat="1" ht="16.5" customHeight="1">
      <c r="A126" s="210"/>
      <c r="B126" s="210"/>
      <c r="C126" s="210"/>
      <c r="D126" s="210"/>
      <c r="E126" s="404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  <c r="AA126" s="210"/>
      <c r="AB126" s="210"/>
      <c r="AC126" s="210"/>
      <c r="AD126" s="210"/>
      <c r="AE126" s="210"/>
      <c r="AF126" s="210"/>
      <c r="AG126" s="210"/>
      <c r="AH126" s="210"/>
      <c r="AI126" s="210"/>
      <c r="AJ126"/>
      <c r="AK126"/>
      <c r="AL126"/>
      <c r="AM126"/>
      <c r="AN126"/>
      <c r="AO126"/>
      <c r="AP126"/>
      <c r="AQ126"/>
      <c r="AR126"/>
      <c r="AS126"/>
      <c r="AT126"/>
      <c r="AU126"/>
    </row>
    <row r="127" spans="1:47" s="408" customFormat="1" ht="16.5" customHeight="1">
      <c r="A127" s="210"/>
      <c r="B127" s="210"/>
      <c r="C127" s="210"/>
      <c r="D127" s="210"/>
      <c r="E127" s="404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  <c r="AA127" s="210"/>
      <c r="AB127" s="210"/>
      <c r="AC127" s="210"/>
      <c r="AD127" s="210"/>
      <c r="AE127" s="210"/>
      <c r="AF127" s="210"/>
      <c r="AG127" s="210"/>
      <c r="AH127" s="210"/>
      <c r="AI127" s="210"/>
      <c r="AJ127"/>
      <c r="AK127"/>
      <c r="AL127"/>
      <c r="AM127"/>
      <c r="AN127"/>
      <c r="AO127"/>
      <c r="AP127"/>
      <c r="AQ127"/>
      <c r="AR127"/>
      <c r="AS127"/>
      <c r="AT127"/>
      <c r="AU127"/>
    </row>
    <row r="128" spans="1:47" s="408" customFormat="1" ht="16.5" customHeight="1">
      <c r="A128" s="210"/>
      <c r="B128" s="210"/>
      <c r="C128" s="210"/>
      <c r="D128" s="210"/>
      <c r="E128" s="404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  <c r="AA128" s="210"/>
      <c r="AB128" s="210"/>
      <c r="AC128" s="210"/>
      <c r="AD128" s="210"/>
      <c r="AE128" s="210"/>
      <c r="AF128" s="210"/>
      <c r="AG128" s="210"/>
      <c r="AH128" s="210"/>
      <c r="AI128" s="210"/>
      <c r="AJ128"/>
      <c r="AK128"/>
      <c r="AL128"/>
      <c r="AM128"/>
      <c r="AN128"/>
      <c r="AO128"/>
      <c r="AP128"/>
      <c r="AQ128"/>
      <c r="AR128"/>
      <c r="AS128"/>
      <c r="AT128"/>
      <c r="AU128"/>
    </row>
    <row r="129" spans="1:47" s="408" customFormat="1" ht="16.5" customHeight="1">
      <c r="A129" s="210"/>
      <c r="B129" s="210"/>
      <c r="C129" s="210"/>
      <c r="D129" s="210"/>
      <c r="E129" s="404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  <c r="AA129" s="210"/>
      <c r="AB129" s="210"/>
      <c r="AC129" s="210"/>
      <c r="AD129" s="210"/>
      <c r="AE129" s="210"/>
      <c r="AF129" s="210"/>
      <c r="AG129" s="210"/>
      <c r="AH129" s="210"/>
      <c r="AI129" s="210"/>
      <c r="AJ129"/>
      <c r="AK129"/>
      <c r="AL129"/>
      <c r="AM129"/>
      <c r="AN129"/>
      <c r="AO129"/>
      <c r="AP129"/>
      <c r="AQ129"/>
      <c r="AR129"/>
      <c r="AS129"/>
      <c r="AT129"/>
      <c r="AU129"/>
    </row>
    <row r="130" spans="1:47" s="408" customFormat="1" ht="16.5" customHeight="1">
      <c r="A130" s="210"/>
      <c r="B130" s="210"/>
      <c r="C130" s="210"/>
      <c r="D130" s="210"/>
      <c r="E130" s="404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  <c r="AA130" s="210"/>
      <c r="AB130" s="210"/>
      <c r="AC130" s="210"/>
      <c r="AD130" s="210"/>
      <c r="AE130" s="210"/>
      <c r="AF130" s="210"/>
      <c r="AG130" s="210"/>
      <c r="AH130" s="210"/>
      <c r="AI130" s="210"/>
      <c r="AJ130"/>
      <c r="AK130"/>
      <c r="AL130"/>
      <c r="AM130"/>
      <c r="AN130"/>
      <c r="AO130"/>
      <c r="AP130"/>
      <c r="AQ130"/>
      <c r="AR130"/>
      <c r="AS130"/>
      <c r="AT130"/>
      <c r="AU130"/>
    </row>
    <row r="131" spans="1:47" s="408" customFormat="1" ht="16.5" customHeight="1">
      <c r="A131" s="210"/>
      <c r="B131" s="210"/>
      <c r="C131" s="210"/>
      <c r="D131" s="210"/>
      <c r="E131" s="404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  <c r="AA131" s="210"/>
      <c r="AB131" s="210"/>
      <c r="AC131" s="210"/>
      <c r="AD131" s="210"/>
      <c r="AE131" s="210"/>
      <c r="AF131" s="210"/>
      <c r="AG131" s="210"/>
      <c r="AH131" s="210"/>
      <c r="AI131" s="210"/>
      <c r="AJ131"/>
      <c r="AK131"/>
      <c r="AL131"/>
      <c r="AM131"/>
      <c r="AN131"/>
      <c r="AO131"/>
      <c r="AP131"/>
      <c r="AQ131"/>
      <c r="AR131"/>
      <c r="AS131"/>
      <c r="AT131"/>
      <c r="AU131"/>
    </row>
    <row r="132" spans="1:47" s="408" customFormat="1" ht="16.5" customHeight="1">
      <c r="A132" s="210"/>
      <c r="B132" s="210"/>
      <c r="C132" s="210"/>
      <c r="D132" s="210"/>
      <c r="E132" s="404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  <c r="AA132" s="210"/>
      <c r="AB132" s="210"/>
      <c r="AC132" s="210"/>
      <c r="AD132" s="210"/>
      <c r="AE132" s="210"/>
      <c r="AF132" s="210"/>
      <c r="AG132" s="210"/>
      <c r="AH132" s="210"/>
      <c r="AI132" s="210"/>
      <c r="AJ132"/>
      <c r="AK132"/>
      <c r="AL132"/>
      <c r="AM132"/>
      <c r="AN132"/>
      <c r="AO132"/>
      <c r="AP132"/>
      <c r="AQ132"/>
      <c r="AR132"/>
      <c r="AS132"/>
      <c r="AT132"/>
      <c r="AU132"/>
    </row>
    <row r="133" spans="1:47" s="408" customFormat="1" ht="16.5" customHeight="1">
      <c r="A133" s="210"/>
      <c r="B133" s="210"/>
      <c r="C133" s="210"/>
      <c r="D133" s="210"/>
      <c r="E133" s="404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  <c r="AA133" s="210"/>
      <c r="AB133" s="210"/>
      <c r="AC133" s="210"/>
      <c r="AD133" s="210"/>
      <c r="AE133" s="210"/>
      <c r="AF133" s="210"/>
      <c r="AG133" s="210"/>
      <c r="AH133" s="210"/>
      <c r="AI133" s="210"/>
      <c r="AJ133"/>
      <c r="AK133"/>
      <c r="AL133"/>
      <c r="AM133"/>
      <c r="AN133"/>
      <c r="AO133"/>
      <c r="AP133"/>
      <c r="AQ133"/>
      <c r="AR133"/>
      <c r="AS133"/>
      <c r="AT133"/>
      <c r="AU133"/>
    </row>
    <row r="134" spans="1:47" s="408" customFormat="1" ht="16.5" customHeight="1">
      <c r="A134" s="210"/>
      <c r="B134" s="210"/>
      <c r="C134" s="210"/>
      <c r="D134" s="210"/>
      <c r="E134" s="404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  <c r="AA134" s="210"/>
      <c r="AB134" s="210"/>
      <c r="AC134" s="210"/>
      <c r="AD134" s="210"/>
      <c r="AE134" s="210"/>
      <c r="AF134" s="210"/>
      <c r="AG134" s="210"/>
      <c r="AH134" s="210"/>
      <c r="AI134" s="210"/>
      <c r="AJ134"/>
      <c r="AK134"/>
      <c r="AL134"/>
      <c r="AM134"/>
      <c r="AN134"/>
      <c r="AO134"/>
      <c r="AP134"/>
      <c r="AQ134"/>
      <c r="AR134"/>
      <c r="AS134"/>
      <c r="AT134"/>
      <c r="AU134"/>
    </row>
    <row r="135" spans="1:47" s="408" customFormat="1" ht="16.5" customHeight="1">
      <c r="A135" s="210"/>
      <c r="B135" s="210"/>
      <c r="C135" s="210"/>
      <c r="D135" s="210"/>
      <c r="E135" s="404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  <c r="AA135" s="210"/>
      <c r="AB135" s="210"/>
      <c r="AC135" s="210"/>
      <c r="AD135" s="210"/>
      <c r="AE135" s="210"/>
      <c r="AF135" s="210"/>
      <c r="AG135" s="210"/>
      <c r="AH135" s="210"/>
      <c r="AI135" s="210"/>
      <c r="AJ135"/>
      <c r="AK135"/>
      <c r="AL135"/>
      <c r="AM135"/>
      <c r="AN135"/>
      <c r="AO135"/>
      <c r="AP135"/>
      <c r="AQ135"/>
      <c r="AR135"/>
      <c r="AS135"/>
      <c r="AT135"/>
      <c r="AU135"/>
    </row>
    <row r="136" spans="1:47" s="408" customFormat="1" ht="16.5" customHeight="1">
      <c r="A136" s="210"/>
      <c r="B136" s="210"/>
      <c r="C136" s="210"/>
      <c r="D136" s="210"/>
      <c r="E136" s="404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  <c r="AA136" s="210"/>
      <c r="AB136" s="210"/>
      <c r="AC136" s="210"/>
      <c r="AD136" s="210"/>
      <c r="AE136" s="210"/>
      <c r="AF136" s="210"/>
      <c r="AG136" s="210"/>
      <c r="AH136" s="210"/>
      <c r="AI136" s="210"/>
      <c r="AJ136"/>
      <c r="AK136"/>
      <c r="AL136"/>
      <c r="AM136"/>
      <c r="AN136"/>
      <c r="AO136"/>
      <c r="AP136"/>
      <c r="AQ136"/>
      <c r="AR136"/>
      <c r="AS136"/>
      <c r="AT136"/>
      <c r="AU136"/>
    </row>
    <row r="137" spans="1:47" s="408" customFormat="1" ht="16.5" customHeight="1">
      <c r="A137" s="210"/>
      <c r="B137" s="210"/>
      <c r="C137" s="210"/>
      <c r="D137" s="210"/>
      <c r="E137" s="404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  <c r="AA137" s="210"/>
      <c r="AB137" s="210"/>
      <c r="AC137" s="210"/>
      <c r="AD137" s="210"/>
      <c r="AE137" s="210"/>
      <c r="AF137" s="210"/>
      <c r="AG137" s="210"/>
      <c r="AH137" s="210"/>
      <c r="AI137" s="210"/>
      <c r="AJ137"/>
      <c r="AK137"/>
      <c r="AL137"/>
      <c r="AM137"/>
      <c r="AN137"/>
      <c r="AO137"/>
      <c r="AP137"/>
      <c r="AQ137"/>
      <c r="AR137"/>
      <c r="AS137"/>
      <c r="AT137"/>
      <c r="AU137"/>
    </row>
    <row r="138" spans="1:47" s="408" customFormat="1" ht="16.5" customHeight="1">
      <c r="A138" s="210"/>
      <c r="B138" s="210"/>
      <c r="C138" s="210"/>
      <c r="D138" s="210"/>
      <c r="E138" s="404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  <c r="AA138" s="210"/>
      <c r="AB138" s="210"/>
      <c r="AC138" s="210"/>
      <c r="AD138" s="210"/>
      <c r="AE138" s="210"/>
      <c r="AF138" s="210"/>
      <c r="AG138" s="210"/>
      <c r="AH138" s="210"/>
      <c r="AI138" s="210"/>
      <c r="AJ138"/>
      <c r="AK138"/>
      <c r="AL138"/>
      <c r="AM138"/>
      <c r="AN138"/>
      <c r="AO138"/>
      <c r="AP138"/>
      <c r="AQ138"/>
      <c r="AR138"/>
      <c r="AS138"/>
      <c r="AT138"/>
      <c r="AU138"/>
    </row>
    <row r="139" spans="1:47" s="408" customFormat="1" ht="16.5" customHeight="1">
      <c r="A139" s="210"/>
      <c r="B139" s="210"/>
      <c r="C139" s="210"/>
      <c r="D139" s="210"/>
      <c r="E139" s="404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  <c r="AA139" s="210"/>
      <c r="AB139" s="210"/>
      <c r="AC139" s="210"/>
      <c r="AD139" s="210"/>
      <c r="AE139" s="210"/>
      <c r="AF139" s="210"/>
      <c r="AG139" s="210"/>
      <c r="AH139" s="210"/>
      <c r="AI139" s="210"/>
      <c r="AJ139"/>
      <c r="AK139"/>
      <c r="AL139"/>
      <c r="AM139"/>
      <c r="AN139"/>
      <c r="AO139"/>
      <c r="AP139"/>
      <c r="AQ139"/>
      <c r="AR139"/>
      <c r="AS139"/>
      <c r="AT139"/>
      <c r="AU139"/>
    </row>
    <row r="140" spans="1:47" s="408" customFormat="1" ht="16.5" customHeight="1">
      <c r="A140" s="210"/>
      <c r="B140" s="210"/>
      <c r="C140" s="210"/>
      <c r="D140" s="210"/>
      <c r="E140" s="404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  <c r="AA140" s="210"/>
      <c r="AB140" s="210"/>
      <c r="AC140" s="210"/>
      <c r="AD140" s="210"/>
      <c r="AE140" s="210"/>
      <c r="AF140" s="210"/>
      <c r="AG140" s="210"/>
      <c r="AH140" s="210"/>
      <c r="AI140" s="210"/>
      <c r="AJ140"/>
      <c r="AK140"/>
      <c r="AL140"/>
      <c r="AM140"/>
      <c r="AN140"/>
      <c r="AO140"/>
      <c r="AP140"/>
      <c r="AQ140"/>
      <c r="AR140"/>
      <c r="AS140"/>
      <c r="AT140"/>
      <c r="AU140"/>
    </row>
    <row r="141" spans="1:47" s="408" customFormat="1" ht="16.5" customHeight="1">
      <c r="A141" s="210"/>
      <c r="B141" s="210"/>
      <c r="C141" s="210"/>
      <c r="D141" s="210"/>
      <c r="E141" s="404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  <c r="AA141" s="210"/>
      <c r="AB141" s="210"/>
      <c r="AC141" s="210"/>
      <c r="AD141" s="210"/>
      <c r="AE141" s="210"/>
      <c r="AF141" s="210"/>
      <c r="AG141" s="210"/>
      <c r="AH141" s="210"/>
      <c r="AI141" s="210"/>
      <c r="AJ141"/>
      <c r="AK141"/>
      <c r="AL141"/>
      <c r="AM141"/>
      <c r="AN141"/>
      <c r="AO141"/>
      <c r="AP141"/>
      <c r="AQ141"/>
      <c r="AR141"/>
      <c r="AS141"/>
      <c r="AT141"/>
      <c r="AU141"/>
    </row>
    <row r="142" spans="1:47" s="408" customFormat="1" ht="16.5" customHeight="1">
      <c r="A142" s="210"/>
      <c r="B142" s="210"/>
      <c r="C142" s="210"/>
      <c r="D142" s="210"/>
      <c r="E142" s="404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  <c r="AA142" s="210"/>
      <c r="AB142" s="210"/>
      <c r="AC142" s="210"/>
      <c r="AD142" s="210"/>
      <c r="AE142" s="210"/>
      <c r="AF142" s="210"/>
      <c r="AG142" s="210"/>
      <c r="AH142" s="210"/>
      <c r="AI142" s="210"/>
      <c r="AJ142"/>
      <c r="AK142"/>
      <c r="AL142"/>
      <c r="AM142"/>
      <c r="AN142"/>
      <c r="AO142"/>
      <c r="AP142"/>
      <c r="AQ142"/>
      <c r="AR142"/>
      <c r="AS142"/>
      <c r="AT142"/>
      <c r="AU142"/>
    </row>
    <row r="143" spans="1:47" s="408" customFormat="1" ht="16.5" customHeight="1">
      <c r="A143" s="210"/>
      <c r="B143" s="210"/>
      <c r="C143" s="210"/>
      <c r="D143" s="210"/>
      <c r="E143" s="404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  <c r="AA143" s="210"/>
      <c r="AB143" s="210"/>
      <c r="AC143" s="210"/>
      <c r="AD143" s="210"/>
      <c r="AE143" s="210"/>
      <c r="AF143" s="210"/>
      <c r="AG143" s="210"/>
      <c r="AH143" s="210"/>
      <c r="AI143" s="210"/>
      <c r="AJ143"/>
      <c r="AK143"/>
      <c r="AL143"/>
      <c r="AM143"/>
      <c r="AN143"/>
      <c r="AO143"/>
      <c r="AP143"/>
      <c r="AQ143"/>
      <c r="AR143"/>
      <c r="AS143"/>
      <c r="AT143"/>
      <c r="AU143"/>
    </row>
    <row r="144" spans="1:47" s="408" customFormat="1" ht="16.5" customHeight="1">
      <c r="A144" s="210"/>
      <c r="B144" s="210"/>
      <c r="C144" s="210"/>
      <c r="D144" s="210"/>
      <c r="E144" s="404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  <c r="AA144" s="210"/>
      <c r="AB144" s="210"/>
      <c r="AC144" s="210"/>
      <c r="AD144" s="210"/>
      <c r="AE144" s="210"/>
      <c r="AF144" s="210"/>
      <c r="AG144" s="210"/>
      <c r="AH144" s="210"/>
      <c r="AI144" s="210"/>
      <c r="AJ144"/>
      <c r="AK144"/>
      <c r="AL144"/>
      <c r="AM144"/>
      <c r="AN144"/>
      <c r="AO144"/>
      <c r="AP144"/>
      <c r="AQ144"/>
      <c r="AR144"/>
      <c r="AS144"/>
      <c r="AT144"/>
      <c r="AU144"/>
    </row>
    <row r="145" spans="1:47" s="408" customFormat="1" ht="16.5" customHeight="1">
      <c r="A145" s="210"/>
      <c r="B145" s="210"/>
      <c r="C145" s="210"/>
      <c r="D145" s="210"/>
      <c r="E145" s="404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  <c r="AA145" s="210"/>
      <c r="AB145" s="210"/>
      <c r="AC145" s="210"/>
      <c r="AD145" s="210"/>
      <c r="AE145" s="210"/>
      <c r="AF145" s="210"/>
      <c r="AG145" s="210"/>
      <c r="AH145" s="210"/>
      <c r="AI145" s="210"/>
      <c r="AJ145"/>
      <c r="AK145"/>
      <c r="AL145"/>
      <c r="AM145"/>
      <c r="AN145"/>
      <c r="AO145"/>
      <c r="AP145"/>
      <c r="AQ145"/>
      <c r="AR145"/>
      <c r="AS145"/>
      <c r="AT145"/>
      <c r="AU145"/>
    </row>
    <row r="146" spans="1:47" s="408" customFormat="1" ht="16.5" customHeight="1">
      <c r="A146" s="210"/>
      <c r="B146" s="210"/>
      <c r="C146" s="210"/>
      <c r="D146" s="210"/>
      <c r="E146" s="404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  <c r="AA146" s="210"/>
      <c r="AB146" s="210"/>
      <c r="AC146" s="210"/>
      <c r="AD146" s="210"/>
      <c r="AE146" s="210"/>
      <c r="AF146" s="210"/>
      <c r="AG146" s="210"/>
      <c r="AH146" s="210"/>
      <c r="AI146" s="210"/>
      <c r="AJ146"/>
      <c r="AK146"/>
      <c r="AL146"/>
      <c r="AM146"/>
      <c r="AN146"/>
      <c r="AO146"/>
      <c r="AP146"/>
      <c r="AQ146"/>
      <c r="AR146"/>
      <c r="AS146"/>
      <c r="AT146"/>
      <c r="AU146"/>
    </row>
    <row r="147" spans="1:47" s="408" customFormat="1" ht="16.5" customHeight="1">
      <c r="A147" s="210"/>
      <c r="B147" s="210"/>
      <c r="C147" s="210"/>
      <c r="D147" s="210"/>
      <c r="E147" s="404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  <c r="AA147" s="210"/>
      <c r="AB147" s="210"/>
      <c r="AC147" s="210"/>
      <c r="AD147" s="210"/>
      <c r="AE147" s="210"/>
      <c r="AF147" s="210"/>
      <c r="AG147" s="210"/>
      <c r="AH147" s="210"/>
      <c r="AI147" s="210"/>
      <c r="AJ147"/>
      <c r="AK147"/>
      <c r="AL147"/>
      <c r="AM147"/>
      <c r="AN147"/>
      <c r="AO147"/>
      <c r="AP147"/>
      <c r="AQ147"/>
      <c r="AR147"/>
      <c r="AS147"/>
      <c r="AT147"/>
      <c r="AU147"/>
    </row>
    <row r="148" spans="1:47" s="408" customFormat="1" ht="16.5" customHeight="1">
      <c r="A148" s="210"/>
      <c r="B148" s="210"/>
      <c r="C148" s="210"/>
      <c r="D148" s="210"/>
      <c r="E148" s="404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  <c r="AA148" s="210"/>
      <c r="AB148" s="210"/>
      <c r="AC148" s="210"/>
      <c r="AD148" s="210"/>
      <c r="AE148" s="210"/>
      <c r="AF148" s="210"/>
      <c r="AG148" s="210"/>
      <c r="AH148" s="210"/>
      <c r="AI148" s="210"/>
      <c r="AJ148"/>
      <c r="AK148"/>
      <c r="AL148"/>
      <c r="AM148"/>
      <c r="AN148"/>
      <c r="AO148"/>
      <c r="AP148"/>
      <c r="AQ148"/>
      <c r="AR148"/>
      <c r="AS148"/>
      <c r="AT148"/>
      <c r="AU148"/>
    </row>
    <row r="149" spans="1:47" s="408" customFormat="1" ht="16.5" customHeight="1">
      <c r="A149" s="210"/>
      <c r="B149" s="210"/>
      <c r="C149" s="210"/>
      <c r="D149" s="210"/>
      <c r="E149" s="404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  <c r="AA149" s="210"/>
      <c r="AB149" s="210"/>
      <c r="AC149" s="210"/>
      <c r="AD149" s="210"/>
      <c r="AE149" s="210"/>
      <c r="AF149" s="210"/>
      <c r="AG149" s="210"/>
      <c r="AH149" s="210"/>
      <c r="AI149" s="210"/>
      <c r="AJ149"/>
      <c r="AK149"/>
      <c r="AL149"/>
      <c r="AM149"/>
      <c r="AN149"/>
      <c r="AO149"/>
      <c r="AP149"/>
      <c r="AQ149"/>
      <c r="AR149"/>
      <c r="AS149"/>
      <c r="AT149"/>
      <c r="AU149"/>
    </row>
    <row r="150" spans="1:47" s="408" customFormat="1" ht="16.5" customHeight="1">
      <c r="A150" s="210"/>
      <c r="B150" s="210"/>
      <c r="C150" s="210"/>
      <c r="D150" s="210"/>
      <c r="E150" s="404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  <c r="AA150" s="210"/>
      <c r="AB150" s="210"/>
      <c r="AC150" s="210"/>
      <c r="AD150" s="210"/>
      <c r="AE150" s="210"/>
      <c r="AF150" s="210"/>
      <c r="AG150" s="210"/>
      <c r="AH150" s="210"/>
      <c r="AI150" s="210"/>
      <c r="AJ150"/>
      <c r="AK150"/>
      <c r="AL150"/>
      <c r="AM150"/>
      <c r="AN150"/>
      <c r="AO150"/>
      <c r="AP150"/>
      <c r="AQ150"/>
      <c r="AR150"/>
      <c r="AS150"/>
      <c r="AT150"/>
      <c r="AU150"/>
    </row>
    <row r="151" spans="1:47" s="408" customFormat="1" ht="16.5" customHeight="1">
      <c r="A151" s="210"/>
      <c r="B151" s="210"/>
      <c r="C151" s="210"/>
      <c r="D151" s="210"/>
      <c r="E151" s="404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  <c r="AA151" s="210"/>
      <c r="AB151" s="210"/>
      <c r="AC151" s="210"/>
      <c r="AD151" s="210"/>
      <c r="AE151" s="210"/>
      <c r="AF151" s="210"/>
      <c r="AG151" s="210"/>
      <c r="AH151" s="210"/>
      <c r="AI151" s="210"/>
      <c r="AJ151"/>
      <c r="AK151"/>
      <c r="AL151"/>
      <c r="AM151"/>
      <c r="AN151"/>
      <c r="AO151"/>
      <c r="AP151"/>
      <c r="AQ151"/>
      <c r="AR151"/>
      <c r="AS151"/>
      <c r="AT151"/>
      <c r="AU151"/>
    </row>
    <row r="152" spans="1:47" s="408" customFormat="1" ht="16.5" customHeight="1">
      <c r="A152" s="210"/>
      <c r="B152" s="210"/>
      <c r="C152" s="210"/>
      <c r="D152" s="210"/>
      <c r="E152" s="404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  <c r="AA152" s="210"/>
      <c r="AB152" s="210"/>
      <c r="AC152" s="210"/>
      <c r="AD152" s="210"/>
      <c r="AE152" s="210"/>
      <c r="AF152" s="210"/>
      <c r="AG152" s="210"/>
      <c r="AH152" s="210"/>
      <c r="AI152" s="210"/>
      <c r="AJ152"/>
      <c r="AK152"/>
      <c r="AL152"/>
      <c r="AM152"/>
      <c r="AN152"/>
      <c r="AO152"/>
      <c r="AP152"/>
      <c r="AQ152"/>
      <c r="AR152"/>
      <c r="AS152"/>
      <c r="AT152"/>
      <c r="AU152"/>
    </row>
    <row r="153" spans="1:47" s="408" customFormat="1" ht="16.5" customHeight="1">
      <c r="A153" s="210"/>
      <c r="B153" s="210"/>
      <c r="C153" s="210"/>
      <c r="D153" s="210"/>
      <c r="E153" s="404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  <c r="AA153" s="210"/>
      <c r="AB153" s="210"/>
      <c r="AC153" s="210"/>
      <c r="AD153" s="210"/>
      <c r="AE153" s="210"/>
      <c r="AF153" s="210"/>
      <c r="AG153" s="210"/>
      <c r="AH153" s="210"/>
      <c r="AI153" s="210"/>
      <c r="AJ153"/>
      <c r="AK153"/>
      <c r="AL153"/>
      <c r="AM153"/>
      <c r="AN153"/>
      <c r="AO153"/>
      <c r="AP153"/>
      <c r="AQ153"/>
      <c r="AR153"/>
      <c r="AS153"/>
      <c r="AT153"/>
      <c r="AU153"/>
    </row>
    <row r="154" spans="1:47" s="408" customFormat="1" ht="16.5" customHeight="1">
      <c r="A154" s="210"/>
      <c r="B154" s="210"/>
      <c r="C154" s="210"/>
      <c r="D154" s="210"/>
      <c r="E154" s="404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  <c r="AA154" s="210"/>
      <c r="AB154" s="210"/>
      <c r="AC154" s="210"/>
      <c r="AD154" s="210"/>
      <c r="AE154" s="210"/>
      <c r="AF154" s="210"/>
      <c r="AG154" s="210"/>
      <c r="AH154" s="210"/>
      <c r="AI154" s="210"/>
      <c r="AJ154"/>
      <c r="AK154"/>
      <c r="AL154"/>
      <c r="AM154"/>
      <c r="AN154"/>
      <c r="AO154"/>
      <c r="AP154"/>
      <c r="AQ154"/>
      <c r="AR154"/>
      <c r="AS154"/>
      <c r="AT154"/>
      <c r="AU154"/>
    </row>
    <row r="155" spans="1:47" s="408" customFormat="1" ht="16.5" customHeight="1">
      <c r="A155" s="210"/>
      <c r="B155" s="210"/>
      <c r="C155" s="210"/>
      <c r="D155" s="210"/>
      <c r="E155" s="404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  <c r="AA155" s="210"/>
      <c r="AB155" s="210"/>
      <c r="AC155" s="210"/>
      <c r="AD155" s="210"/>
      <c r="AE155" s="210"/>
      <c r="AF155" s="210"/>
      <c r="AG155" s="210"/>
      <c r="AH155" s="210"/>
      <c r="AI155" s="210"/>
      <c r="AJ155"/>
      <c r="AK155"/>
      <c r="AL155"/>
      <c r="AM155"/>
      <c r="AN155"/>
      <c r="AO155"/>
      <c r="AP155"/>
      <c r="AQ155"/>
      <c r="AR155"/>
      <c r="AS155"/>
      <c r="AT155"/>
      <c r="AU155"/>
    </row>
    <row r="156" spans="1:47" s="408" customFormat="1" ht="16.5" customHeight="1">
      <c r="A156" s="210"/>
      <c r="B156" s="210"/>
      <c r="C156" s="210"/>
      <c r="D156" s="210"/>
      <c r="E156" s="404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  <c r="AA156" s="210"/>
      <c r="AB156" s="210"/>
      <c r="AC156" s="210"/>
      <c r="AD156" s="210"/>
      <c r="AE156" s="210"/>
      <c r="AF156" s="210"/>
      <c r="AG156" s="210"/>
      <c r="AH156" s="210"/>
      <c r="AI156" s="210"/>
      <c r="AJ156"/>
      <c r="AK156"/>
      <c r="AL156"/>
      <c r="AM156"/>
      <c r="AN156"/>
      <c r="AO156"/>
      <c r="AP156"/>
      <c r="AQ156"/>
      <c r="AR156"/>
      <c r="AS156"/>
      <c r="AT156"/>
      <c r="AU156"/>
    </row>
    <row r="157" spans="1:47" s="408" customFormat="1" ht="16.5" customHeight="1">
      <c r="A157" s="210"/>
      <c r="B157" s="210"/>
      <c r="C157" s="210"/>
      <c r="D157" s="210"/>
      <c r="E157" s="404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0"/>
      <c r="AG157" s="210"/>
      <c r="AH157" s="210"/>
      <c r="AI157" s="210"/>
      <c r="AJ157"/>
      <c r="AK157"/>
      <c r="AL157"/>
      <c r="AM157"/>
      <c r="AN157"/>
      <c r="AO157"/>
      <c r="AP157"/>
      <c r="AQ157"/>
      <c r="AR157"/>
      <c r="AS157"/>
      <c r="AT157"/>
      <c r="AU157"/>
    </row>
    <row r="158" spans="1:47" s="408" customFormat="1" ht="16.5" customHeight="1">
      <c r="A158" s="210"/>
      <c r="B158" s="210"/>
      <c r="C158" s="210"/>
      <c r="D158" s="210"/>
      <c r="E158" s="404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  <c r="AA158" s="210"/>
      <c r="AB158" s="210"/>
      <c r="AC158" s="210"/>
      <c r="AD158" s="210"/>
      <c r="AE158" s="210"/>
      <c r="AF158" s="210"/>
      <c r="AG158" s="210"/>
      <c r="AH158" s="210"/>
      <c r="AI158" s="210"/>
      <c r="AJ158"/>
      <c r="AK158"/>
      <c r="AL158"/>
      <c r="AM158"/>
      <c r="AN158"/>
      <c r="AO158"/>
      <c r="AP158"/>
      <c r="AQ158"/>
      <c r="AR158"/>
      <c r="AS158"/>
      <c r="AT158"/>
      <c r="AU158"/>
    </row>
    <row r="159" spans="1:47" s="408" customFormat="1" ht="16.5" customHeight="1">
      <c r="A159" s="210"/>
      <c r="B159" s="210"/>
      <c r="C159" s="210"/>
      <c r="D159" s="210"/>
      <c r="E159" s="404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  <c r="AA159" s="210"/>
      <c r="AB159" s="210"/>
      <c r="AC159" s="210"/>
      <c r="AD159" s="210"/>
      <c r="AE159" s="210"/>
      <c r="AF159" s="210"/>
      <c r="AG159" s="210"/>
      <c r="AH159" s="210"/>
      <c r="AI159" s="210"/>
      <c r="AJ159"/>
      <c r="AK159"/>
      <c r="AL159"/>
      <c r="AM159"/>
      <c r="AN159"/>
      <c r="AO159"/>
      <c r="AP159"/>
      <c r="AQ159"/>
      <c r="AR159"/>
      <c r="AS159"/>
      <c r="AT159"/>
      <c r="AU159"/>
    </row>
    <row r="160" spans="1:47" s="408" customFormat="1" ht="16.5" customHeight="1">
      <c r="A160" s="210"/>
      <c r="B160" s="210"/>
      <c r="C160" s="210"/>
      <c r="D160" s="210"/>
      <c r="E160" s="404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  <c r="AA160" s="210"/>
      <c r="AB160" s="210"/>
      <c r="AC160" s="210"/>
      <c r="AD160" s="210"/>
      <c r="AE160" s="210"/>
      <c r="AF160" s="210"/>
      <c r="AG160" s="210"/>
      <c r="AH160" s="210"/>
      <c r="AI160" s="210"/>
      <c r="AJ160"/>
      <c r="AK160"/>
      <c r="AL160"/>
      <c r="AM160"/>
      <c r="AN160"/>
      <c r="AO160"/>
      <c r="AP160"/>
      <c r="AQ160"/>
      <c r="AR160"/>
      <c r="AS160"/>
      <c r="AT160"/>
      <c r="AU160"/>
    </row>
    <row r="161" spans="1:47" s="408" customFormat="1" ht="16.5" customHeight="1">
      <c r="A161" s="210"/>
      <c r="B161" s="210"/>
      <c r="C161" s="210"/>
      <c r="D161" s="210"/>
      <c r="E161" s="404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  <c r="AA161" s="210"/>
      <c r="AB161" s="210"/>
      <c r="AC161" s="210"/>
      <c r="AD161" s="210"/>
      <c r="AE161" s="210"/>
      <c r="AF161" s="210"/>
      <c r="AG161" s="210"/>
      <c r="AH161" s="210"/>
      <c r="AI161" s="210"/>
      <c r="AJ161"/>
      <c r="AK161"/>
      <c r="AL161"/>
      <c r="AM161"/>
      <c r="AN161"/>
      <c r="AO161"/>
      <c r="AP161"/>
      <c r="AQ161"/>
      <c r="AR161"/>
      <c r="AS161"/>
      <c r="AT161"/>
      <c r="AU161"/>
    </row>
    <row r="162" spans="1:47" s="408" customFormat="1" ht="16.5" customHeight="1">
      <c r="A162" s="210"/>
      <c r="B162" s="210"/>
      <c r="C162" s="210"/>
      <c r="D162" s="210"/>
      <c r="E162" s="404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  <c r="AA162" s="210"/>
      <c r="AB162" s="210"/>
      <c r="AC162" s="210"/>
      <c r="AD162" s="210"/>
      <c r="AE162" s="210"/>
      <c r="AF162" s="210"/>
      <c r="AG162" s="210"/>
      <c r="AH162" s="210"/>
      <c r="AI162" s="210"/>
      <c r="AJ162"/>
      <c r="AK162"/>
      <c r="AL162"/>
      <c r="AM162"/>
      <c r="AN162"/>
      <c r="AO162"/>
      <c r="AP162"/>
      <c r="AQ162"/>
      <c r="AR162"/>
      <c r="AS162"/>
      <c r="AT162"/>
      <c r="AU162"/>
    </row>
    <row r="163" spans="1:47" s="408" customFormat="1" ht="16.5" customHeight="1">
      <c r="A163" s="210"/>
      <c r="B163" s="210"/>
      <c r="C163" s="210"/>
      <c r="D163" s="210"/>
      <c r="E163" s="404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  <c r="AA163" s="210"/>
      <c r="AB163" s="210"/>
      <c r="AC163" s="210"/>
      <c r="AD163" s="210"/>
      <c r="AE163" s="210"/>
      <c r="AF163" s="210"/>
      <c r="AG163" s="210"/>
      <c r="AH163" s="210"/>
      <c r="AI163" s="210"/>
      <c r="AJ163"/>
      <c r="AK163"/>
      <c r="AL163"/>
      <c r="AM163"/>
      <c r="AN163"/>
      <c r="AO163"/>
      <c r="AP163"/>
      <c r="AQ163"/>
      <c r="AR163"/>
      <c r="AS163"/>
      <c r="AT163"/>
      <c r="AU163"/>
    </row>
    <row r="164" spans="1:47" s="408" customFormat="1" ht="16.5" customHeight="1">
      <c r="A164" s="210"/>
      <c r="B164" s="210"/>
      <c r="C164" s="210"/>
      <c r="D164" s="210"/>
      <c r="E164" s="404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  <c r="AA164" s="210"/>
      <c r="AB164" s="210"/>
      <c r="AC164" s="210"/>
      <c r="AD164" s="210"/>
      <c r="AE164" s="210"/>
      <c r="AF164" s="210"/>
      <c r="AG164" s="210"/>
      <c r="AH164" s="210"/>
      <c r="AI164" s="210"/>
      <c r="AJ164"/>
      <c r="AK164"/>
      <c r="AL164"/>
      <c r="AM164"/>
      <c r="AN164"/>
      <c r="AO164"/>
      <c r="AP164"/>
      <c r="AQ164"/>
      <c r="AR164"/>
      <c r="AS164"/>
      <c r="AT164"/>
      <c r="AU164"/>
    </row>
    <row r="165" spans="1:47" s="408" customFormat="1" ht="16.5" customHeight="1">
      <c r="A165" s="210"/>
      <c r="B165" s="210"/>
      <c r="C165" s="210"/>
      <c r="D165" s="210"/>
      <c r="E165" s="404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  <c r="AA165" s="210"/>
      <c r="AB165" s="210"/>
      <c r="AC165" s="210"/>
      <c r="AD165" s="210"/>
      <c r="AE165" s="210"/>
      <c r="AF165" s="210"/>
      <c r="AG165" s="210"/>
      <c r="AH165" s="210"/>
      <c r="AI165" s="210"/>
      <c r="AJ165"/>
      <c r="AK165"/>
      <c r="AL165"/>
      <c r="AM165"/>
      <c r="AN165"/>
      <c r="AO165"/>
      <c r="AP165"/>
      <c r="AQ165"/>
      <c r="AR165"/>
      <c r="AS165"/>
      <c r="AT165"/>
      <c r="AU165"/>
    </row>
    <row r="166" spans="1:47" s="408" customFormat="1" ht="16.5" customHeight="1">
      <c r="A166" s="210"/>
      <c r="B166" s="210"/>
      <c r="C166" s="210"/>
      <c r="D166" s="210"/>
      <c r="E166" s="404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  <c r="AA166" s="210"/>
      <c r="AB166" s="210"/>
      <c r="AC166" s="210"/>
      <c r="AD166" s="210"/>
      <c r="AE166" s="210"/>
      <c r="AF166" s="210"/>
      <c r="AG166" s="210"/>
      <c r="AH166" s="210"/>
      <c r="AI166" s="210"/>
      <c r="AJ166"/>
      <c r="AK166"/>
      <c r="AL166"/>
      <c r="AM166"/>
      <c r="AN166"/>
      <c r="AO166"/>
      <c r="AP166"/>
      <c r="AQ166"/>
      <c r="AR166"/>
      <c r="AS166"/>
      <c r="AT166"/>
      <c r="AU166"/>
    </row>
    <row r="167" spans="1:47" s="408" customFormat="1" ht="16.5" customHeight="1">
      <c r="A167" s="210"/>
      <c r="B167" s="210"/>
      <c r="C167" s="210"/>
      <c r="D167" s="210"/>
      <c r="E167" s="404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  <c r="AA167" s="210"/>
      <c r="AB167" s="210"/>
      <c r="AC167" s="210"/>
      <c r="AD167" s="210"/>
      <c r="AE167" s="210"/>
      <c r="AF167" s="210"/>
      <c r="AG167" s="210"/>
      <c r="AH167" s="210"/>
      <c r="AI167" s="210"/>
      <c r="AJ167"/>
      <c r="AK167"/>
      <c r="AL167"/>
      <c r="AM167"/>
      <c r="AN167"/>
      <c r="AO167"/>
      <c r="AP167"/>
      <c r="AQ167"/>
      <c r="AR167"/>
      <c r="AS167"/>
      <c r="AT167"/>
      <c r="AU167"/>
    </row>
    <row r="168" spans="1:47" s="408" customFormat="1" ht="16.5" customHeight="1">
      <c r="A168" s="210"/>
      <c r="B168" s="210"/>
      <c r="C168" s="210"/>
      <c r="D168" s="210"/>
      <c r="E168" s="404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  <c r="AA168" s="210"/>
      <c r="AB168" s="210"/>
      <c r="AC168" s="210"/>
      <c r="AD168" s="210"/>
      <c r="AE168" s="210"/>
      <c r="AF168" s="210"/>
      <c r="AG168" s="210"/>
      <c r="AH168" s="210"/>
      <c r="AI168" s="210"/>
      <c r="AJ168"/>
      <c r="AK168"/>
      <c r="AL168"/>
      <c r="AM168"/>
      <c r="AN168"/>
      <c r="AO168"/>
      <c r="AP168"/>
      <c r="AQ168"/>
      <c r="AR168"/>
      <c r="AS168"/>
      <c r="AT168"/>
      <c r="AU168"/>
    </row>
    <row r="169" spans="1:47" s="408" customFormat="1" ht="16.5" customHeight="1">
      <c r="A169" s="210"/>
      <c r="B169" s="210"/>
      <c r="C169" s="210"/>
      <c r="D169" s="210"/>
      <c r="E169" s="404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  <c r="AA169" s="210"/>
      <c r="AB169" s="210"/>
      <c r="AC169" s="210"/>
      <c r="AD169" s="210"/>
      <c r="AE169" s="210"/>
      <c r="AF169" s="210"/>
      <c r="AG169" s="210"/>
      <c r="AH169" s="210"/>
      <c r="AI169" s="210"/>
      <c r="AJ169"/>
      <c r="AK169"/>
      <c r="AL169"/>
      <c r="AM169"/>
      <c r="AN169"/>
      <c r="AO169"/>
      <c r="AP169"/>
      <c r="AQ169"/>
      <c r="AR169"/>
      <c r="AS169"/>
      <c r="AT169"/>
      <c r="AU169"/>
    </row>
    <row r="170" spans="1:47" s="408" customFormat="1" ht="16.5" customHeight="1">
      <c r="A170" s="210"/>
      <c r="B170" s="210"/>
      <c r="C170" s="210"/>
      <c r="D170" s="210"/>
      <c r="E170" s="404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  <c r="AA170" s="210"/>
      <c r="AB170" s="210"/>
      <c r="AC170" s="210"/>
      <c r="AD170" s="210"/>
      <c r="AE170" s="210"/>
      <c r="AF170" s="210"/>
      <c r="AG170" s="210"/>
      <c r="AH170" s="210"/>
      <c r="AI170" s="210"/>
      <c r="AJ170"/>
      <c r="AK170"/>
      <c r="AL170"/>
      <c r="AM170"/>
      <c r="AN170"/>
      <c r="AO170"/>
      <c r="AP170"/>
      <c r="AQ170"/>
      <c r="AR170"/>
      <c r="AS170"/>
      <c r="AT170"/>
      <c r="AU170"/>
    </row>
    <row r="171" spans="1:47" s="408" customFormat="1" ht="16.5" customHeight="1">
      <c r="A171" s="210"/>
      <c r="B171" s="210"/>
      <c r="C171" s="210"/>
      <c r="D171" s="210"/>
      <c r="E171" s="404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  <c r="AA171" s="210"/>
      <c r="AB171" s="210"/>
      <c r="AC171" s="210"/>
      <c r="AD171" s="210"/>
      <c r="AE171" s="210"/>
      <c r="AF171" s="210"/>
      <c r="AG171" s="210"/>
      <c r="AH171" s="210"/>
      <c r="AI171" s="210"/>
      <c r="AJ171"/>
      <c r="AK171"/>
      <c r="AL171"/>
      <c r="AM171"/>
      <c r="AN171"/>
      <c r="AO171"/>
      <c r="AP171"/>
      <c r="AQ171"/>
      <c r="AR171"/>
      <c r="AS171"/>
      <c r="AT171"/>
      <c r="AU171"/>
    </row>
    <row r="172" spans="1:47" s="408" customFormat="1" ht="16.5" customHeight="1">
      <c r="A172" s="210"/>
      <c r="B172" s="210"/>
      <c r="C172" s="210"/>
      <c r="D172" s="210"/>
      <c r="E172" s="404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  <c r="AA172" s="210"/>
      <c r="AB172" s="210"/>
      <c r="AC172" s="210"/>
      <c r="AD172" s="210"/>
      <c r="AE172" s="210"/>
      <c r="AF172" s="210"/>
      <c r="AG172" s="210"/>
      <c r="AH172" s="210"/>
      <c r="AI172" s="210"/>
      <c r="AJ172"/>
      <c r="AK172"/>
      <c r="AL172"/>
      <c r="AM172"/>
      <c r="AN172"/>
      <c r="AO172"/>
      <c r="AP172"/>
      <c r="AQ172"/>
      <c r="AR172"/>
      <c r="AS172"/>
      <c r="AT172"/>
      <c r="AU172"/>
    </row>
    <row r="173" spans="1:47" s="408" customFormat="1" ht="16.5" customHeight="1">
      <c r="A173" s="210"/>
      <c r="B173" s="210"/>
      <c r="C173" s="210"/>
      <c r="D173" s="210"/>
      <c r="E173" s="404"/>
      <c r="H173" s="210"/>
      <c r="I173" s="210"/>
      <c r="J173" s="210"/>
      <c r="K173" s="210"/>
      <c r="L173" s="210"/>
      <c r="M173" s="210"/>
      <c r="N173" s="210"/>
      <c r="O173" s="210"/>
      <c r="P173" s="210"/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  <c r="AA173" s="210"/>
      <c r="AB173" s="210"/>
      <c r="AC173" s="210"/>
      <c r="AD173" s="210"/>
      <c r="AE173" s="210"/>
      <c r="AF173" s="210"/>
      <c r="AG173" s="210"/>
      <c r="AH173" s="210"/>
      <c r="AI173" s="210"/>
      <c r="AJ173"/>
      <c r="AK173"/>
      <c r="AL173"/>
      <c r="AM173"/>
      <c r="AN173"/>
      <c r="AO173"/>
      <c r="AP173"/>
      <c r="AQ173"/>
      <c r="AR173"/>
      <c r="AS173"/>
      <c r="AT173"/>
      <c r="AU17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6B33C-5C9C-408F-83ED-4E8F48125567}">
  <dimension ref="A1:AV172"/>
  <sheetViews>
    <sheetView zoomScaleNormal="100" workbookViewId="0">
      <pane xSplit="4" ySplit="2" topLeftCell="E3" activePane="bottomRight" state="frozen"/>
      <selection pane="topRight" activeCell="E1" sqref="E1"/>
      <selection pane="bottomLeft" activeCell="A4" sqref="A4"/>
      <selection pane="bottomRight" activeCell="H21" sqref="H21"/>
    </sheetView>
  </sheetViews>
  <sheetFormatPr defaultColWidth="8.875" defaultRowHeight="16.5" customHeight="1"/>
  <cols>
    <col min="1" max="1" width="3.375" style="210" customWidth="1"/>
    <col min="2" max="2" width="5.375" style="210" customWidth="1"/>
    <col min="3" max="3" width="8.375" style="210" customWidth="1"/>
    <col min="4" max="4" width="12.375" style="210" customWidth="1"/>
    <col min="5" max="5" width="9.875" style="406" bestFit="1" customWidth="1"/>
    <col min="6" max="6" width="7.375" style="408" customWidth="1"/>
    <col min="7" max="7" width="7.375" style="210" customWidth="1"/>
    <col min="8" max="8" width="9.375" style="210" bestFit="1" customWidth="1"/>
    <col min="9" max="9" width="4.375" style="210" customWidth="1"/>
    <col min="10" max="10" width="7.375" style="210" customWidth="1"/>
    <col min="11" max="11" width="4.375" style="210" customWidth="1"/>
    <col min="12" max="12" width="7.375" style="210" customWidth="1"/>
    <col min="13" max="13" width="4.375" style="210" customWidth="1"/>
    <col min="14" max="14" width="7.375" style="210" customWidth="1"/>
    <col min="15" max="15" width="4.375" style="210" customWidth="1"/>
    <col min="16" max="16" width="7.375" style="210" customWidth="1"/>
    <col min="17" max="17" width="4.375" style="210" customWidth="1"/>
    <col min="18" max="18" width="7.375" style="210" customWidth="1"/>
    <col min="19" max="19" width="4.375" style="210" customWidth="1"/>
    <col min="20" max="20" width="7.375" style="210" customWidth="1"/>
    <col min="21" max="21" width="4.375" style="210" customWidth="1"/>
    <col min="22" max="22" width="7.375" style="210" customWidth="1"/>
    <col min="23" max="23" width="5.25" style="210" customWidth="1"/>
    <col min="24" max="24" width="7.375" style="210" customWidth="1"/>
    <col min="25" max="25" width="4.375" style="210" customWidth="1"/>
    <col min="26" max="26" width="7.375" style="210" customWidth="1"/>
    <col min="27" max="27" width="4.375" style="210" customWidth="1"/>
    <col min="28" max="28" width="10.375" style="210" customWidth="1"/>
    <col min="29" max="29" width="4.375" style="210" customWidth="1"/>
    <col min="30" max="30" width="7.375" style="210" customWidth="1"/>
    <col min="31" max="31" width="4.375" style="210" customWidth="1"/>
    <col min="32" max="32" width="7.375" style="210" customWidth="1"/>
    <col min="33" max="33" width="4.375" style="210" customWidth="1"/>
    <col min="34" max="34" width="7.375" style="210" customWidth="1"/>
    <col min="35" max="35" width="4.375" style="210" customWidth="1"/>
    <col min="36" max="36" width="7.375" customWidth="1"/>
    <col min="37" max="37" width="4.375" customWidth="1"/>
    <col min="38" max="38" width="7.375" customWidth="1"/>
    <col min="39" max="39" width="4.375" customWidth="1"/>
    <col min="40" max="40" width="7.375" customWidth="1"/>
    <col min="41" max="41" width="4.375" customWidth="1"/>
    <col min="42" max="42" width="7.375" customWidth="1"/>
    <col min="43" max="43" width="4.375" customWidth="1"/>
    <col min="44" max="44" width="7.375" customWidth="1"/>
    <col min="45" max="45" width="4.375" customWidth="1"/>
    <col min="46" max="46" width="7.375" customWidth="1"/>
    <col min="47" max="47" width="4.375" customWidth="1"/>
    <col min="48" max="48" width="3.375" customWidth="1"/>
  </cols>
  <sheetData>
    <row r="1" spans="1:47" ht="16.5" customHeight="1" thickBot="1">
      <c r="A1" s="362"/>
      <c r="B1" s="358" t="s">
        <v>324</v>
      </c>
      <c r="C1" s="359"/>
      <c r="D1" s="360"/>
      <c r="E1" s="361"/>
      <c r="F1" s="360"/>
      <c r="G1" s="360"/>
      <c r="H1" s="360"/>
      <c r="I1" s="360"/>
      <c r="J1" s="360"/>
      <c r="K1" s="359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0"/>
      <c r="W1" s="360"/>
      <c r="X1" s="360"/>
      <c r="Y1" s="360"/>
      <c r="Z1" s="357"/>
      <c r="AA1" s="357"/>
      <c r="AB1" s="357"/>
      <c r="AC1" s="357"/>
      <c r="AD1" s="357"/>
      <c r="AE1" s="357"/>
      <c r="AF1" s="357"/>
      <c r="AG1" s="357"/>
      <c r="AH1" s="357"/>
      <c r="AI1" s="357"/>
      <c r="AJ1" s="357"/>
      <c r="AK1" s="357"/>
      <c r="AL1" s="357"/>
      <c r="AM1" s="357"/>
      <c r="AN1" s="357"/>
      <c r="AO1" s="357"/>
      <c r="AP1" s="357"/>
      <c r="AQ1" s="357"/>
      <c r="AR1" s="357"/>
      <c r="AS1" s="357"/>
      <c r="AT1" s="357"/>
      <c r="AU1" s="357"/>
    </row>
    <row r="2" spans="1:47" ht="16.5" customHeight="1" thickBot="1">
      <c r="A2" s="362"/>
      <c r="B2" s="363" t="s">
        <v>280</v>
      </c>
      <c r="C2" s="364" t="s">
        <v>281</v>
      </c>
      <c r="D2" s="364" t="s">
        <v>282</v>
      </c>
      <c r="E2" s="365" t="s">
        <v>283</v>
      </c>
      <c r="F2" s="365" t="s">
        <v>284</v>
      </c>
      <c r="G2" s="365" t="s">
        <v>11</v>
      </c>
      <c r="H2" s="366" t="s">
        <v>285</v>
      </c>
      <c r="I2" s="367" t="s">
        <v>286</v>
      </c>
      <c r="J2" s="366" t="s">
        <v>287</v>
      </c>
      <c r="K2" s="367" t="s">
        <v>286</v>
      </c>
      <c r="L2" s="366" t="s">
        <v>288</v>
      </c>
      <c r="M2" s="367" t="s">
        <v>286</v>
      </c>
      <c r="N2" s="366" t="s">
        <v>289</v>
      </c>
      <c r="O2" s="367" t="s">
        <v>286</v>
      </c>
      <c r="P2" s="366" t="s">
        <v>290</v>
      </c>
      <c r="Q2" s="367" t="s">
        <v>286</v>
      </c>
      <c r="R2" s="366" t="s">
        <v>291</v>
      </c>
      <c r="S2" s="367" t="s">
        <v>286</v>
      </c>
      <c r="T2" s="366" t="s">
        <v>292</v>
      </c>
      <c r="U2" s="367" t="s">
        <v>286</v>
      </c>
      <c r="V2" s="366" t="s">
        <v>293</v>
      </c>
      <c r="W2" s="367" t="s">
        <v>286</v>
      </c>
      <c r="X2" s="366" t="s">
        <v>19</v>
      </c>
      <c r="Y2" s="367" t="s">
        <v>286</v>
      </c>
      <c r="Z2" s="366" t="s">
        <v>294</v>
      </c>
      <c r="AA2" s="367" t="s">
        <v>286</v>
      </c>
      <c r="AB2" s="366" t="s">
        <v>295</v>
      </c>
      <c r="AC2" s="367" t="s">
        <v>286</v>
      </c>
      <c r="AD2" s="366" t="s">
        <v>296</v>
      </c>
      <c r="AE2" s="367" t="s">
        <v>286</v>
      </c>
      <c r="AF2" s="366" t="s">
        <v>297</v>
      </c>
      <c r="AG2" s="367" t="s">
        <v>286</v>
      </c>
      <c r="AH2" s="366" t="s">
        <v>298</v>
      </c>
      <c r="AI2" s="367" t="s">
        <v>286</v>
      </c>
      <c r="AJ2" s="366" t="s">
        <v>299</v>
      </c>
      <c r="AK2" s="367" t="s">
        <v>286</v>
      </c>
      <c r="AL2" s="366" t="s">
        <v>300</v>
      </c>
      <c r="AM2" s="367" t="s">
        <v>286</v>
      </c>
      <c r="AN2" s="366" t="s">
        <v>301</v>
      </c>
      <c r="AO2" s="367" t="s">
        <v>286</v>
      </c>
      <c r="AP2" s="366" t="s">
        <v>302</v>
      </c>
      <c r="AQ2" s="367" t="s">
        <v>286</v>
      </c>
      <c r="AR2" s="366" t="s">
        <v>303</v>
      </c>
      <c r="AS2" s="367" t="s">
        <v>286</v>
      </c>
      <c r="AT2" s="366" t="s">
        <v>304</v>
      </c>
      <c r="AU2" s="367" t="s">
        <v>286</v>
      </c>
    </row>
    <row r="3" spans="1:47" ht="16.5" customHeight="1">
      <c r="A3" s="362"/>
      <c r="B3" s="378">
        <v>1</v>
      </c>
      <c r="C3" s="379" t="s">
        <v>43</v>
      </c>
      <c r="D3" s="370" t="s">
        <v>123</v>
      </c>
      <c r="E3" s="371">
        <v>40179</v>
      </c>
      <c r="F3" s="371">
        <v>4.4800000000000004</v>
      </c>
      <c r="G3" s="371">
        <v>0</v>
      </c>
      <c r="H3" s="372">
        <v>33.119999999999997</v>
      </c>
      <c r="I3" s="373">
        <v>0.64</v>
      </c>
      <c r="J3" s="372">
        <v>28.8</v>
      </c>
      <c r="K3" s="373">
        <v>0.33</v>
      </c>
      <c r="L3" s="372">
        <v>18.100000000000001</v>
      </c>
      <c r="M3" s="373">
        <v>0.8</v>
      </c>
      <c r="N3" s="372">
        <v>17.899999999999999</v>
      </c>
      <c r="O3" s="373">
        <v>0.8</v>
      </c>
      <c r="P3" s="372">
        <v>58.82</v>
      </c>
      <c r="Q3" s="373">
        <v>4.3499999999999996</v>
      </c>
      <c r="R3" s="372">
        <v>81.8</v>
      </c>
      <c r="S3" s="373">
        <v>0.8</v>
      </c>
      <c r="T3" s="372">
        <v>57.9</v>
      </c>
      <c r="U3" s="373">
        <v>0.44</v>
      </c>
      <c r="V3" s="372">
        <v>47.374000000000002</v>
      </c>
      <c r="W3" s="373">
        <v>0.93400000000000005</v>
      </c>
      <c r="X3" s="372">
        <v>33.75</v>
      </c>
      <c r="Y3" s="373">
        <v>5.3</v>
      </c>
      <c r="Z3" s="372">
        <v>4.63</v>
      </c>
      <c r="AA3" s="373">
        <v>0.15</v>
      </c>
      <c r="AB3" s="372">
        <v>13.83</v>
      </c>
      <c r="AC3" s="373">
        <v>0.09</v>
      </c>
      <c r="AD3" s="372">
        <v>9.1999999999999993</v>
      </c>
      <c r="AE3" s="373">
        <v>0.06</v>
      </c>
      <c r="AF3" s="372">
        <v>3.96</v>
      </c>
      <c r="AG3" s="373">
        <v>0.11</v>
      </c>
      <c r="AH3" s="372">
        <v>0.32</v>
      </c>
      <c r="AI3" s="373">
        <v>0.04</v>
      </c>
      <c r="AJ3" s="372">
        <v>0</v>
      </c>
      <c r="AK3" s="373">
        <v>0</v>
      </c>
      <c r="AL3" s="372">
        <v>0.21</v>
      </c>
      <c r="AM3" s="373">
        <v>0</v>
      </c>
      <c r="AN3" s="372">
        <v>0</v>
      </c>
      <c r="AO3" s="373">
        <v>0</v>
      </c>
      <c r="AP3" s="372">
        <v>0</v>
      </c>
      <c r="AQ3" s="373">
        <v>0</v>
      </c>
      <c r="AR3" s="372">
        <v>0</v>
      </c>
      <c r="AS3" s="373">
        <v>0</v>
      </c>
      <c r="AT3" s="372">
        <v>0.15</v>
      </c>
      <c r="AU3" s="373">
        <v>0.01</v>
      </c>
    </row>
    <row r="4" spans="1:47" ht="16.5" customHeight="1">
      <c r="A4" s="362"/>
      <c r="B4" s="368">
        <v>2</v>
      </c>
      <c r="C4" s="369" t="s">
        <v>48</v>
      </c>
      <c r="D4" s="374" t="s">
        <v>141</v>
      </c>
      <c r="E4" s="375">
        <v>93719</v>
      </c>
      <c r="F4" s="375">
        <v>5.98</v>
      </c>
      <c r="G4" s="375">
        <v>0.17249999999999999</v>
      </c>
      <c r="H4" s="376">
        <v>32.5</v>
      </c>
      <c r="I4" s="377">
        <v>0.75</v>
      </c>
      <c r="J4" s="376">
        <v>23.15</v>
      </c>
      <c r="K4" s="377">
        <v>0.49</v>
      </c>
      <c r="L4" s="376">
        <v>30.7</v>
      </c>
      <c r="M4" s="377">
        <v>1.8</v>
      </c>
      <c r="N4" s="376">
        <v>22.3</v>
      </c>
      <c r="O4" s="377">
        <v>1.1000000000000001</v>
      </c>
      <c r="P4" s="376">
        <v>41.04</v>
      </c>
      <c r="Q4" s="377">
        <v>1.04</v>
      </c>
      <c r="R4" s="376">
        <v>2.5</v>
      </c>
      <c r="S4" s="377">
        <v>0</v>
      </c>
      <c r="T4" s="376">
        <v>5.83</v>
      </c>
      <c r="U4" s="377">
        <v>1.17</v>
      </c>
      <c r="V4" s="376">
        <v>10.627000000000001</v>
      </c>
      <c r="W4" s="377">
        <v>0.96599999999999997</v>
      </c>
      <c r="X4" s="376">
        <v>3.37</v>
      </c>
      <c r="Y4" s="377">
        <v>0.32</v>
      </c>
      <c r="Z4" s="376">
        <v>0.8</v>
      </c>
      <c r="AA4" s="377">
        <v>0.01</v>
      </c>
      <c r="AB4" s="376">
        <v>0.8</v>
      </c>
      <c r="AC4" s="377">
        <v>0.01</v>
      </c>
      <c r="AD4" s="376">
        <v>0</v>
      </c>
      <c r="AE4" s="377">
        <v>0</v>
      </c>
      <c r="AF4" s="376">
        <v>0.45</v>
      </c>
      <c r="AG4" s="377">
        <v>0</v>
      </c>
      <c r="AH4" s="376">
        <v>0.2</v>
      </c>
      <c r="AI4" s="377">
        <v>0</v>
      </c>
      <c r="AJ4" s="376">
        <v>0.04</v>
      </c>
      <c r="AK4" s="377">
        <v>0</v>
      </c>
      <c r="AL4" s="376">
        <v>0.04</v>
      </c>
      <c r="AM4" s="377">
        <v>0</v>
      </c>
      <c r="AN4" s="376">
        <v>7.0000000000000007E-2</v>
      </c>
      <c r="AO4" s="377">
        <v>0</v>
      </c>
      <c r="AP4" s="376">
        <v>0</v>
      </c>
      <c r="AQ4" s="377">
        <v>0</v>
      </c>
      <c r="AR4" s="376">
        <v>0</v>
      </c>
      <c r="AS4" s="377">
        <v>0</v>
      </c>
      <c r="AT4" s="376">
        <v>0</v>
      </c>
      <c r="AU4" s="377">
        <v>0</v>
      </c>
    </row>
    <row r="5" spans="1:47" ht="16.5" customHeight="1">
      <c r="A5" s="362"/>
      <c r="B5" s="378"/>
      <c r="C5" s="379" t="s">
        <v>306</v>
      </c>
      <c r="D5" s="374" t="s">
        <v>192</v>
      </c>
      <c r="E5" s="375">
        <v>31266</v>
      </c>
      <c r="F5" s="375">
        <v>4.0199999999999996</v>
      </c>
      <c r="G5" s="375">
        <v>0</v>
      </c>
      <c r="H5" s="376">
        <v>49.67</v>
      </c>
      <c r="I5" s="377">
        <v>0.09</v>
      </c>
      <c r="J5" s="376">
        <v>39.119999999999997</v>
      </c>
      <c r="K5" s="377">
        <v>0.12</v>
      </c>
      <c r="L5" s="376">
        <v>14.3</v>
      </c>
      <c r="M5" s="377">
        <v>0.8</v>
      </c>
      <c r="N5" s="376">
        <v>13.1</v>
      </c>
      <c r="O5" s="377">
        <v>0</v>
      </c>
      <c r="P5" s="376">
        <v>112.03</v>
      </c>
      <c r="Q5" s="377">
        <v>0.91</v>
      </c>
      <c r="R5" s="376">
        <v>70.3</v>
      </c>
      <c r="S5" s="377">
        <v>0.2</v>
      </c>
      <c r="T5" s="376">
        <v>7.43</v>
      </c>
      <c r="U5" s="377">
        <v>0.06</v>
      </c>
      <c r="V5" s="376">
        <v>15.548999999999999</v>
      </c>
      <c r="W5" s="377">
        <v>0.98</v>
      </c>
      <c r="X5" s="376">
        <v>6.77</v>
      </c>
      <c r="Y5" s="377">
        <v>1.8</v>
      </c>
      <c r="Z5" s="376">
        <v>11.66</v>
      </c>
      <c r="AA5" s="377">
        <v>0.32</v>
      </c>
      <c r="AB5" s="376">
        <v>17.850000000000001</v>
      </c>
      <c r="AC5" s="377">
        <v>0.21</v>
      </c>
      <c r="AD5" s="376">
        <v>6.19</v>
      </c>
      <c r="AE5" s="377">
        <v>0.11</v>
      </c>
      <c r="AF5" s="376">
        <v>9.69</v>
      </c>
      <c r="AG5" s="377">
        <v>0.31</v>
      </c>
      <c r="AH5" s="376">
        <v>1.82</v>
      </c>
      <c r="AI5" s="377">
        <v>0.01</v>
      </c>
      <c r="AJ5" s="376">
        <v>0.05</v>
      </c>
      <c r="AK5" s="377">
        <v>0.01</v>
      </c>
      <c r="AL5" s="376">
        <v>0.09</v>
      </c>
      <c r="AM5" s="377">
        <v>0</v>
      </c>
      <c r="AN5" s="376">
        <v>0</v>
      </c>
      <c r="AO5" s="377">
        <v>0</v>
      </c>
      <c r="AP5" s="376">
        <v>0</v>
      </c>
      <c r="AQ5" s="377">
        <v>0</v>
      </c>
      <c r="AR5" s="376">
        <v>0</v>
      </c>
      <c r="AS5" s="377">
        <v>0</v>
      </c>
      <c r="AT5" s="376">
        <v>0</v>
      </c>
      <c r="AU5" s="377">
        <v>0</v>
      </c>
    </row>
    <row r="6" spans="1:47" ht="16.5" customHeight="1">
      <c r="A6" s="362"/>
      <c r="B6" s="378"/>
      <c r="C6" s="379"/>
      <c r="D6" s="380" t="s">
        <v>307</v>
      </c>
      <c r="E6" s="381"/>
      <c r="F6" s="381">
        <v>4.6077413199212991</v>
      </c>
      <c r="G6" s="382">
        <v>0.12934774172900745</v>
      </c>
      <c r="H6" s="382">
        <v>36.79521318558227</v>
      </c>
      <c r="I6" s="383"/>
      <c r="J6" s="382">
        <v>27.145023562827539</v>
      </c>
      <c r="K6" s="383"/>
      <c r="L6" s="382">
        <v>26.597408489018679</v>
      </c>
      <c r="M6" s="383"/>
      <c r="N6" s="382">
        <v>19.998546225547063</v>
      </c>
      <c r="O6" s="383"/>
      <c r="P6" s="382">
        <v>58.798717766131936</v>
      </c>
      <c r="Q6" s="383"/>
      <c r="R6" s="382">
        <v>19.460713685642276</v>
      </c>
      <c r="S6" s="383"/>
      <c r="T6" s="382">
        <v>6.2302528303396407</v>
      </c>
      <c r="U6" s="383"/>
      <c r="V6" s="382">
        <v>11.85827776933232</v>
      </c>
      <c r="W6" s="383"/>
      <c r="X6" s="382">
        <v>4.2205372644717363</v>
      </c>
      <c r="Y6" s="383"/>
      <c r="Z6" s="382">
        <v>3.5167160859303119</v>
      </c>
      <c r="AA6" s="383"/>
      <c r="AB6" s="382">
        <v>5.065194223306797</v>
      </c>
      <c r="AC6" s="383"/>
      <c r="AD6" s="382">
        <v>1.5484781373764853</v>
      </c>
      <c r="AE6" s="383"/>
      <c r="AF6" s="382">
        <v>2.761460095211425</v>
      </c>
      <c r="AG6" s="383"/>
      <c r="AH6" s="382">
        <v>0.60525599071888625</v>
      </c>
      <c r="AI6" s="383"/>
      <c r="AJ6" s="382">
        <v>4.2501580189622759E-2</v>
      </c>
      <c r="AK6" s="383"/>
      <c r="AL6" s="382">
        <v>5.2507900948113778E-2</v>
      </c>
      <c r="AM6" s="383"/>
      <c r="AN6" s="382">
        <v>5.2488938672640727E-2</v>
      </c>
      <c r="AO6" s="383"/>
      <c r="AP6" s="382">
        <v>0</v>
      </c>
      <c r="AQ6" s="383"/>
      <c r="AR6" s="382">
        <v>0</v>
      </c>
      <c r="AS6" s="383"/>
      <c r="AT6" s="382">
        <v>0</v>
      </c>
      <c r="AU6" s="377"/>
    </row>
    <row r="7" spans="1:47" ht="16.5" customHeight="1">
      <c r="A7" s="362"/>
      <c r="B7" s="368">
        <v>3</v>
      </c>
      <c r="C7" s="369" t="s">
        <v>50</v>
      </c>
      <c r="D7" s="374" t="s">
        <v>141</v>
      </c>
      <c r="E7" s="375">
        <v>326166</v>
      </c>
      <c r="F7" s="375">
        <v>5.79</v>
      </c>
      <c r="G7" s="375">
        <v>0.1198</v>
      </c>
      <c r="H7" s="376">
        <v>37.5</v>
      </c>
      <c r="I7" s="377">
        <v>0.09</v>
      </c>
      <c r="J7" s="376">
        <v>30.37</v>
      </c>
      <c r="K7" s="377">
        <v>0.09</v>
      </c>
      <c r="L7" s="376">
        <v>39</v>
      </c>
      <c r="M7" s="377">
        <v>0</v>
      </c>
      <c r="N7" s="376">
        <v>32.5</v>
      </c>
      <c r="O7" s="377">
        <v>0.2</v>
      </c>
      <c r="P7" s="376">
        <v>55.53</v>
      </c>
      <c r="Q7" s="377">
        <v>2.5499999999999998</v>
      </c>
      <c r="R7" s="376">
        <v>1.4</v>
      </c>
      <c r="S7" s="377">
        <v>0</v>
      </c>
      <c r="T7" s="376">
        <v>9.11</v>
      </c>
      <c r="U7" s="377">
        <v>0.8</v>
      </c>
      <c r="V7" s="376">
        <v>12.054</v>
      </c>
      <c r="W7" s="377">
        <v>1.5660000000000001</v>
      </c>
      <c r="X7" s="376">
        <v>4.5999999999999996</v>
      </c>
      <c r="Y7" s="377">
        <v>7.0000000000000007E-2</v>
      </c>
      <c r="Z7" s="376">
        <v>7.0000000000000007E-2</v>
      </c>
      <c r="AA7" s="377">
        <v>0.01</v>
      </c>
      <c r="AB7" s="376">
        <v>7.0000000000000007E-2</v>
      </c>
      <c r="AC7" s="377">
        <v>0.01</v>
      </c>
      <c r="AD7" s="376">
        <v>0</v>
      </c>
      <c r="AE7" s="377">
        <v>0</v>
      </c>
      <c r="AF7" s="376">
        <v>7.0000000000000007E-2</v>
      </c>
      <c r="AG7" s="377">
        <v>0.01</v>
      </c>
      <c r="AH7" s="376">
        <v>0</v>
      </c>
      <c r="AI7" s="377">
        <v>0</v>
      </c>
      <c r="AJ7" s="376">
        <v>0</v>
      </c>
      <c r="AK7" s="377">
        <v>0</v>
      </c>
      <c r="AL7" s="376">
        <v>0</v>
      </c>
      <c r="AM7" s="377">
        <v>0</v>
      </c>
      <c r="AN7" s="376">
        <v>0</v>
      </c>
      <c r="AO7" s="377">
        <v>0</v>
      </c>
      <c r="AP7" s="376">
        <v>0</v>
      </c>
      <c r="AQ7" s="377">
        <v>0</v>
      </c>
      <c r="AR7" s="376">
        <v>0</v>
      </c>
      <c r="AS7" s="377">
        <v>0</v>
      </c>
      <c r="AT7" s="376">
        <v>0</v>
      </c>
      <c r="AU7" s="377">
        <v>0</v>
      </c>
    </row>
    <row r="8" spans="1:47" ht="16.5" customHeight="1">
      <c r="A8" s="362"/>
      <c r="B8" s="368">
        <v>4</v>
      </c>
      <c r="C8" s="369" t="s">
        <v>54</v>
      </c>
      <c r="D8" s="374" t="s">
        <v>149</v>
      </c>
      <c r="E8" s="375">
        <v>559071</v>
      </c>
      <c r="F8" s="375">
        <v>5.19</v>
      </c>
      <c r="G8" s="375">
        <v>0</v>
      </c>
      <c r="H8" s="376">
        <v>28.88</v>
      </c>
      <c r="I8" s="377">
        <v>1.06</v>
      </c>
      <c r="J8" s="376">
        <v>21.55</v>
      </c>
      <c r="K8" s="377">
        <v>1.06</v>
      </c>
      <c r="L8" s="376">
        <v>24.5</v>
      </c>
      <c r="M8" s="377">
        <v>0.9</v>
      </c>
      <c r="N8" s="376">
        <v>19.399999999999999</v>
      </c>
      <c r="O8" s="377">
        <v>0.4</v>
      </c>
      <c r="P8" s="376">
        <v>33.78</v>
      </c>
      <c r="Q8" s="377">
        <v>2.58</v>
      </c>
      <c r="R8" s="376">
        <v>4.9000000000000004</v>
      </c>
      <c r="S8" s="377">
        <v>0</v>
      </c>
      <c r="T8" s="376">
        <v>6.32</v>
      </c>
      <c r="U8" s="377">
        <v>0.19</v>
      </c>
      <c r="V8" s="376">
        <v>10.154999999999999</v>
      </c>
      <c r="W8" s="377">
        <v>0.41099999999999998</v>
      </c>
      <c r="X8" s="376">
        <v>2.33</v>
      </c>
      <c r="Y8" s="377">
        <v>0.11</v>
      </c>
      <c r="Z8" s="376">
        <v>0.72</v>
      </c>
      <c r="AA8" s="377">
        <v>0.02</v>
      </c>
      <c r="AB8" s="376">
        <v>1.17</v>
      </c>
      <c r="AC8" s="377">
        <v>0.02</v>
      </c>
      <c r="AD8" s="376">
        <v>0.45</v>
      </c>
      <c r="AE8" s="377">
        <v>0</v>
      </c>
      <c r="AF8" s="376">
        <v>0.56000000000000005</v>
      </c>
      <c r="AG8" s="377">
        <v>0.01</v>
      </c>
      <c r="AH8" s="376">
        <v>0.13</v>
      </c>
      <c r="AI8" s="377">
        <v>0</v>
      </c>
      <c r="AJ8" s="376">
        <v>0</v>
      </c>
      <c r="AK8" s="377">
        <v>0</v>
      </c>
      <c r="AL8" s="376">
        <v>0.04</v>
      </c>
      <c r="AM8" s="377">
        <v>0</v>
      </c>
      <c r="AN8" s="376">
        <v>0</v>
      </c>
      <c r="AO8" s="377">
        <v>0</v>
      </c>
      <c r="AP8" s="376">
        <v>0</v>
      </c>
      <c r="AQ8" s="377">
        <v>0</v>
      </c>
      <c r="AR8" s="376">
        <v>0</v>
      </c>
      <c r="AS8" s="377">
        <v>0</v>
      </c>
      <c r="AT8" s="376">
        <v>0</v>
      </c>
      <c r="AU8" s="377">
        <v>0</v>
      </c>
    </row>
    <row r="9" spans="1:47" ht="16.5" customHeight="1">
      <c r="A9" s="362"/>
      <c r="B9" s="368">
        <v>5</v>
      </c>
      <c r="C9" s="369" t="s">
        <v>55</v>
      </c>
      <c r="D9" s="374" t="s">
        <v>305</v>
      </c>
      <c r="E9" s="375">
        <v>376217</v>
      </c>
      <c r="F9" s="375">
        <v>6.13</v>
      </c>
      <c r="G9" s="375">
        <v>0.14499999999999999</v>
      </c>
      <c r="H9" s="376">
        <v>32.369999999999997</v>
      </c>
      <c r="I9" s="377">
        <v>1.79</v>
      </c>
      <c r="J9" s="376">
        <v>20.97</v>
      </c>
      <c r="K9" s="377">
        <v>1.51</v>
      </c>
      <c r="L9" s="376">
        <v>29.3</v>
      </c>
      <c r="M9" s="377">
        <v>0.6</v>
      </c>
      <c r="N9" s="376">
        <v>19.600000000000001</v>
      </c>
      <c r="O9" s="377">
        <v>0.5</v>
      </c>
      <c r="P9" s="376">
        <v>32.82</v>
      </c>
      <c r="Q9" s="377">
        <v>0.03</v>
      </c>
      <c r="R9" s="376">
        <v>0.8</v>
      </c>
      <c r="S9" s="377">
        <v>0</v>
      </c>
      <c r="T9" s="376">
        <v>5.56</v>
      </c>
      <c r="U9" s="377">
        <v>0.48</v>
      </c>
      <c r="V9" s="376">
        <v>9.343</v>
      </c>
      <c r="W9" s="377">
        <v>0.35499999999999998</v>
      </c>
      <c r="X9" s="376">
        <v>1.83</v>
      </c>
      <c r="Y9" s="377">
        <v>0.25</v>
      </c>
      <c r="Z9" s="376">
        <v>0</v>
      </c>
      <c r="AA9" s="377">
        <v>0</v>
      </c>
      <c r="AB9" s="376">
        <v>0</v>
      </c>
      <c r="AC9" s="377">
        <v>0</v>
      </c>
      <c r="AD9" s="376">
        <v>0</v>
      </c>
      <c r="AE9" s="377">
        <v>0</v>
      </c>
      <c r="AF9" s="376">
        <v>0</v>
      </c>
      <c r="AG9" s="377">
        <v>0</v>
      </c>
      <c r="AH9" s="376">
        <v>0</v>
      </c>
      <c r="AI9" s="377">
        <v>0</v>
      </c>
      <c r="AJ9" s="376">
        <v>0</v>
      </c>
      <c r="AK9" s="377">
        <v>0</v>
      </c>
      <c r="AL9" s="376">
        <v>0</v>
      </c>
      <c r="AM9" s="377">
        <v>0</v>
      </c>
      <c r="AN9" s="376">
        <v>0</v>
      </c>
      <c r="AO9" s="377">
        <v>0</v>
      </c>
      <c r="AP9" s="376">
        <v>0</v>
      </c>
      <c r="AQ9" s="377">
        <v>0</v>
      </c>
      <c r="AR9" s="376">
        <v>0</v>
      </c>
      <c r="AS9" s="377">
        <v>0</v>
      </c>
      <c r="AT9" s="376">
        <v>0</v>
      </c>
      <c r="AU9" s="377">
        <v>0</v>
      </c>
    </row>
    <row r="10" spans="1:47" ht="16.5" customHeight="1">
      <c r="A10" s="362"/>
      <c r="B10" s="378"/>
      <c r="C10" s="379" t="s">
        <v>306</v>
      </c>
      <c r="D10" s="374" t="s">
        <v>227</v>
      </c>
      <c r="E10" s="375">
        <v>214734</v>
      </c>
      <c r="F10" s="375">
        <v>6.7</v>
      </c>
      <c r="G10" s="375">
        <v>0.1515</v>
      </c>
      <c r="H10" s="376">
        <v>48.45</v>
      </c>
      <c r="I10" s="377">
        <v>1.01</v>
      </c>
      <c r="J10" s="376">
        <v>33.229999999999997</v>
      </c>
      <c r="K10" s="377">
        <v>0.71</v>
      </c>
      <c r="L10" s="376">
        <v>36</v>
      </c>
      <c r="M10" s="377">
        <v>0.1</v>
      </c>
      <c r="N10" s="376">
        <v>25.7</v>
      </c>
      <c r="O10" s="377">
        <v>0.3</v>
      </c>
      <c r="P10" s="376">
        <v>48.65</v>
      </c>
      <c r="Q10" s="377">
        <v>0.71</v>
      </c>
      <c r="R10" s="376">
        <v>0.3</v>
      </c>
      <c r="S10" s="377">
        <v>0</v>
      </c>
      <c r="T10" s="376">
        <v>9.7899999999999991</v>
      </c>
      <c r="U10" s="377">
        <v>0.27</v>
      </c>
      <c r="V10" s="376">
        <v>17.632000000000001</v>
      </c>
      <c r="W10" s="377">
        <v>2.9460000000000002</v>
      </c>
      <c r="X10" s="376">
        <v>2.42</v>
      </c>
      <c r="Y10" s="377">
        <v>0.67</v>
      </c>
      <c r="Z10" s="376">
        <v>0</v>
      </c>
      <c r="AA10" s="377">
        <v>0</v>
      </c>
      <c r="AB10" s="376">
        <v>0</v>
      </c>
      <c r="AC10" s="377">
        <v>0</v>
      </c>
      <c r="AD10" s="376">
        <v>0</v>
      </c>
      <c r="AE10" s="377">
        <v>0</v>
      </c>
      <c r="AF10" s="376">
        <v>0</v>
      </c>
      <c r="AG10" s="377">
        <v>0</v>
      </c>
      <c r="AH10" s="376">
        <v>0</v>
      </c>
      <c r="AI10" s="377">
        <v>0</v>
      </c>
      <c r="AJ10" s="376">
        <v>0</v>
      </c>
      <c r="AK10" s="377">
        <v>0</v>
      </c>
      <c r="AL10" s="376">
        <v>0</v>
      </c>
      <c r="AM10" s="377">
        <v>0</v>
      </c>
      <c r="AN10" s="376">
        <v>0</v>
      </c>
      <c r="AO10" s="377">
        <v>0</v>
      </c>
      <c r="AP10" s="376">
        <v>0</v>
      </c>
      <c r="AQ10" s="377">
        <v>0</v>
      </c>
      <c r="AR10" s="376">
        <v>0</v>
      </c>
      <c r="AS10" s="377">
        <v>0</v>
      </c>
      <c r="AT10" s="376">
        <v>0</v>
      </c>
      <c r="AU10" s="377">
        <v>0</v>
      </c>
    </row>
    <row r="11" spans="1:47" ht="16.5" customHeight="1">
      <c r="A11" s="362"/>
      <c r="B11" s="378"/>
      <c r="C11" s="379"/>
      <c r="D11" s="380" t="s">
        <v>308</v>
      </c>
      <c r="E11" s="381"/>
      <c r="F11" s="381">
        <v>6.2640483300346705</v>
      </c>
      <c r="G11" s="382">
        <v>0.14736190648632458</v>
      </c>
      <c r="H11" s="382">
        <v>38.212993276938356</v>
      </c>
      <c r="I11" s="383"/>
      <c r="J11" s="382">
        <v>25.42491900343683</v>
      </c>
      <c r="K11" s="383"/>
      <c r="L11" s="382">
        <v>31.734580532057652</v>
      </c>
      <c r="M11" s="383"/>
      <c r="N11" s="382">
        <v>21.816558394858458</v>
      </c>
      <c r="O11" s="383"/>
      <c r="P11" s="382">
        <v>38.572150719772026</v>
      </c>
      <c r="Q11" s="383"/>
      <c r="R11" s="382">
        <v>0.61831488566733972</v>
      </c>
      <c r="S11" s="383"/>
      <c r="T11" s="382">
        <v>7.0970560672543073</v>
      </c>
      <c r="U11" s="383"/>
      <c r="V11" s="382">
        <v>12.354975825406845</v>
      </c>
      <c r="W11" s="383"/>
      <c r="X11" s="382">
        <v>2.044388434912539</v>
      </c>
      <c r="Y11" s="383"/>
      <c r="Z11" s="382">
        <v>0</v>
      </c>
      <c r="AA11" s="383"/>
      <c r="AB11" s="382">
        <v>0</v>
      </c>
      <c r="AC11" s="383"/>
      <c r="AD11" s="382">
        <v>0</v>
      </c>
      <c r="AE11" s="383"/>
      <c r="AF11" s="382">
        <v>0</v>
      </c>
      <c r="AG11" s="383"/>
      <c r="AH11" s="382">
        <v>0</v>
      </c>
      <c r="AI11" s="383"/>
      <c r="AJ11" s="382">
        <v>0</v>
      </c>
      <c r="AK11" s="383"/>
      <c r="AL11" s="382">
        <v>0</v>
      </c>
      <c r="AM11" s="383"/>
      <c r="AN11" s="382">
        <v>0</v>
      </c>
      <c r="AO11" s="383"/>
      <c r="AP11" s="382">
        <v>0</v>
      </c>
      <c r="AQ11" s="383"/>
      <c r="AR11" s="382">
        <v>0</v>
      </c>
      <c r="AS11" s="383"/>
      <c r="AT11" s="382">
        <v>0</v>
      </c>
      <c r="AU11" s="377"/>
    </row>
    <row r="12" spans="1:47" ht="16.5" customHeight="1">
      <c r="A12" s="362"/>
      <c r="B12" s="368">
        <v>6</v>
      </c>
      <c r="C12" s="369" t="s">
        <v>56</v>
      </c>
      <c r="D12" s="374" t="s">
        <v>163</v>
      </c>
      <c r="E12" s="375">
        <v>14645</v>
      </c>
      <c r="F12" s="375">
        <v>6.74</v>
      </c>
      <c r="G12" s="375">
        <v>0.79700000000000004</v>
      </c>
      <c r="H12" s="376">
        <v>22.67</v>
      </c>
      <c r="I12" s="377">
        <v>0.47</v>
      </c>
      <c r="J12" s="376">
        <v>16.05</v>
      </c>
      <c r="K12" s="377">
        <v>1.1100000000000001</v>
      </c>
      <c r="L12" s="376">
        <v>19.3</v>
      </c>
      <c r="M12" s="377">
        <v>0.4</v>
      </c>
      <c r="N12" s="376">
        <v>15.6</v>
      </c>
      <c r="O12" s="377">
        <v>0.4</v>
      </c>
      <c r="P12" s="376">
        <v>28.87</v>
      </c>
      <c r="Q12" s="377">
        <v>0.65</v>
      </c>
      <c r="R12" s="376">
        <v>13.3</v>
      </c>
      <c r="S12" s="377">
        <v>0.3</v>
      </c>
      <c r="T12" s="376">
        <v>5.91</v>
      </c>
      <c r="U12" s="377">
        <v>0.34</v>
      </c>
      <c r="V12" s="376">
        <v>6.2389999999999999</v>
      </c>
      <c r="W12" s="377">
        <v>0.51400000000000001</v>
      </c>
      <c r="X12" s="376">
        <v>2.2000000000000002</v>
      </c>
      <c r="Y12" s="377">
        <v>0.49</v>
      </c>
      <c r="Z12" s="376">
        <v>4.9800000000000004</v>
      </c>
      <c r="AA12" s="377">
        <v>0.09</v>
      </c>
      <c r="AB12" s="376">
        <v>5.21</v>
      </c>
      <c r="AC12" s="377">
        <v>0.1</v>
      </c>
      <c r="AD12" s="376">
        <v>0.23</v>
      </c>
      <c r="AE12" s="377">
        <v>0</v>
      </c>
      <c r="AF12" s="376">
        <v>2.34</v>
      </c>
      <c r="AG12" s="377">
        <v>0.01</v>
      </c>
      <c r="AH12" s="376">
        <v>1.1499999999999999</v>
      </c>
      <c r="AI12" s="377">
        <v>0</v>
      </c>
      <c r="AJ12" s="376">
        <v>0.21</v>
      </c>
      <c r="AK12" s="377">
        <v>0</v>
      </c>
      <c r="AL12" s="376">
        <v>0.65</v>
      </c>
      <c r="AM12" s="377">
        <v>0.06</v>
      </c>
      <c r="AN12" s="376">
        <v>0.24</v>
      </c>
      <c r="AO12" s="377">
        <v>0</v>
      </c>
      <c r="AP12" s="376">
        <v>0.21</v>
      </c>
      <c r="AQ12" s="377">
        <v>0.01</v>
      </c>
      <c r="AR12" s="376">
        <v>0</v>
      </c>
      <c r="AS12" s="377">
        <v>0</v>
      </c>
      <c r="AT12" s="376">
        <v>0.19</v>
      </c>
      <c r="AU12" s="377">
        <v>0.01</v>
      </c>
    </row>
    <row r="13" spans="1:47" ht="16.5" customHeight="1">
      <c r="A13" s="362"/>
      <c r="B13" s="368">
        <v>7</v>
      </c>
      <c r="C13" s="369" t="s">
        <v>57</v>
      </c>
      <c r="D13" s="374" t="s">
        <v>309</v>
      </c>
      <c r="E13" s="375">
        <v>472558</v>
      </c>
      <c r="F13" s="375">
        <v>6.31</v>
      </c>
      <c r="G13" s="375">
        <v>8.0500000000000002E-2</v>
      </c>
      <c r="H13" s="376">
        <v>24.42</v>
      </c>
      <c r="I13" s="377">
        <v>0.26</v>
      </c>
      <c r="J13" s="376">
        <v>17.3</v>
      </c>
      <c r="K13" s="377">
        <v>0.14000000000000001</v>
      </c>
      <c r="L13" s="376">
        <v>24.4</v>
      </c>
      <c r="M13" s="377">
        <v>0.3</v>
      </c>
      <c r="N13" s="376">
        <v>17.7</v>
      </c>
      <c r="O13" s="377">
        <v>0.6</v>
      </c>
      <c r="P13" s="376">
        <v>27.11</v>
      </c>
      <c r="Q13" s="377">
        <v>5.83</v>
      </c>
      <c r="R13" s="376">
        <v>2.1</v>
      </c>
      <c r="S13" s="377">
        <v>0</v>
      </c>
      <c r="T13" s="376">
        <v>1.27</v>
      </c>
      <c r="U13" s="377">
        <v>0.01</v>
      </c>
      <c r="V13" s="376">
        <v>4.82</v>
      </c>
      <c r="W13" s="377">
        <v>0.373</v>
      </c>
      <c r="X13" s="376">
        <v>2.17</v>
      </c>
      <c r="Y13" s="377">
        <v>0.18</v>
      </c>
      <c r="Z13" s="376">
        <v>0.32</v>
      </c>
      <c r="AA13" s="377">
        <v>0.01</v>
      </c>
      <c r="AB13" s="376">
        <v>0.32</v>
      </c>
      <c r="AC13" s="377">
        <v>0.01</v>
      </c>
      <c r="AD13" s="376">
        <v>0</v>
      </c>
      <c r="AE13" s="377">
        <v>0</v>
      </c>
      <c r="AF13" s="376">
        <v>0.11</v>
      </c>
      <c r="AG13" s="377">
        <v>0</v>
      </c>
      <c r="AH13" s="376">
        <v>0.12</v>
      </c>
      <c r="AI13" s="377">
        <v>0</v>
      </c>
      <c r="AJ13" s="376">
        <v>0.02</v>
      </c>
      <c r="AK13" s="377">
        <v>0</v>
      </c>
      <c r="AL13" s="376">
        <v>0.01</v>
      </c>
      <c r="AM13" s="377">
        <v>0</v>
      </c>
      <c r="AN13" s="376">
        <v>0.03</v>
      </c>
      <c r="AO13" s="377">
        <v>0</v>
      </c>
      <c r="AP13" s="376">
        <v>0.02</v>
      </c>
      <c r="AQ13" s="377">
        <v>0</v>
      </c>
      <c r="AR13" s="376">
        <v>0</v>
      </c>
      <c r="AS13" s="377">
        <v>0</v>
      </c>
      <c r="AT13" s="376">
        <v>0</v>
      </c>
      <c r="AU13" s="377">
        <v>0</v>
      </c>
    </row>
    <row r="14" spans="1:47" ht="16.5" customHeight="1">
      <c r="A14" s="362"/>
      <c r="B14" s="368">
        <v>8</v>
      </c>
      <c r="C14" s="369" t="s">
        <v>58</v>
      </c>
      <c r="D14" s="374" t="s">
        <v>141</v>
      </c>
      <c r="E14" s="375">
        <v>546356</v>
      </c>
      <c r="F14" s="375">
        <v>5.45</v>
      </c>
      <c r="G14" s="375">
        <v>2.5499999999999998E-2</v>
      </c>
      <c r="H14" s="376">
        <v>42.77</v>
      </c>
      <c r="I14" s="377">
        <v>0.19</v>
      </c>
      <c r="J14" s="376">
        <v>35.270000000000003</v>
      </c>
      <c r="K14" s="377">
        <v>0.05</v>
      </c>
      <c r="L14" s="376">
        <v>22</v>
      </c>
      <c r="M14" s="377">
        <v>0.2</v>
      </c>
      <c r="N14" s="376">
        <v>20.8</v>
      </c>
      <c r="O14" s="377">
        <v>0.4</v>
      </c>
      <c r="P14" s="376">
        <v>36.840000000000003</v>
      </c>
      <c r="Q14" s="377">
        <v>2.13</v>
      </c>
      <c r="R14" s="376">
        <v>2</v>
      </c>
      <c r="S14" s="377">
        <v>0</v>
      </c>
      <c r="T14" s="376">
        <v>3.93</v>
      </c>
      <c r="U14" s="377">
        <v>0.36</v>
      </c>
      <c r="V14" s="376">
        <v>8.7940000000000005</v>
      </c>
      <c r="W14" s="377">
        <v>0.308</v>
      </c>
      <c r="X14" s="376">
        <v>2.38</v>
      </c>
      <c r="Y14" s="377">
        <v>0.46</v>
      </c>
      <c r="Z14" s="376">
        <v>1.77</v>
      </c>
      <c r="AA14" s="377">
        <v>0.04</v>
      </c>
      <c r="AB14" s="376">
        <v>7.83</v>
      </c>
      <c r="AC14" s="377">
        <v>0.13</v>
      </c>
      <c r="AD14" s="376">
        <v>6.06</v>
      </c>
      <c r="AE14" s="377">
        <v>0.09</v>
      </c>
      <c r="AF14" s="376">
        <v>1.55</v>
      </c>
      <c r="AG14" s="377">
        <v>0.03</v>
      </c>
      <c r="AH14" s="376">
        <v>7.0000000000000007E-2</v>
      </c>
      <c r="AI14" s="377">
        <v>0</v>
      </c>
      <c r="AJ14" s="376">
        <v>0.01</v>
      </c>
      <c r="AK14" s="377">
        <v>0</v>
      </c>
      <c r="AL14" s="376">
        <v>7.0000000000000007E-2</v>
      </c>
      <c r="AM14" s="377">
        <v>0</v>
      </c>
      <c r="AN14" s="376">
        <v>0.01</v>
      </c>
      <c r="AO14" s="377">
        <v>0</v>
      </c>
      <c r="AP14" s="376">
        <v>0.02</v>
      </c>
      <c r="AQ14" s="377">
        <v>0</v>
      </c>
      <c r="AR14" s="376">
        <v>0</v>
      </c>
      <c r="AS14" s="377">
        <v>0</v>
      </c>
      <c r="AT14" s="376">
        <v>0.04</v>
      </c>
      <c r="AU14" s="377">
        <v>0</v>
      </c>
    </row>
    <row r="15" spans="1:47" ht="16.5" customHeight="1">
      <c r="A15" s="362"/>
      <c r="B15" s="378"/>
      <c r="C15" s="379" t="s">
        <v>306</v>
      </c>
      <c r="D15" s="374" t="s">
        <v>192</v>
      </c>
      <c r="E15" s="375">
        <v>147781</v>
      </c>
      <c r="F15" s="375">
        <v>3.72</v>
      </c>
      <c r="G15" s="375">
        <v>0</v>
      </c>
      <c r="H15" s="376">
        <v>24.05</v>
      </c>
      <c r="I15" s="377">
        <v>0.49</v>
      </c>
      <c r="J15" s="376">
        <v>17.68</v>
      </c>
      <c r="K15" s="377">
        <v>0.31</v>
      </c>
      <c r="L15" s="376">
        <v>22.9</v>
      </c>
      <c r="M15" s="377">
        <v>0.3</v>
      </c>
      <c r="N15" s="376">
        <v>17.2</v>
      </c>
      <c r="O15" s="377">
        <v>0</v>
      </c>
      <c r="P15" s="376">
        <v>90.17</v>
      </c>
      <c r="Q15" s="377">
        <v>1.95</v>
      </c>
      <c r="R15" s="376">
        <v>37.799999999999997</v>
      </c>
      <c r="S15" s="377">
        <v>0.3</v>
      </c>
      <c r="T15" s="376">
        <v>6.46</v>
      </c>
      <c r="U15" s="377">
        <v>0.31</v>
      </c>
      <c r="V15" s="376">
        <v>9.9700000000000006</v>
      </c>
      <c r="W15" s="377">
        <v>0.46700000000000003</v>
      </c>
      <c r="X15" s="376">
        <v>7.55</v>
      </c>
      <c r="Y15" s="377">
        <v>0.64</v>
      </c>
      <c r="Z15" s="376">
        <v>1.25</v>
      </c>
      <c r="AA15" s="377">
        <v>0.01</v>
      </c>
      <c r="AB15" s="376">
        <v>1.25</v>
      </c>
      <c r="AC15" s="377">
        <v>0.01</v>
      </c>
      <c r="AD15" s="376">
        <v>0</v>
      </c>
      <c r="AE15" s="377">
        <v>0</v>
      </c>
      <c r="AF15" s="376">
        <v>0.74</v>
      </c>
      <c r="AG15" s="377">
        <v>0.01</v>
      </c>
      <c r="AH15" s="376">
        <v>0.37</v>
      </c>
      <c r="AI15" s="377">
        <v>0.01</v>
      </c>
      <c r="AJ15" s="376">
        <v>0</v>
      </c>
      <c r="AK15" s="377">
        <v>0</v>
      </c>
      <c r="AL15" s="376">
        <v>0.09</v>
      </c>
      <c r="AM15" s="377">
        <v>0</v>
      </c>
      <c r="AN15" s="376">
        <v>0</v>
      </c>
      <c r="AO15" s="377">
        <v>0</v>
      </c>
      <c r="AP15" s="376">
        <v>0.04</v>
      </c>
      <c r="AQ15" s="377">
        <v>0</v>
      </c>
      <c r="AR15" s="376">
        <v>0</v>
      </c>
      <c r="AS15" s="377">
        <v>0</v>
      </c>
      <c r="AT15" s="376">
        <v>0</v>
      </c>
      <c r="AU15" s="377">
        <v>0</v>
      </c>
    </row>
    <row r="16" spans="1:47" ht="16.5" customHeight="1">
      <c r="A16" s="362"/>
      <c r="B16" s="378"/>
      <c r="C16" s="379"/>
      <c r="D16" s="380" t="s">
        <v>310</v>
      </c>
      <c r="E16" s="381"/>
      <c r="F16" s="381">
        <v>4.3629128482245934</v>
      </c>
      <c r="G16" s="382">
        <v>2.0071078187735274E-2</v>
      </c>
      <c r="H16" s="382">
        <v>38.784532693113896</v>
      </c>
      <c r="I16" s="383"/>
      <c r="J16" s="382">
        <v>31.525108444010336</v>
      </c>
      <c r="K16" s="383"/>
      <c r="L16" s="382">
        <v>22.191609005138755</v>
      </c>
      <c r="M16" s="383"/>
      <c r="N16" s="382">
        <v>20.033563979444981</v>
      </c>
      <c r="O16" s="383"/>
      <c r="P16" s="382">
        <v>48.193898048944234</v>
      </c>
      <c r="Q16" s="383"/>
      <c r="R16" s="382">
        <v>9.6217804266304778</v>
      </c>
      <c r="S16" s="383"/>
      <c r="T16" s="382">
        <v>4.4686342033345001</v>
      </c>
      <c r="U16" s="383"/>
      <c r="V16" s="382">
        <v>9.0443691000479731</v>
      </c>
      <c r="W16" s="383"/>
      <c r="X16" s="382">
        <v>3.4806872850748483</v>
      </c>
      <c r="Y16" s="383"/>
      <c r="Z16" s="382">
        <v>1.6592925748087195</v>
      </c>
      <c r="AA16" s="383"/>
      <c r="AB16" s="382">
        <v>6.4291252735411026</v>
      </c>
      <c r="AC16" s="383"/>
      <c r="AD16" s="382">
        <v>4.7698326987323822</v>
      </c>
      <c r="AE16" s="383"/>
      <c r="AF16" s="382">
        <v>1.3775518953751205</v>
      </c>
      <c r="AG16" s="383"/>
      <c r="AH16" s="382">
        <v>0.13386966837958503</v>
      </c>
      <c r="AI16" s="383"/>
      <c r="AJ16" s="382">
        <v>7.871011054013834E-3</v>
      </c>
      <c r="AK16" s="383"/>
      <c r="AL16" s="382">
        <v>7.4257977891972346E-2</v>
      </c>
      <c r="AM16" s="383"/>
      <c r="AN16" s="382">
        <v>7.871011054013834E-3</v>
      </c>
      <c r="AO16" s="383"/>
      <c r="AP16" s="382">
        <v>2.4257977891972336E-2</v>
      </c>
      <c r="AQ16" s="383"/>
      <c r="AR16" s="382">
        <v>0</v>
      </c>
      <c r="AS16" s="383"/>
      <c r="AT16" s="382">
        <v>3.1484044216055336E-2</v>
      </c>
      <c r="AU16" s="377"/>
    </row>
    <row r="17" spans="1:48" ht="16.5" customHeight="1">
      <c r="A17" s="362"/>
      <c r="B17" s="368">
        <v>9</v>
      </c>
      <c r="C17" s="369" t="s">
        <v>59</v>
      </c>
      <c r="D17" s="374" t="s">
        <v>123</v>
      </c>
      <c r="E17" s="375">
        <v>72778</v>
      </c>
      <c r="F17" s="375">
        <v>4.46</v>
      </c>
      <c r="G17" s="375">
        <v>0</v>
      </c>
      <c r="H17" s="376">
        <v>35.479999999999997</v>
      </c>
      <c r="I17" s="377">
        <v>2.4700000000000002</v>
      </c>
      <c r="J17" s="376">
        <v>31.02</v>
      </c>
      <c r="K17" s="377">
        <v>2.38</v>
      </c>
      <c r="L17" s="376">
        <v>24.4</v>
      </c>
      <c r="M17" s="377">
        <v>0.3</v>
      </c>
      <c r="N17" s="376">
        <v>17.7</v>
      </c>
      <c r="O17" s="377">
        <v>0.6</v>
      </c>
      <c r="P17" s="376">
        <v>334.51</v>
      </c>
      <c r="Q17" s="377">
        <v>12.9</v>
      </c>
      <c r="R17" s="376">
        <v>107</v>
      </c>
      <c r="S17" s="377">
        <v>0.4</v>
      </c>
      <c r="T17" s="376">
        <v>67.11</v>
      </c>
      <c r="U17" s="377">
        <v>0</v>
      </c>
      <c r="V17" s="376">
        <v>31.334</v>
      </c>
      <c r="W17" s="377">
        <v>1.9079999999999999</v>
      </c>
      <c r="X17" s="376">
        <v>3.13</v>
      </c>
      <c r="Y17" s="377">
        <v>0.39</v>
      </c>
      <c r="Z17" s="376">
        <v>3.46</v>
      </c>
      <c r="AA17" s="377">
        <v>1.69</v>
      </c>
      <c r="AB17" s="376">
        <v>16.34</v>
      </c>
      <c r="AC17" s="377">
        <v>1.68</v>
      </c>
      <c r="AD17" s="376">
        <v>12.89</v>
      </c>
      <c r="AE17" s="377">
        <v>0.01</v>
      </c>
      <c r="AF17" s="376">
        <v>2.61</v>
      </c>
      <c r="AG17" s="377">
        <v>1.63</v>
      </c>
      <c r="AH17" s="376">
        <v>0.67</v>
      </c>
      <c r="AI17" s="377">
        <v>0.06</v>
      </c>
      <c r="AJ17" s="376">
        <v>0</v>
      </c>
      <c r="AK17" s="377">
        <v>0</v>
      </c>
      <c r="AL17" s="376">
        <v>0</v>
      </c>
      <c r="AM17" s="377">
        <v>0</v>
      </c>
      <c r="AN17" s="376">
        <v>0</v>
      </c>
      <c r="AO17" s="377">
        <v>0</v>
      </c>
      <c r="AP17" s="376">
        <v>0.18</v>
      </c>
      <c r="AQ17" s="377">
        <v>0.01</v>
      </c>
      <c r="AR17" s="376">
        <v>0</v>
      </c>
      <c r="AS17" s="377">
        <v>0</v>
      </c>
      <c r="AT17" s="376">
        <v>0</v>
      </c>
      <c r="AU17" s="377">
        <v>0</v>
      </c>
    </row>
    <row r="18" spans="1:48" ht="16.5" customHeight="1">
      <c r="A18" s="362"/>
      <c r="B18" s="368">
        <v>10</v>
      </c>
      <c r="C18" s="369" t="s">
        <v>60</v>
      </c>
      <c r="D18" s="374" t="s">
        <v>141</v>
      </c>
      <c r="E18" s="375">
        <v>182865</v>
      </c>
      <c r="F18" s="375">
        <v>7.08</v>
      </c>
      <c r="G18" s="375">
        <v>0.62649999999999995</v>
      </c>
      <c r="H18" s="376">
        <v>26.43</v>
      </c>
      <c r="I18" s="377">
        <v>4.43</v>
      </c>
      <c r="J18" s="376">
        <v>16.899999999999999</v>
      </c>
      <c r="K18" s="377">
        <v>0.14000000000000001</v>
      </c>
      <c r="L18" s="376">
        <v>27.4</v>
      </c>
      <c r="M18" s="377">
        <v>0.6</v>
      </c>
      <c r="N18" s="376">
        <v>15.9</v>
      </c>
      <c r="O18" s="377">
        <v>0.4</v>
      </c>
      <c r="P18" s="376">
        <v>37.799999999999997</v>
      </c>
      <c r="Q18" s="377">
        <v>1.26</v>
      </c>
      <c r="R18" s="376">
        <v>1</v>
      </c>
      <c r="S18" s="377">
        <v>0</v>
      </c>
      <c r="T18" s="376">
        <v>4.12</v>
      </c>
      <c r="U18" s="377">
        <v>0.35</v>
      </c>
      <c r="V18" s="376">
        <v>7.7649999999999997</v>
      </c>
      <c r="W18" s="377">
        <v>9.2999999999999999E-2</v>
      </c>
      <c r="X18" s="376">
        <v>2.77</v>
      </c>
      <c r="Y18" s="377">
        <v>0.88</v>
      </c>
      <c r="Z18" s="376">
        <v>0.04</v>
      </c>
      <c r="AA18" s="377">
        <v>0</v>
      </c>
      <c r="AB18" s="376">
        <v>0.04</v>
      </c>
      <c r="AC18" s="377">
        <v>0</v>
      </c>
      <c r="AD18" s="376">
        <v>0</v>
      </c>
      <c r="AE18" s="377">
        <v>0</v>
      </c>
      <c r="AF18" s="376">
        <v>0.01</v>
      </c>
      <c r="AG18" s="377">
        <v>0</v>
      </c>
      <c r="AH18" s="376">
        <v>0.01</v>
      </c>
      <c r="AI18" s="377">
        <v>0</v>
      </c>
      <c r="AJ18" s="376">
        <v>0.01</v>
      </c>
      <c r="AK18" s="377">
        <v>0</v>
      </c>
      <c r="AL18" s="376">
        <v>0</v>
      </c>
      <c r="AM18" s="377">
        <v>0</v>
      </c>
      <c r="AN18" s="376">
        <v>0.01</v>
      </c>
      <c r="AO18" s="377">
        <v>0</v>
      </c>
      <c r="AP18" s="376">
        <v>0</v>
      </c>
      <c r="AQ18" s="377">
        <v>0</v>
      </c>
      <c r="AR18" s="376">
        <v>0</v>
      </c>
      <c r="AS18" s="377">
        <v>0</v>
      </c>
      <c r="AT18" s="376">
        <v>0</v>
      </c>
      <c r="AU18" s="377">
        <v>0</v>
      </c>
    </row>
    <row r="19" spans="1:48" ht="16.5" customHeight="1">
      <c r="A19" s="362"/>
      <c r="B19" s="368">
        <v>11</v>
      </c>
      <c r="C19" s="369" t="s">
        <v>61</v>
      </c>
      <c r="D19" s="374" t="s">
        <v>216</v>
      </c>
      <c r="E19" s="381">
        <v>31628</v>
      </c>
      <c r="F19" s="375">
        <v>7.36</v>
      </c>
      <c r="G19" s="375">
        <v>0.31080000000000002</v>
      </c>
      <c r="H19" s="376">
        <v>12.97</v>
      </c>
      <c r="I19" s="377">
        <v>0</v>
      </c>
      <c r="J19" s="376">
        <v>5.38</v>
      </c>
      <c r="K19" s="377">
        <v>7.0000000000000007E-2</v>
      </c>
      <c r="L19" s="376">
        <v>12</v>
      </c>
      <c r="M19" s="377">
        <v>0</v>
      </c>
      <c r="N19" s="376">
        <v>5.3</v>
      </c>
      <c r="O19" s="377">
        <v>0.3</v>
      </c>
      <c r="P19" s="376">
        <v>16.13</v>
      </c>
      <c r="Q19" s="377">
        <v>0.51</v>
      </c>
      <c r="R19" s="376">
        <v>0.3</v>
      </c>
      <c r="S19" s="377">
        <v>0</v>
      </c>
      <c r="T19" s="376">
        <v>1.1499999999999999</v>
      </c>
      <c r="U19" s="377">
        <v>0.01</v>
      </c>
      <c r="V19" s="376">
        <v>2.694</v>
      </c>
      <c r="W19" s="377">
        <v>0.51400000000000001</v>
      </c>
      <c r="X19" s="376">
        <v>0.78</v>
      </c>
      <c r="Y19" s="377">
        <v>0.11</v>
      </c>
      <c r="Z19" s="376">
        <v>0.06</v>
      </c>
      <c r="AA19" s="377">
        <v>0.01</v>
      </c>
      <c r="AB19" s="376">
        <v>0.08</v>
      </c>
      <c r="AC19" s="377">
        <v>0.01</v>
      </c>
      <c r="AD19" s="376">
        <v>0.02</v>
      </c>
      <c r="AE19" s="377">
        <v>0</v>
      </c>
      <c r="AF19" s="376">
        <v>0.03</v>
      </c>
      <c r="AG19" s="377">
        <v>0.01</v>
      </c>
      <c r="AH19" s="376">
        <v>0.01</v>
      </c>
      <c r="AI19" s="377">
        <v>0</v>
      </c>
      <c r="AJ19" s="376">
        <v>0</v>
      </c>
      <c r="AK19" s="377">
        <v>0</v>
      </c>
      <c r="AL19" s="376">
        <v>0</v>
      </c>
      <c r="AM19" s="377">
        <v>0</v>
      </c>
      <c r="AN19" s="376">
        <v>0</v>
      </c>
      <c r="AO19" s="377">
        <v>0</v>
      </c>
      <c r="AP19" s="376">
        <v>0.01</v>
      </c>
      <c r="AQ19" s="377">
        <v>0</v>
      </c>
      <c r="AR19" s="376">
        <v>0</v>
      </c>
      <c r="AS19" s="377">
        <v>0</v>
      </c>
      <c r="AT19" s="376">
        <v>0</v>
      </c>
      <c r="AU19" s="377">
        <v>0</v>
      </c>
    </row>
    <row r="20" spans="1:48" ht="16.5" customHeight="1">
      <c r="A20" s="362"/>
      <c r="B20" s="378"/>
      <c r="C20" s="379" t="s">
        <v>306</v>
      </c>
      <c r="D20" s="374" t="s">
        <v>227</v>
      </c>
      <c r="E20" s="381">
        <v>61715</v>
      </c>
      <c r="F20" s="375">
        <v>6.79</v>
      </c>
      <c r="G20" s="375">
        <v>0.1105</v>
      </c>
      <c r="H20" s="376">
        <v>29.88</v>
      </c>
      <c r="I20" s="377">
        <v>3.51</v>
      </c>
      <c r="J20" s="376">
        <v>20.92</v>
      </c>
      <c r="K20" s="377">
        <v>2.57</v>
      </c>
      <c r="L20" s="376">
        <v>26.6</v>
      </c>
      <c r="M20" s="377">
        <v>0.4</v>
      </c>
      <c r="N20" s="376">
        <v>19.399999999999999</v>
      </c>
      <c r="O20" s="377">
        <v>0.4</v>
      </c>
      <c r="P20" s="376">
        <v>44.01</v>
      </c>
      <c r="Q20" s="377">
        <v>0.49</v>
      </c>
      <c r="R20" s="376">
        <v>0.3</v>
      </c>
      <c r="S20" s="377">
        <v>0</v>
      </c>
      <c r="T20" s="376">
        <v>5.0999999999999996</v>
      </c>
      <c r="U20" s="377">
        <v>0.13</v>
      </c>
      <c r="V20" s="376">
        <v>11.436</v>
      </c>
      <c r="W20" s="377">
        <v>1.4470000000000001</v>
      </c>
      <c r="X20" s="376">
        <v>2.1</v>
      </c>
      <c r="Y20" s="377">
        <v>0.78</v>
      </c>
      <c r="Z20" s="376">
        <v>0.03</v>
      </c>
      <c r="AA20" s="377">
        <v>0</v>
      </c>
      <c r="AB20" s="376">
        <v>0.04</v>
      </c>
      <c r="AC20" s="377">
        <v>0</v>
      </c>
      <c r="AD20" s="376">
        <v>0</v>
      </c>
      <c r="AE20" s="377">
        <v>0</v>
      </c>
      <c r="AF20" s="376">
        <v>0.01</v>
      </c>
      <c r="AG20" s="377">
        <v>0</v>
      </c>
      <c r="AH20" s="376">
        <v>0.01</v>
      </c>
      <c r="AI20" s="377">
        <v>0</v>
      </c>
      <c r="AJ20" s="376">
        <v>0</v>
      </c>
      <c r="AK20" s="377">
        <v>0</v>
      </c>
      <c r="AL20" s="376">
        <v>0</v>
      </c>
      <c r="AM20" s="377">
        <v>0</v>
      </c>
      <c r="AN20" s="376">
        <v>0</v>
      </c>
      <c r="AO20" s="377">
        <v>0</v>
      </c>
      <c r="AP20" s="376">
        <v>0.01</v>
      </c>
      <c r="AQ20" s="377">
        <v>0</v>
      </c>
      <c r="AR20" s="376">
        <v>0</v>
      </c>
      <c r="AS20" s="377">
        <v>0</v>
      </c>
      <c r="AT20" s="376">
        <v>0</v>
      </c>
      <c r="AU20" s="377">
        <v>0</v>
      </c>
    </row>
    <row r="21" spans="1:48" ht="16.5" customHeight="1">
      <c r="A21" s="362"/>
      <c r="B21" s="378"/>
      <c r="C21" s="379"/>
      <c r="D21" s="380" t="s">
        <v>314</v>
      </c>
      <c r="E21" s="381"/>
      <c r="F21" s="381">
        <v>6.9135745078759241</v>
      </c>
      <c r="G21" s="382">
        <v>0.17836974012883999</v>
      </c>
      <c r="H21" s="382">
        <v>24.150208159866779</v>
      </c>
      <c r="I21" s="383"/>
      <c r="J21" s="382">
        <v>15.654419562645167</v>
      </c>
      <c r="K21" s="383"/>
      <c r="L21" s="382">
        <v>21.652929576230338</v>
      </c>
      <c r="M21" s="383"/>
      <c r="N21" s="382">
        <v>14.622349796222444</v>
      </c>
      <c r="O21" s="383"/>
      <c r="P21" s="382">
        <v>34.563128533239841</v>
      </c>
      <c r="Q21" s="383"/>
      <c r="R21" s="382">
        <v>0.3</v>
      </c>
      <c r="S21" s="383"/>
      <c r="T21" s="382">
        <v>3.7615802620623158</v>
      </c>
      <c r="U21" s="383"/>
      <c r="V21" s="382">
        <v>8.4738568736579172</v>
      </c>
      <c r="W21" s="383"/>
      <c r="X21" s="382">
        <v>1.6527306192208246</v>
      </c>
      <c r="Y21" s="383"/>
      <c r="Z21" s="382">
        <v>4.0165213199526713E-2</v>
      </c>
      <c r="AA21" s="383"/>
      <c r="AB21" s="382">
        <v>5.3553617599368941E-2</v>
      </c>
      <c r="AC21" s="383"/>
      <c r="AD21" s="382">
        <v>6.7768087996844736E-3</v>
      </c>
      <c r="AE21" s="383"/>
      <c r="AF21" s="382">
        <v>1.6776808799684472E-2</v>
      </c>
      <c r="AG21" s="383"/>
      <c r="AH21" s="382">
        <v>0.01</v>
      </c>
      <c r="AI21" s="383"/>
      <c r="AJ21" s="382">
        <v>0</v>
      </c>
      <c r="AK21" s="383"/>
      <c r="AL21" s="382">
        <v>0</v>
      </c>
      <c r="AM21" s="383"/>
      <c r="AN21" s="382">
        <v>0</v>
      </c>
      <c r="AO21" s="383"/>
      <c r="AP21" s="382">
        <v>0.01</v>
      </c>
      <c r="AQ21" s="383"/>
      <c r="AR21" s="382">
        <v>0</v>
      </c>
      <c r="AS21" s="383"/>
      <c r="AT21" s="382">
        <v>0</v>
      </c>
      <c r="AU21" s="377"/>
      <c r="AV21" s="376"/>
    </row>
    <row r="22" spans="1:48" ht="16.5" customHeight="1">
      <c r="A22" s="362"/>
      <c r="B22" s="368">
        <v>12</v>
      </c>
      <c r="C22" s="369" t="s">
        <v>64</v>
      </c>
      <c r="D22" s="374" t="s">
        <v>187</v>
      </c>
      <c r="E22" s="375">
        <v>36812</v>
      </c>
      <c r="F22" s="375">
        <v>5.25</v>
      </c>
      <c r="G22" s="375">
        <v>3.2</v>
      </c>
      <c r="H22" s="376">
        <v>82.8</v>
      </c>
      <c r="I22" s="377">
        <v>6.84</v>
      </c>
      <c r="J22" s="376">
        <v>70.33</v>
      </c>
      <c r="K22" s="377">
        <v>5.8</v>
      </c>
      <c r="L22" s="376">
        <v>55.8</v>
      </c>
      <c r="M22" s="377">
        <v>0.8</v>
      </c>
      <c r="N22" s="376">
        <v>52.6</v>
      </c>
      <c r="O22" s="377">
        <v>0.3</v>
      </c>
      <c r="P22" s="376">
        <v>128.28</v>
      </c>
      <c r="Q22" s="377">
        <v>2.61</v>
      </c>
      <c r="R22" s="376">
        <v>32.9</v>
      </c>
      <c r="S22" s="377">
        <v>0.3</v>
      </c>
      <c r="T22" s="376">
        <v>14.59</v>
      </c>
      <c r="U22" s="377">
        <v>0.76</v>
      </c>
      <c r="V22" s="376">
        <v>14.79</v>
      </c>
      <c r="W22" s="377">
        <v>3.6419999999999999</v>
      </c>
      <c r="X22" s="376">
        <v>12.78</v>
      </c>
      <c r="Y22" s="377">
        <v>0.18</v>
      </c>
      <c r="Z22" s="376">
        <v>6.97</v>
      </c>
      <c r="AA22" s="377">
        <v>0.27</v>
      </c>
      <c r="AB22" s="376">
        <v>12.15</v>
      </c>
      <c r="AC22" s="377">
        <v>0.36</v>
      </c>
      <c r="AD22" s="376">
        <v>5.17</v>
      </c>
      <c r="AE22" s="377">
        <v>0.09</v>
      </c>
      <c r="AF22" s="376">
        <v>3.85</v>
      </c>
      <c r="AG22" s="377">
        <v>0.17</v>
      </c>
      <c r="AH22" s="376">
        <v>1.49</v>
      </c>
      <c r="AI22" s="377">
        <v>0.02</v>
      </c>
      <c r="AJ22" s="376">
        <v>0.17</v>
      </c>
      <c r="AK22" s="377">
        <v>0</v>
      </c>
      <c r="AL22" s="376">
        <v>0.76</v>
      </c>
      <c r="AM22" s="377">
        <v>0.01</v>
      </c>
      <c r="AN22" s="376">
        <v>0.16</v>
      </c>
      <c r="AO22" s="377">
        <v>0</v>
      </c>
      <c r="AP22" s="376">
        <v>0.32</v>
      </c>
      <c r="AQ22" s="377">
        <v>0.01</v>
      </c>
      <c r="AR22" s="376">
        <v>0.05</v>
      </c>
      <c r="AS22" s="377">
        <v>0</v>
      </c>
      <c r="AT22" s="376">
        <v>0.17</v>
      </c>
      <c r="AU22" s="377">
        <v>0.05</v>
      </c>
    </row>
    <row r="23" spans="1:48" ht="16.5" customHeight="1">
      <c r="A23" s="362"/>
      <c r="B23" s="393">
        <v>13</v>
      </c>
      <c r="C23" s="386" t="s">
        <v>65</v>
      </c>
      <c r="D23" s="374" t="s">
        <v>305</v>
      </c>
      <c r="E23" s="375">
        <v>56007</v>
      </c>
      <c r="F23" s="375">
        <v>4.1399999999999997</v>
      </c>
      <c r="G23" s="375" t="s">
        <v>46</v>
      </c>
      <c r="H23" s="376">
        <v>95.67</v>
      </c>
      <c r="I23" s="377">
        <v>7.07</v>
      </c>
      <c r="J23" s="376">
        <v>72.92</v>
      </c>
      <c r="K23" s="377">
        <v>6.48</v>
      </c>
      <c r="L23" s="376">
        <v>193.2</v>
      </c>
      <c r="M23" s="377">
        <v>18</v>
      </c>
      <c r="N23" s="376">
        <v>151.5</v>
      </c>
      <c r="O23" s="377">
        <v>16.3</v>
      </c>
      <c r="P23" s="376">
        <v>171.07</v>
      </c>
      <c r="Q23" s="377">
        <v>4.8499999999999996</v>
      </c>
      <c r="R23" s="376">
        <v>66.5</v>
      </c>
      <c r="S23" s="377">
        <v>0.2</v>
      </c>
      <c r="T23" s="376">
        <v>38.869999999999997</v>
      </c>
      <c r="U23" s="377">
        <v>7.62</v>
      </c>
      <c r="V23" s="376">
        <v>21.588999999999999</v>
      </c>
      <c r="W23" s="377">
        <v>9.5000000000000001E-2</v>
      </c>
      <c r="X23" s="376">
        <v>8.48</v>
      </c>
      <c r="Y23" s="377">
        <v>0.53</v>
      </c>
      <c r="Z23" s="376">
        <v>2.85</v>
      </c>
      <c r="AA23" s="377">
        <v>0.09</v>
      </c>
      <c r="AB23" s="376">
        <v>9.41</v>
      </c>
      <c r="AC23" s="377">
        <v>0.1</v>
      </c>
      <c r="AD23" s="376">
        <v>6.56</v>
      </c>
      <c r="AE23" s="377">
        <v>0</v>
      </c>
      <c r="AF23" s="376">
        <v>2.5299999999999998</v>
      </c>
      <c r="AG23" s="377">
        <v>0.09</v>
      </c>
      <c r="AH23" s="376">
        <v>0.17</v>
      </c>
      <c r="AI23" s="377">
        <v>0</v>
      </c>
      <c r="AJ23" s="376">
        <v>0</v>
      </c>
      <c r="AK23" s="377">
        <v>0</v>
      </c>
      <c r="AL23" s="376">
        <v>0.06</v>
      </c>
      <c r="AM23" s="377">
        <v>0</v>
      </c>
      <c r="AN23" s="376">
        <v>0</v>
      </c>
      <c r="AO23" s="377">
        <v>0</v>
      </c>
      <c r="AP23" s="376">
        <v>0.04</v>
      </c>
      <c r="AQ23" s="377">
        <v>0</v>
      </c>
      <c r="AR23" s="376">
        <v>0.05</v>
      </c>
      <c r="AS23" s="377">
        <v>0</v>
      </c>
      <c r="AT23" s="376">
        <v>0</v>
      </c>
      <c r="AU23" s="377">
        <v>0</v>
      </c>
    </row>
    <row r="24" spans="1:48" ht="16.5" customHeight="1">
      <c r="A24" s="362"/>
      <c r="B24" s="378"/>
      <c r="C24" s="379"/>
      <c r="D24" s="374" t="s">
        <v>123</v>
      </c>
      <c r="E24" s="375">
        <v>69453</v>
      </c>
      <c r="F24" s="375">
        <v>5.89</v>
      </c>
      <c r="G24" s="375">
        <v>4.72</v>
      </c>
      <c r="H24" s="376">
        <v>97.93</v>
      </c>
      <c r="I24" s="377">
        <v>2.4</v>
      </c>
      <c r="J24" s="376">
        <v>86.67</v>
      </c>
      <c r="K24" s="377">
        <v>1.65</v>
      </c>
      <c r="L24" s="376">
        <v>76.2</v>
      </c>
      <c r="M24" s="377">
        <v>7.4</v>
      </c>
      <c r="N24" s="376">
        <v>71.599999999999994</v>
      </c>
      <c r="O24" s="377">
        <v>3.1</v>
      </c>
      <c r="P24" s="376">
        <v>56.04</v>
      </c>
      <c r="Q24" s="377">
        <v>0.91</v>
      </c>
      <c r="R24" s="376">
        <v>3.8</v>
      </c>
      <c r="S24" s="377">
        <v>0.3</v>
      </c>
      <c r="T24" s="376">
        <v>14.65</v>
      </c>
      <c r="U24" s="377">
        <v>0.79</v>
      </c>
      <c r="V24" s="376">
        <v>21.518000000000001</v>
      </c>
      <c r="W24" s="377">
        <v>1.774</v>
      </c>
      <c r="X24" s="376">
        <v>60.75</v>
      </c>
      <c r="Y24" s="377">
        <v>9.5500000000000007</v>
      </c>
      <c r="Z24" s="376">
        <v>3.2</v>
      </c>
      <c r="AA24" s="377">
        <v>0.71</v>
      </c>
      <c r="AB24" s="376">
        <v>3.8</v>
      </c>
      <c r="AC24" s="377">
        <v>0.72</v>
      </c>
      <c r="AD24" s="376">
        <v>0.6</v>
      </c>
      <c r="AE24" s="377">
        <v>0.01</v>
      </c>
      <c r="AF24" s="376">
        <v>2.38</v>
      </c>
      <c r="AG24" s="377">
        <v>0.56999999999999995</v>
      </c>
      <c r="AH24" s="376">
        <v>0.6</v>
      </c>
      <c r="AI24" s="377">
        <v>0.09</v>
      </c>
      <c r="AJ24" s="376">
        <v>0</v>
      </c>
      <c r="AK24" s="377">
        <v>0</v>
      </c>
      <c r="AL24" s="376">
        <v>0.11</v>
      </c>
      <c r="AM24" s="377">
        <v>0.01</v>
      </c>
      <c r="AN24" s="376">
        <v>0.03</v>
      </c>
      <c r="AO24" s="377">
        <v>0.05</v>
      </c>
      <c r="AP24" s="376">
        <v>0.08</v>
      </c>
      <c r="AQ24" s="377">
        <v>0.01</v>
      </c>
      <c r="AR24" s="376">
        <v>0</v>
      </c>
      <c r="AS24" s="377">
        <v>0</v>
      </c>
      <c r="AT24" s="376">
        <v>0</v>
      </c>
      <c r="AU24" s="377">
        <v>0</v>
      </c>
    </row>
    <row r="25" spans="1:48" ht="16.5" customHeight="1">
      <c r="A25" s="362"/>
      <c r="B25" s="378"/>
      <c r="C25" s="379"/>
      <c r="D25" s="380" t="s">
        <v>316</v>
      </c>
      <c r="E25" s="381"/>
      <c r="F25" s="381">
        <v>4.4807899649288778</v>
      </c>
      <c r="G25" s="381" t="s">
        <v>46</v>
      </c>
      <c r="H25" s="382">
        <v>96.921106169296991</v>
      </c>
      <c r="I25" s="383"/>
      <c r="J25" s="382">
        <v>80.531818507890961</v>
      </c>
      <c r="K25" s="383"/>
      <c r="L25" s="382">
        <v>128.4303443328551</v>
      </c>
      <c r="M25" s="383"/>
      <c r="N25" s="382">
        <v>107.26841463414635</v>
      </c>
      <c r="O25" s="383"/>
      <c r="P25" s="382">
        <v>107.39091032998564</v>
      </c>
      <c r="Q25" s="383"/>
      <c r="R25" s="382">
        <v>31.790107604017216</v>
      </c>
      <c r="S25" s="383"/>
      <c r="T25" s="382">
        <v>25.462127690100431</v>
      </c>
      <c r="U25" s="383"/>
      <c r="V25" s="382">
        <v>21.549695337159253</v>
      </c>
      <c r="W25" s="383"/>
      <c r="X25" s="382">
        <v>37.415982065997134</v>
      </c>
      <c r="Y25" s="383"/>
      <c r="Z25" s="382">
        <v>3.043755380200861</v>
      </c>
      <c r="AA25" s="383"/>
      <c r="AB25" s="382">
        <v>6.3043780487804879</v>
      </c>
      <c r="AC25" s="383"/>
      <c r="AD25" s="382">
        <v>3.2606226685796269</v>
      </c>
      <c r="AE25" s="383"/>
      <c r="AF25" s="382">
        <v>2.4469619799139166</v>
      </c>
      <c r="AG25" s="383"/>
      <c r="AH25" s="382">
        <v>0.40804232424677184</v>
      </c>
      <c r="AI25" s="383"/>
      <c r="AJ25" s="382">
        <v>0</v>
      </c>
      <c r="AK25" s="383"/>
      <c r="AL25" s="382">
        <v>8.7679340028694402E-2</v>
      </c>
      <c r="AM25" s="383"/>
      <c r="AN25" s="382">
        <v>1.6607604017216643E-2</v>
      </c>
      <c r="AO25" s="383"/>
      <c r="AP25" s="382">
        <v>6.2143472022955525E-2</v>
      </c>
      <c r="AQ25" s="383"/>
      <c r="AR25" s="382">
        <v>2.2320659971305598E-2</v>
      </c>
      <c r="AS25" s="383"/>
      <c r="AT25" s="382">
        <v>0</v>
      </c>
      <c r="AU25" s="377"/>
    </row>
    <row r="26" spans="1:48" ht="16.5" customHeight="1">
      <c r="A26" s="362"/>
      <c r="B26" s="368">
        <v>14</v>
      </c>
      <c r="C26" s="369" t="s">
        <v>67</v>
      </c>
      <c r="D26" s="374" t="s">
        <v>192</v>
      </c>
      <c r="E26" s="375">
        <v>131768</v>
      </c>
      <c r="F26" s="375">
        <v>3.71</v>
      </c>
      <c r="G26" s="375" t="s">
        <v>46</v>
      </c>
      <c r="H26" s="376">
        <v>97.82</v>
      </c>
      <c r="I26" s="377">
        <v>1.1499999999999999</v>
      </c>
      <c r="J26" s="376">
        <v>83.98</v>
      </c>
      <c r="K26" s="377">
        <v>1.06</v>
      </c>
      <c r="L26" s="376">
        <v>42.9</v>
      </c>
      <c r="M26" s="377">
        <v>2.7</v>
      </c>
      <c r="N26" s="376">
        <v>40.6</v>
      </c>
      <c r="O26" s="377">
        <v>1.7</v>
      </c>
      <c r="P26" s="376">
        <v>176.87</v>
      </c>
      <c r="Q26" s="377">
        <v>0.06</v>
      </c>
      <c r="R26" s="376">
        <v>104.2</v>
      </c>
      <c r="S26" s="377">
        <v>4</v>
      </c>
      <c r="T26" s="376">
        <v>15.79</v>
      </c>
      <c r="U26" s="377">
        <v>3.65</v>
      </c>
      <c r="V26" s="376">
        <v>21.391999999999999</v>
      </c>
      <c r="W26" s="377">
        <v>0.187</v>
      </c>
      <c r="X26" s="376">
        <v>17.38</v>
      </c>
      <c r="Y26" s="377">
        <v>1.24</v>
      </c>
      <c r="Z26" s="376">
        <v>9.33</v>
      </c>
      <c r="AA26" s="377">
        <v>0.3</v>
      </c>
      <c r="AB26" s="376">
        <v>17.86</v>
      </c>
      <c r="AC26" s="377">
        <v>0.38</v>
      </c>
      <c r="AD26" s="376">
        <v>8.5299999999999994</v>
      </c>
      <c r="AE26" s="377">
        <v>0.09</v>
      </c>
      <c r="AF26" s="376">
        <v>8.23</v>
      </c>
      <c r="AG26" s="377">
        <v>0.27</v>
      </c>
      <c r="AH26" s="376">
        <v>0.83</v>
      </c>
      <c r="AI26" s="377">
        <v>0.01</v>
      </c>
      <c r="AJ26" s="376">
        <v>0</v>
      </c>
      <c r="AK26" s="377">
        <v>0</v>
      </c>
      <c r="AL26" s="376">
        <v>0.19</v>
      </c>
      <c r="AM26" s="377">
        <v>0</v>
      </c>
      <c r="AN26" s="376">
        <v>0.03</v>
      </c>
      <c r="AO26" s="377">
        <v>0</v>
      </c>
      <c r="AP26" s="376">
        <v>0.04</v>
      </c>
      <c r="AQ26" s="377">
        <v>0.01</v>
      </c>
      <c r="AR26" s="376">
        <v>0.03</v>
      </c>
      <c r="AS26" s="377">
        <v>0</v>
      </c>
      <c r="AT26" s="376">
        <v>0</v>
      </c>
      <c r="AU26" s="377">
        <v>0</v>
      </c>
    </row>
    <row r="27" spans="1:48" ht="16.5" customHeight="1">
      <c r="A27" s="362"/>
      <c r="B27" s="368">
        <v>15</v>
      </c>
      <c r="C27" s="369" t="s">
        <v>69</v>
      </c>
      <c r="D27" s="374" t="s">
        <v>141</v>
      </c>
      <c r="E27" s="375">
        <v>43070</v>
      </c>
      <c r="F27" s="375">
        <v>5.41</v>
      </c>
      <c r="G27" s="375">
        <v>0.25850000000000001</v>
      </c>
      <c r="H27" s="376">
        <v>53.78</v>
      </c>
      <c r="I27" s="377">
        <v>1.81</v>
      </c>
      <c r="J27" s="376">
        <v>41.18</v>
      </c>
      <c r="K27" s="377">
        <v>1.3</v>
      </c>
      <c r="L27" s="376">
        <v>62.8</v>
      </c>
      <c r="M27" s="377">
        <v>7.9</v>
      </c>
      <c r="N27" s="376">
        <v>49.4</v>
      </c>
      <c r="O27" s="377">
        <v>7.1</v>
      </c>
      <c r="P27" s="376">
        <v>11.2</v>
      </c>
      <c r="Q27" s="377">
        <v>0.08</v>
      </c>
      <c r="R27" s="376">
        <v>4.5999999999999996</v>
      </c>
      <c r="S27" s="377">
        <v>0</v>
      </c>
      <c r="T27" s="376">
        <v>9.48</v>
      </c>
      <c r="U27" s="377">
        <v>0.42</v>
      </c>
      <c r="V27" s="376">
        <v>17.728000000000002</v>
      </c>
      <c r="W27" s="377">
        <v>0.187</v>
      </c>
      <c r="X27" s="376">
        <v>5.2</v>
      </c>
      <c r="Y27" s="377">
        <v>0.14000000000000001</v>
      </c>
      <c r="Z27" s="376">
        <v>2.34</v>
      </c>
      <c r="AA27" s="377">
        <v>0.03</v>
      </c>
      <c r="AB27" s="376">
        <v>2.34</v>
      </c>
      <c r="AC27" s="377">
        <v>0.03</v>
      </c>
      <c r="AD27" s="376">
        <v>0</v>
      </c>
      <c r="AE27" s="377">
        <v>0</v>
      </c>
      <c r="AF27" s="376">
        <v>0.98</v>
      </c>
      <c r="AG27" s="377">
        <v>0.02</v>
      </c>
      <c r="AH27" s="376">
        <v>0.64</v>
      </c>
      <c r="AI27" s="377">
        <v>0</v>
      </c>
      <c r="AJ27" s="376">
        <v>0.1</v>
      </c>
      <c r="AK27" s="377">
        <v>0</v>
      </c>
      <c r="AL27" s="376">
        <v>0.31</v>
      </c>
      <c r="AM27" s="377">
        <v>0</v>
      </c>
      <c r="AN27" s="376">
        <v>0.14000000000000001</v>
      </c>
      <c r="AO27" s="377">
        <v>0</v>
      </c>
      <c r="AP27" s="376">
        <v>0.15</v>
      </c>
      <c r="AQ27" s="377">
        <v>0</v>
      </c>
      <c r="AR27" s="376">
        <v>0</v>
      </c>
      <c r="AS27" s="377">
        <v>0</v>
      </c>
      <c r="AT27" s="376">
        <v>0.01</v>
      </c>
      <c r="AU27" s="377">
        <v>0</v>
      </c>
    </row>
    <row r="28" spans="1:48" ht="16.5" customHeight="1">
      <c r="A28" s="362"/>
      <c r="B28" s="368">
        <v>16</v>
      </c>
      <c r="C28" s="369" t="s">
        <v>70</v>
      </c>
      <c r="D28" s="374" t="s">
        <v>196</v>
      </c>
      <c r="E28" s="375">
        <v>36865</v>
      </c>
      <c r="F28" s="375">
        <v>5.0599999999999996</v>
      </c>
      <c r="G28" s="375">
        <v>4.0000000000000002E-4</v>
      </c>
      <c r="H28" s="376">
        <v>27.22</v>
      </c>
      <c r="I28" s="377">
        <v>1.58</v>
      </c>
      <c r="J28" s="376">
        <v>23.73</v>
      </c>
      <c r="K28" s="377">
        <v>1.41</v>
      </c>
      <c r="L28" s="376">
        <v>30.8</v>
      </c>
      <c r="M28" s="377">
        <v>1.1000000000000001</v>
      </c>
      <c r="N28" s="376">
        <v>23.5</v>
      </c>
      <c r="O28" s="377">
        <v>5.2</v>
      </c>
      <c r="P28" s="376">
        <v>38.96</v>
      </c>
      <c r="Q28" s="377">
        <v>3.01</v>
      </c>
      <c r="R28" s="376">
        <v>1.8</v>
      </c>
      <c r="S28" s="377">
        <v>0</v>
      </c>
      <c r="T28" s="376">
        <v>14.47</v>
      </c>
      <c r="U28" s="377">
        <v>1.27</v>
      </c>
      <c r="V28" s="376">
        <v>7.6390000000000002</v>
      </c>
      <c r="W28" s="377">
        <v>1.9E-2</v>
      </c>
      <c r="X28" s="376">
        <v>4.5999999999999996</v>
      </c>
      <c r="Y28" s="377">
        <v>2.0499999999999998</v>
      </c>
      <c r="Z28" s="376">
        <v>1.1000000000000001</v>
      </c>
      <c r="AA28" s="377">
        <v>0.11</v>
      </c>
      <c r="AB28" s="376">
        <v>1.1499999999999999</v>
      </c>
      <c r="AC28" s="377">
        <v>0.11</v>
      </c>
      <c r="AD28" s="376">
        <v>0.06</v>
      </c>
      <c r="AE28" s="377">
        <v>0</v>
      </c>
      <c r="AF28" s="376">
        <v>0.44</v>
      </c>
      <c r="AG28" s="377">
        <v>0.01</v>
      </c>
      <c r="AH28" s="376">
        <v>0.32</v>
      </c>
      <c r="AI28" s="377">
        <v>0</v>
      </c>
      <c r="AJ28" s="376">
        <v>0.1</v>
      </c>
      <c r="AK28" s="377">
        <v>0.12</v>
      </c>
      <c r="AL28" s="376">
        <v>0.15</v>
      </c>
      <c r="AM28" s="377">
        <v>0</v>
      </c>
      <c r="AN28" s="376">
        <v>0.01</v>
      </c>
      <c r="AO28" s="377">
        <v>0</v>
      </c>
      <c r="AP28" s="376">
        <v>0.05</v>
      </c>
      <c r="AQ28" s="377">
        <v>0</v>
      </c>
      <c r="AR28" s="376">
        <v>0</v>
      </c>
      <c r="AS28" s="377">
        <v>0</v>
      </c>
      <c r="AT28" s="376">
        <v>0.01</v>
      </c>
      <c r="AU28" s="377">
        <v>0.01</v>
      </c>
    </row>
    <row r="29" spans="1:48" ht="16.5" customHeight="1">
      <c r="A29" s="362"/>
      <c r="B29" s="368">
        <v>17</v>
      </c>
      <c r="C29" s="369" t="s">
        <v>72</v>
      </c>
      <c r="D29" s="374" t="s">
        <v>201</v>
      </c>
      <c r="E29" s="375">
        <v>25915</v>
      </c>
      <c r="F29" s="375">
        <v>7.24</v>
      </c>
      <c r="G29" s="375">
        <v>4.6180000000000003</v>
      </c>
      <c r="H29" s="376">
        <v>34.32</v>
      </c>
      <c r="I29" s="377">
        <v>7.0000000000000007E-2</v>
      </c>
      <c r="J29" s="376">
        <v>24.12</v>
      </c>
      <c r="K29" s="377">
        <v>0.12</v>
      </c>
      <c r="L29" s="376">
        <v>27.3</v>
      </c>
      <c r="M29" s="377">
        <v>0.5</v>
      </c>
      <c r="N29" s="376">
        <v>21.5</v>
      </c>
      <c r="O29" s="377">
        <v>0.4</v>
      </c>
      <c r="P29" s="376">
        <v>45.12</v>
      </c>
      <c r="Q29" s="377">
        <v>0.44</v>
      </c>
      <c r="R29" s="376">
        <v>16.8</v>
      </c>
      <c r="S29" s="377">
        <v>0.2</v>
      </c>
      <c r="T29" s="376">
        <v>5.37</v>
      </c>
      <c r="U29" s="377">
        <v>0.79</v>
      </c>
      <c r="V29" s="376">
        <v>9.31</v>
      </c>
      <c r="W29" s="377">
        <v>2.895</v>
      </c>
      <c r="X29" s="376">
        <v>3.78</v>
      </c>
      <c r="Y29" s="377">
        <v>0.11</v>
      </c>
      <c r="Z29" s="376">
        <v>5.68</v>
      </c>
      <c r="AA29" s="377">
        <v>0.12</v>
      </c>
      <c r="AB29" s="376">
        <v>5.68</v>
      </c>
      <c r="AC29" s="377">
        <v>0.12</v>
      </c>
      <c r="AD29" s="376">
        <v>0</v>
      </c>
      <c r="AE29" s="377">
        <v>0</v>
      </c>
      <c r="AF29" s="376">
        <v>2.67</v>
      </c>
      <c r="AG29" s="377">
        <v>0.05</v>
      </c>
      <c r="AH29" s="376">
        <v>0.98</v>
      </c>
      <c r="AI29" s="377">
        <v>0.02</v>
      </c>
      <c r="AJ29" s="376">
        <v>0.3</v>
      </c>
      <c r="AK29" s="377">
        <v>0.01</v>
      </c>
      <c r="AL29" s="376">
        <v>0.75</v>
      </c>
      <c r="AM29" s="377">
        <v>0.02</v>
      </c>
      <c r="AN29" s="376">
        <v>0.38</v>
      </c>
      <c r="AO29" s="377">
        <v>0.02</v>
      </c>
      <c r="AP29" s="376">
        <v>0.26</v>
      </c>
      <c r="AQ29" s="377">
        <v>0.01</v>
      </c>
      <c r="AR29" s="376">
        <v>0</v>
      </c>
      <c r="AS29" s="377">
        <v>0</v>
      </c>
      <c r="AT29" s="376">
        <v>0.35</v>
      </c>
      <c r="AU29" s="377">
        <v>0.03</v>
      </c>
    </row>
    <row r="30" spans="1:48" ht="16.5" customHeight="1">
      <c r="A30" s="362"/>
      <c r="B30" s="368">
        <v>18</v>
      </c>
      <c r="C30" s="369" t="s">
        <v>73</v>
      </c>
      <c r="D30" s="374" t="s">
        <v>196</v>
      </c>
      <c r="E30" s="375">
        <v>47085</v>
      </c>
      <c r="F30" s="375">
        <v>5.34</v>
      </c>
      <c r="G30" s="375">
        <v>4.5999999999999999E-2</v>
      </c>
      <c r="H30" s="376">
        <v>21</v>
      </c>
      <c r="I30" s="377">
        <v>0.85</v>
      </c>
      <c r="J30" s="376">
        <v>15.97</v>
      </c>
      <c r="K30" s="377">
        <v>0.85</v>
      </c>
      <c r="L30" s="376">
        <v>21.8</v>
      </c>
      <c r="M30" s="377">
        <v>0.3</v>
      </c>
      <c r="N30" s="376">
        <v>16.899999999999999</v>
      </c>
      <c r="O30" s="377">
        <v>0.6</v>
      </c>
      <c r="P30" s="376">
        <v>22.13</v>
      </c>
      <c r="Q30" s="377">
        <v>0.01</v>
      </c>
      <c r="R30" s="376">
        <v>1.5</v>
      </c>
      <c r="S30" s="377">
        <v>0.1</v>
      </c>
      <c r="T30" s="376">
        <v>0</v>
      </c>
      <c r="U30" s="377">
        <v>0</v>
      </c>
      <c r="V30" s="376">
        <v>4.7830000000000004</v>
      </c>
      <c r="W30" s="377">
        <v>0.48099999999999998</v>
      </c>
      <c r="X30" s="376">
        <v>2.2999999999999998</v>
      </c>
      <c r="Y30" s="377">
        <v>0.28000000000000003</v>
      </c>
      <c r="Z30" s="376">
        <v>0.87</v>
      </c>
      <c r="AA30" s="377">
        <v>0.02</v>
      </c>
      <c r="AB30" s="376">
        <v>0.88</v>
      </c>
      <c r="AC30" s="377">
        <v>0.02</v>
      </c>
      <c r="AD30" s="376">
        <v>0.01</v>
      </c>
      <c r="AE30" s="377">
        <v>0</v>
      </c>
      <c r="AF30" s="376">
        <v>0.43</v>
      </c>
      <c r="AG30" s="377">
        <v>0</v>
      </c>
      <c r="AH30" s="376">
        <v>0.17</v>
      </c>
      <c r="AI30" s="377">
        <v>0</v>
      </c>
      <c r="AJ30" s="376">
        <v>0.02</v>
      </c>
      <c r="AK30" s="377">
        <v>0</v>
      </c>
      <c r="AL30" s="376">
        <v>0.1</v>
      </c>
      <c r="AM30" s="377">
        <v>0</v>
      </c>
      <c r="AN30" s="376">
        <v>0.03</v>
      </c>
      <c r="AO30" s="377">
        <v>0</v>
      </c>
      <c r="AP30" s="376">
        <v>0.04</v>
      </c>
      <c r="AQ30" s="377">
        <v>0</v>
      </c>
      <c r="AR30" s="376">
        <v>0</v>
      </c>
      <c r="AS30" s="377">
        <v>0</v>
      </c>
      <c r="AT30" s="376">
        <v>7.0000000000000007E-2</v>
      </c>
      <c r="AU30" s="377">
        <v>0.02</v>
      </c>
    </row>
    <row r="31" spans="1:48" ht="16.5" customHeight="1">
      <c r="A31" s="362"/>
      <c r="B31" s="378"/>
      <c r="C31" s="379" t="s">
        <v>306</v>
      </c>
      <c r="D31" s="374" t="s">
        <v>317</v>
      </c>
      <c r="E31" s="375">
        <v>15148</v>
      </c>
      <c r="F31" s="375">
        <v>6.48</v>
      </c>
      <c r="G31" s="375">
        <v>9.1799999999999993E-2</v>
      </c>
      <c r="H31" s="376">
        <v>12.67</v>
      </c>
      <c r="I31" s="377">
        <v>0.38</v>
      </c>
      <c r="J31" s="376">
        <v>7.13</v>
      </c>
      <c r="K31" s="377">
        <v>0.19</v>
      </c>
      <c r="L31" s="376">
        <v>8.9</v>
      </c>
      <c r="M31" s="377">
        <v>0.2</v>
      </c>
      <c r="N31" s="376">
        <v>7.1</v>
      </c>
      <c r="O31" s="377">
        <v>0.6</v>
      </c>
      <c r="P31" s="376">
        <v>6.71</v>
      </c>
      <c r="Q31" s="377">
        <v>0.04</v>
      </c>
      <c r="R31" s="376">
        <v>0.4</v>
      </c>
      <c r="S31" s="377">
        <v>0.2</v>
      </c>
      <c r="T31" s="376">
        <v>2.29</v>
      </c>
      <c r="U31" s="377">
        <v>0.28000000000000003</v>
      </c>
      <c r="V31" s="376">
        <v>3.0739999999999998</v>
      </c>
      <c r="W31" s="377">
        <v>0.55600000000000005</v>
      </c>
      <c r="X31" s="376">
        <v>0.9</v>
      </c>
      <c r="Y31" s="377">
        <v>7.0000000000000007E-2</v>
      </c>
      <c r="Z31" s="376">
        <v>0.15</v>
      </c>
      <c r="AA31" s="377">
        <v>0.06</v>
      </c>
      <c r="AB31" s="376">
        <v>0.15</v>
      </c>
      <c r="AC31" s="377">
        <v>0.06</v>
      </c>
      <c r="AD31" s="376">
        <v>0</v>
      </c>
      <c r="AE31" s="377">
        <v>0</v>
      </c>
      <c r="AF31" s="376">
        <v>0.14000000000000001</v>
      </c>
      <c r="AG31" s="377">
        <v>0.03</v>
      </c>
      <c r="AH31" s="376">
        <v>0</v>
      </c>
      <c r="AI31" s="377">
        <v>0</v>
      </c>
      <c r="AJ31" s="376">
        <v>0</v>
      </c>
      <c r="AK31" s="377">
        <v>0</v>
      </c>
      <c r="AL31" s="376">
        <v>0</v>
      </c>
      <c r="AM31" s="377">
        <v>0</v>
      </c>
      <c r="AN31" s="376">
        <v>0</v>
      </c>
      <c r="AO31" s="377">
        <v>0</v>
      </c>
      <c r="AP31" s="376">
        <v>0</v>
      </c>
      <c r="AQ31" s="377">
        <v>0</v>
      </c>
      <c r="AR31" s="376">
        <v>0</v>
      </c>
      <c r="AS31" s="377">
        <v>0</v>
      </c>
      <c r="AT31" s="376">
        <v>0.02</v>
      </c>
      <c r="AU31" s="377">
        <v>0.02</v>
      </c>
    </row>
    <row r="32" spans="1:48" ht="16.5" customHeight="1">
      <c r="A32" s="362"/>
      <c r="B32" s="378"/>
      <c r="C32" s="379"/>
      <c r="D32" s="374" t="s">
        <v>318</v>
      </c>
      <c r="E32" s="375">
        <v>7264</v>
      </c>
      <c r="F32" s="375">
        <v>8.4700000000000006</v>
      </c>
      <c r="G32" s="375">
        <v>0.75129999999999997</v>
      </c>
      <c r="H32" s="376">
        <v>20.43</v>
      </c>
      <c r="I32" s="377">
        <v>0.38</v>
      </c>
      <c r="J32" s="376">
        <v>12.83</v>
      </c>
      <c r="K32" s="377">
        <v>0.28000000000000003</v>
      </c>
      <c r="L32" s="376">
        <v>14.6</v>
      </c>
      <c r="M32" s="377">
        <v>0.5</v>
      </c>
      <c r="N32" s="376">
        <v>11.9</v>
      </c>
      <c r="O32" s="377">
        <v>0.1</v>
      </c>
      <c r="P32" s="376">
        <v>17.920000000000002</v>
      </c>
      <c r="Q32" s="377">
        <v>1.22</v>
      </c>
      <c r="R32" s="376">
        <v>3.3</v>
      </c>
      <c r="S32" s="377">
        <v>0.4</v>
      </c>
      <c r="T32" s="376">
        <v>2.02</v>
      </c>
      <c r="U32" s="377">
        <v>0.09</v>
      </c>
      <c r="V32" s="376">
        <v>5.117</v>
      </c>
      <c r="W32" s="377">
        <v>0.88700000000000001</v>
      </c>
      <c r="X32" s="376">
        <v>2.17</v>
      </c>
      <c r="Y32" s="377">
        <v>0.25</v>
      </c>
      <c r="Z32" s="376">
        <v>0.16</v>
      </c>
      <c r="AA32" s="377">
        <v>0</v>
      </c>
      <c r="AB32" s="376">
        <v>0.16</v>
      </c>
      <c r="AC32" s="377">
        <v>0</v>
      </c>
      <c r="AD32" s="376">
        <v>0</v>
      </c>
      <c r="AE32" s="377">
        <v>0</v>
      </c>
      <c r="AF32" s="376">
        <v>0.16</v>
      </c>
      <c r="AG32" s="377">
        <v>0</v>
      </c>
      <c r="AH32" s="376">
        <v>0</v>
      </c>
      <c r="AI32" s="377">
        <v>0</v>
      </c>
      <c r="AJ32" s="376">
        <v>0</v>
      </c>
      <c r="AK32" s="377">
        <v>0</v>
      </c>
      <c r="AL32" s="376">
        <v>0</v>
      </c>
      <c r="AM32" s="377">
        <v>0</v>
      </c>
      <c r="AN32" s="376">
        <v>0</v>
      </c>
      <c r="AO32" s="377">
        <v>0</v>
      </c>
      <c r="AP32" s="376">
        <v>0</v>
      </c>
      <c r="AQ32" s="377">
        <v>0</v>
      </c>
      <c r="AR32" s="376">
        <v>0</v>
      </c>
      <c r="AS32" s="377">
        <v>0</v>
      </c>
      <c r="AT32" s="376">
        <v>0</v>
      </c>
      <c r="AU32" s="377">
        <v>0</v>
      </c>
    </row>
    <row r="33" spans="1:47" ht="16.5" customHeight="1">
      <c r="A33" s="362"/>
      <c r="B33" s="378"/>
      <c r="C33" s="379"/>
      <c r="D33" s="380" t="s">
        <v>319</v>
      </c>
      <c r="E33" s="381"/>
      <c r="F33" s="381">
        <v>5.4990293147622404</v>
      </c>
      <c r="G33" s="382">
        <v>0.12970257133401442</v>
      </c>
      <c r="H33" s="382">
        <v>19.124763371080764</v>
      </c>
      <c r="I33" s="383"/>
      <c r="J33" s="382">
        <v>13.714977768824554</v>
      </c>
      <c r="K33" s="383"/>
      <c r="L33" s="382">
        <v>18.235673482308588</v>
      </c>
      <c r="M33" s="383"/>
      <c r="N33" s="382">
        <v>14.241318330287637</v>
      </c>
      <c r="O33" s="383"/>
      <c r="P33" s="382">
        <v>18.328920816725901</v>
      </c>
      <c r="Q33" s="383"/>
      <c r="R33" s="382">
        <v>1.4483776278112723</v>
      </c>
      <c r="S33" s="383"/>
      <c r="T33" s="382">
        <v>0.7102781415025109</v>
      </c>
      <c r="U33" s="383"/>
      <c r="V33" s="382">
        <v>4.445406204584371</v>
      </c>
      <c r="W33" s="383"/>
      <c r="X33" s="382">
        <v>1.9812593349353207</v>
      </c>
      <c r="Y33" s="383"/>
      <c r="Z33" s="382">
        <v>0.63885333179849479</v>
      </c>
      <c r="AA33" s="383"/>
      <c r="AB33" s="382">
        <v>0.64562844439328315</v>
      </c>
      <c r="AC33" s="383"/>
      <c r="AD33" s="382">
        <v>6.7751125947882644E-3</v>
      </c>
      <c r="AE33" s="383"/>
      <c r="AF33" s="382">
        <v>0.33856871519633946</v>
      </c>
      <c r="AG33" s="383"/>
      <c r="AH33" s="382">
        <v>0.11517691411140051</v>
      </c>
      <c r="AI33" s="383"/>
      <c r="AJ33" s="382">
        <v>1.3550225189576529E-2</v>
      </c>
      <c r="AK33" s="383"/>
      <c r="AL33" s="382">
        <v>6.7751125947882643E-2</v>
      </c>
      <c r="AM33" s="383"/>
      <c r="AN33" s="382">
        <v>2.0325337784364791E-2</v>
      </c>
      <c r="AO33" s="383"/>
      <c r="AP33" s="382">
        <v>2.7100450379153058E-2</v>
      </c>
      <c r="AQ33" s="383"/>
      <c r="AR33" s="382">
        <v>0</v>
      </c>
      <c r="AS33" s="383"/>
      <c r="AT33" s="382">
        <v>5.1785113026461577E-2</v>
      </c>
      <c r="AU33" s="377"/>
    </row>
    <row r="34" spans="1:47" ht="16.5" customHeight="1">
      <c r="A34" s="362"/>
      <c r="B34" s="368">
        <v>19</v>
      </c>
      <c r="C34" s="369" t="s">
        <v>74</v>
      </c>
      <c r="D34" s="374" t="s">
        <v>123</v>
      </c>
      <c r="E34" s="375">
        <v>21295</v>
      </c>
      <c r="F34" s="375">
        <v>5.51</v>
      </c>
      <c r="G34" s="375">
        <v>2.91</v>
      </c>
      <c r="H34" s="376">
        <v>58.5</v>
      </c>
      <c r="I34" s="377">
        <v>0.09</v>
      </c>
      <c r="J34" s="376">
        <v>44.42</v>
      </c>
      <c r="K34" s="377">
        <v>0.31</v>
      </c>
      <c r="L34" s="376">
        <v>53.1</v>
      </c>
      <c r="M34" s="377">
        <v>3.3</v>
      </c>
      <c r="N34" s="376">
        <v>46.7</v>
      </c>
      <c r="O34" s="377">
        <v>3.8</v>
      </c>
      <c r="P34" s="376">
        <v>129.82</v>
      </c>
      <c r="Q34" s="377">
        <v>2.5099999999999998</v>
      </c>
      <c r="R34" s="376">
        <v>53</v>
      </c>
      <c r="S34" s="377">
        <v>0.4</v>
      </c>
      <c r="T34" s="376">
        <v>15.4</v>
      </c>
      <c r="U34" s="377">
        <v>0.53</v>
      </c>
      <c r="V34" s="376">
        <v>17.762</v>
      </c>
      <c r="W34" s="377">
        <v>9.2999999999999999E-2</v>
      </c>
      <c r="X34" s="376">
        <v>4.9800000000000004</v>
      </c>
      <c r="Y34" s="377">
        <v>0.32</v>
      </c>
      <c r="Z34" s="376">
        <v>15.66</v>
      </c>
      <c r="AA34" s="377">
        <v>0.41</v>
      </c>
      <c r="AB34" s="376">
        <v>21.71</v>
      </c>
      <c r="AC34" s="377">
        <v>0.33</v>
      </c>
      <c r="AD34" s="376">
        <v>6.05</v>
      </c>
      <c r="AE34" s="377">
        <v>0.09</v>
      </c>
      <c r="AF34" s="376">
        <v>5.49</v>
      </c>
      <c r="AG34" s="377">
        <v>0.13</v>
      </c>
      <c r="AH34" s="376">
        <v>6.23</v>
      </c>
      <c r="AI34" s="377">
        <v>0.02</v>
      </c>
      <c r="AJ34" s="376">
        <v>0.22</v>
      </c>
      <c r="AK34" s="377">
        <v>0.01</v>
      </c>
      <c r="AL34" s="376">
        <v>2.25</v>
      </c>
      <c r="AM34" s="377">
        <v>0.19</v>
      </c>
      <c r="AN34" s="376">
        <v>0</v>
      </c>
      <c r="AO34" s="377">
        <v>0</v>
      </c>
      <c r="AP34" s="376">
        <v>1.0900000000000001</v>
      </c>
      <c r="AQ34" s="377">
        <v>0.04</v>
      </c>
      <c r="AR34" s="376">
        <v>0</v>
      </c>
      <c r="AS34" s="377">
        <v>0</v>
      </c>
      <c r="AT34" s="376">
        <v>0.39</v>
      </c>
      <c r="AU34" s="377">
        <v>0.04</v>
      </c>
    </row>
    <row r="35" spans="1:47" ht="16.5" customHeight="1">
      <c r="A35" s="362"/>
      <c r="B35" s="393">
        <v>20</v>
      </c>
      <c r="C35" s="386" t="s">
        <v>76</v>
      </c>
      <c r="D35" s="374" t="s">
        <v>212</v>
      </c>
      <c r="E35" s="381">
        <v>84678</v>
      </c>
      <c r="F35" s="375">
        <v>5.91</v>
      </c>
      <c r="G35" s="375">
        <v>0.96279999999999999</v>
      </c>
      <c r="H35" s="376">
        <v>42.43</v>
      </c>
      <c r="I35" s="377">
        <v>0.85</v>
      </c>
      <c r="J35" s="376">
        <v>29.75</v>
      </c>
      <c r="K35" s="377">
        <v>0.45</v>
      </c>
      <c r="L35" s="376">
        <v>26.6</v>
      </c>
      <c r="M35" s="377">
        <v>1.7</v>
      </c>
      <c r="N35" s="376">
        <v>22.2</v>
      </c>
      <c r="O35" s="377">
        <v>1</v>
      </c>
      <c r="P35" s="376">
        <v>105.48</v>
      </c>
      <c r="Q35" s="377">
        <v>1.42</v>
      </c>
      <c r="R35" s="376">
        <v>57.6</v>
      </c>
      <c r="S35" s="377">
        <v>0.9</v>
      </c>
      <c r="T35" s="376">
        <v>13.25</v>
      </c>
      <c r="U35" s="377">
        <v>0.43</v>
      </c>
      <c r="V35" s="376">
        <v>10.894</v>
      </c>
      <c r="W35" s="377">
        <v>2.1480000000000001</v>
      </c>
      <c r="X35" s="376">
        <v>3.77</v>
      </c>
      <c r="Y35" s="377">
        <v>0.88</v>
      </c>
      <c r="Z35" s="376">
        <v>17.010000000000002</v>
      </c>
      <c r="AA35" s="377">
        <v>0.45</v>
      </c>
      <c r="AB35" s="376">
        <v>19.54</v>
      </c>
      <c r="AC35" s="377">
        <v>0.45</v>
      </c>
      <c r="AD35" s="376">
        <v>2.5299999999999998</v>
      </c>
      <c r="AE35" s="377">
        <v>0</v>
      </c>
      <c r="AF35" s="376">
        <v>3.88</v>
      </c>
      <c r="AG35" s="377">
        <v>0.12</v>
      </c>
      <c r="AH35" s="376">
        <v>0.47</v>
      </c>
      <c r="AI35" s="377">
        <v>0.01</v>
      </c>
      <c r="AJ35" s="376">
        <v>0.11</v>
      </c>
      <c r="AK35" s="377">
        <v>0</v>
      </c>
      <c r="AL35" s="376">
        <v>3.61</v>
      </c>
      <c r="AM35" s="377">
        <v>0.06</v>
      </c>
      <c r="AN35" s="376">
        <v>0.37</v>
      </c>
      <c r="AO35" s="377">
        <v>0.05</v>
      </c>
      <c r="AP35" s="376">
        <v>0.8</v>
      </c>
      <c r="AQ35" s="377">
        <v>0.01</v>
      </c>
      <c r="AR35" s="376">
        <v>0.02</v>
      </c>
      <c r="AS35" s="377">
        <v>0</v>
      </c>
      <c r="AT35" s="376">
        <v>7.76</v>
      </c>
      <c r="AU35" s="377">
        <v>0.21</v>
      </c>
    </row>
    <row r="36" spans="1:47" ht="16.5" customHeight="1">
      <c r="A36" s="362"/>
      <c r="B36" s="368">
        <v>21</v>
      </c>
      <c r="C36" s="369" t="s">
        <v>77</v>
      </c>
      <c r="D36" s="374" t="s">
        <v>216</v>
      </c>
      <c r="E36" s="375">
        <v>17605</v>
      </c>
      <c r="F36" s="375">
        <v>6.38</v>
      </c>
      <c r="G36" s="375">
        <v>0.27079999999999999</v>
      </c>
      <c r="H36" s="376">
        <v>8</v>
      </c>
      <c r="I36" s="377">
        <v>0.24</v>
      </c>
      <c r="J36" s="376">
        <v>5.9</v>
      </c>
      <c r="K36" s="377">
        <v>0.24</v>
      </c>
      <c r="L36" s="376">
        <v>7.1</v>
      </c>
      <c r="M36" s="377">
        <v>0.2</v>
      </c>
      <c r="N36" s="376">
        <v>5.9</v>
      </c>
      <c r="O36" s="377">
        <v>0.3</v>
      </c>
      <c r="P36" s="376">
        <v>6.82</v>
      </c>
      <c r="Q36" s="377">
        <v>0.98</v>
      </c>
      <c r="R36" s="376">
        <v>0.6</v>
      </c>
      <c r="S36" s="377">
        <v>0</v>
      </c>
      <c r="T36" s="376">
        <v>1.38</v>
      </c>
      <c r="U36" s="377">
        <v>0.11</v>
      </c>
      <c r="V36" s="376">
        <v>3.004</v>
      </c>
      <c r="W36" s="377">
        <v>8.4000000000000005E-2</v>
      </c>
      <c r="X36" s="376">
        <v>1.05</v>
      </c>
      <c r="Y36" s="377">
        <v>0</v>
      </c>
      <c r="Z36" s="376">
        <v>0.01</v>
      </c>
      <c r="AA36" s="377">
        <v>0</v>
      </c>
      <c r="AB36" s="376">
        <v>0.01</v>
      </c>
      <c r="AC36" s="377">
        <v>0</v>
      </c>
      <c r="AD36" s="376">
        <v>0</v>
      </c>
      <c r="AE36" s="377">
        <v>0</v>
      </c>
      <c r="AF36" s="376">
        <v>0.01</v>
      </c>
      <c r="AG36" s="377">
        <v>0</v>
      </c>
      <c r="AH36" s="376">
        <v>0</v>
      </c>
      <c r="AI36" s="377">
        <v>0</v>
      </c>
      <c r="AJ36" s="376">
        <v>0</v>
      </c>
      <c r="AK36" s="377">
        <v>0</v>
      </c>
      <c r="AL36" s="376">
        <v>0</v>
      </c>
      <c r="AM36" s="377">
        <v>0</v>
      </c>
      <c r="AN36" s="376">
        <v>0</v>
      </c>
      <c r="AO36" s="377">
        <v>0</v>
      </c>
      <c r="AP36" s="376">
        <v>0</v>
      </c>
      <c r="AQ36" s="377">
        <v>0</v>
      </c>
      <c r="AR36" s="376">
        <v>0</v>
      </c>
      <c r="AS36" s="377">
        <v>0</v>
      </c>
      <c r="AT36" s="376">
        <v>0</v>
      </c>
      <c r="AU36" s="377">
        <v>0</v>
      </c>
    </row>
    <row r="37" spans="1:47" ht="16.5" customHeight="1">
      <c r="A37" s="362"/>
      <c r="B37" s="368">
        <v>22</v>
      </c>
      <c r="C37" s="369" t="s">
        <v>79</v>
      </c>
      <c r="D37" s="374" t="s">
        <v>163</v>
      </c>
      <c r="E37" s="375">
        <v>17134</v>
      </c>
      <c r="F37" s="375">
        <v>6.03</v>
      </c>
      <c r="G37" s="375">
        <v>0.85250000000000004</v>
      </c>
      <c r="H37" s="376">
        <v>44.5</v>
      </c>
      <c r="I37" s="377">
        <v>0.75</v>
      </c>
      <c r="J37" s="376">
        <v>32.08</v>
      </c>
      <c r="K37" s="377">
        <v>0.59</v>
      </c>
      <c r="L37" s="376">
        <v>27.7</v>
      </c>
      <c r="M37" s="377">
        <v>1.6</v>
      </c>
      <c r="N37" s="376">
        <v>24.5</v>
      </c>
      <c r="O37" s="377">
        <v>1.1000000000000001</v>
      </c>
      <c r="P37" s="376">
        <v>85.01</v>
      </c>
      <c r="Q37" s="377">
        <v>4.32</v>
      </c>
      <c r="R37" s="376">
        <v>11.2</v>
      </c>
      <c r="S37" s="377">
        <v>0</v>
      </c>
      <c r="T37" s="376">
        <v>8.17</v>
      </c>
      <c r="U37" s="377">
        <v>0.16</v>
      </c>
      <c r="V37" s="376">
        <v>12.644</v>
      </c>
      <c r="W37" s="377">
        <v>0.88700000000000001</v>
      </c>
      <c r="X37" s="376">
        <v>0.38</v>
      </c>
      <c r="Y37" s="377">
        <v>0.11</v>
      </c>
      <c r="Z37" s="376">
        <v>8.91</v>
      </c>
      <c r="AA37" s="377">
        <v>0.13</v>
      </c>
      <c r="AB37" s="376">
        <v>10.55</v>
      </c>
      <c r="AC37" s="377">
        <v>0.13</v>
      </c>
      <c r="AD37" s="376">
        <v>1.64</v>
      </c>
      <c r="AE37" s="377">
        <v>0</v>
      </c>
      <c r="AF37" s="376">
        <v>3.63</v>
      </c>
      <c r="AG37" s="377">
        <v>0.09</v>
      </c>
      <c r="AH37" s="376">
        <v>2.15</v>
      </c>
      <c r="AI37" s="377">
        <v>0.02</v>
      </c>
      <c r="AJ37" s="376">
        <v>0.23</v>
      </c>
      <c r="AK37" s="377">
        <v>0</v>
      </c>
      <c r="AL37" s="376">
        <v>1.62</v>
      </c>
      <c r="AM37" s="377">
        <v>0.01</v>
      </c>
      <c r="AN37" s="376">
        <v>0.24</v>
      </c>
      <c r="AO37" s="377">
        <v>0.02</v>
      </c>
      <c r="AP37" s="376">
        <v>0.68</v>
      </c>
      <c r="AQ37" s="377">
        <v>0</v>
      </c>
      <c r="AR37" s="376">
        <v>0</v>
      </c>
      <c r="AS37" s="377">
        <v>0</v>
      </c>
      <c r="AT37" s="376">
        <v>0.36</v>
      </c>
      <c r="AU37" s="377">
        <v>0.01</v>
      </c>
    </row>
    <row r="38" spans="1:47" ht="16.5" customHeight="1">
      <c r="A38" s="362"/>
      <c r="B38" s="368">
        <v>23</v>
      </c>
      <c r="C38" s="369" t="s">
        <v>81</v>
      </c>
      <c r="D38" s="374" t="s">
        <v>305</v>
      </c>
      <c r="E38" s="375">
        <v>125697</v>
      </c>
      <c r="F38" s="375">
        <v>5.07</v>
      </c>
      <c r="G38" s="375">
        <v>2.6800000000000001E-2</v>
      </c>
      <c r="H38" s="376">
        <v>25.08</v>
      </c>
      <c r="I38" s="377">
        <v>1.1499999999999999</v>
      </c>
      <c r="J38" s="376">
        <v>19.170000000000002</v>
      </c>
      <c r="K38" s="377">
        <v>1.04</v>
      </c>
      <c r="L38" s="376">
        <v>23.2</v>
      </c>
      <c r="M38" s="377">
        <v>0.4</v>
      </c>
      <c r="N38" s="376">
        <v>18.100000000000001</v>
      </c>
      <c r="O38" s="377">
        <v>0.3</v>
      </c>
      <c r="P38" s="376">
        <v>28.41</v>
      </c>
      <c r="Q38" s="377">
        <v>0.45</v>
      </c>
      <c r="R38" s="376">
        <v>2</v>
      </c>
      <c r="S38" s="377">
        <v>0</v>
      </c>
      <c r="T38" s="376">
        <v>7.24</v>
      </c>
      <c r="U38" s="377">
        <v>0.15</v>
      </c>
      <c r="V38" s="376">
        <v>8.2530000000000001</v>
      </c>
      <c r="W38" s="377">
        <v>0.56999999999999995</v>
      </c>
      <c r="X38" s="376">
        <v>2.6</v>
      </c>
      <c r="Y38" s="377">
        <v>0.14000000000000001</v>
      </c>
      <c r="Z38" s="376">
        <v>1.36</v>
      </c>
      <c r="AA38" s="377">
        <v>0</v>
      </c>
      <c r="AB38" s="376">
        <v>1.36</v>
      </c>
      <c r="AC38" s="377">
        <v>0</v>
      </c>
      <c r="AD38" s="376">
        <v>0</v>
      </c>
      <c r="AE38" s="377">
        <v>0</v>
      </c>
      <c r="AF38" s="376">
        <v>0.83</v>
      </c>
      <c r="AG38" s="377">
        <v>0.01</v>
      </c>
      <c r="AH38" s="376">
        <v>0.32</v>
      </c>
      <c r="AI38" s="377">
        <v>0.01</v>
      </c>
      <c r="AJ38" s="376">
        <v>0</v>
      </c>
      <c r="AK38" s="377">
        <v>0</v>
      </c>
      <c r="AL38" s="376">
        <v>0.16</v>
      </c>
      <c r="AM38" s="377">
        <v>0.01</v>
      </c>
      <c r="AN38" s="376">
        <v>0</v>
      </c>
      <c r="AO38" s="377">
        <v>0</v>
      </c>
      <c r="AP38" s="376">
        <v>0.05</v>
      </c>
      <c r="AQ38" s="377">
        <v>0</v>
      </c>
      <c r="AR38" s="376">
        <v>0</v>
      </c>
      <c r="AS38" s="377">
        <v>0</v>
      </c>
      <c r="AT38" s="376">
        <v>0</v>
      </c>
      <c r="AU38" s="377">
        <v>0</v>
      </c>
    </row>
    <row r="39" spans="1:47" ht="16.5" customHeight="1">
      <c r="A39" s="362"/>
      <c r="B39" s="378"/>
      <c r="C39" s="379" t="s">
        <v>306</v>
      </c>
      <c r="D39" s="374" t="s">
        <v>227</v>
      </c>
      <c r="E39" s="375">
        <v>125697</v>
      </c>
      <c r="F39" s="375">
        <v>6.55</v>
      </c>
      <c r="G39" s="375">
        <v>0.14730000000000001</v>
      </c>
      <c r="H39" s="376">
        <v>25.68</v>
      </c>
      <c r="I39" s="377">
        <v>2.57</v>
      </c>
      <c r="J39" s="376">
        <v>16.45</v>
      </c>
      <c r="K39" s="377">
        <v>1.63</v>
      </c>
      <c r="L39" s="376">
        <v>24.9</v>
      </c>
      <c r="M39" s="377">
        <v>0.1</v>
      </c>
      <c r="N39" s="376">
        <v>16.2</v>
      </c>
      <c r="O39" s="377">
        <v>0.2</v>
      </c>
      <c r="P39" s="376">
        <v>21.69</v>
      </c>
      <c r="Q39" s="377">
        <v>0.89</v>
      </c>
      <c r="R39" s="376">
        <v>0.5</v>
      </c>
      <c r="S39" s="377">
        <v>0</v>
      </c>
      <c r="T39" s="376">
        <v>4.62</v>
      </c>
      <c r="U39" s="377">
        <v>0.44</v>
      </c>
      <c r="V39" s="376">
        <v>8.2829999999999995</v>
      </c>
      <c r="W39" s="377">
        <v>1.163</v>
      </c>
      <c r="X39" s="376">
        <v>1.62</v>
      </c>
      <c r="Y39" s="377">
        <v>0.11</v>
      </c>
      <c r="Z39" s="376">
        <v>0.02</v>
      </c>
      <c r="AA39" s="377">
        <v>0</v>
      </c>
      <c r="AB39" s="376">
        <v>0.02</v>
      </c>
      <c r="AC39" s="377">
        <v>0</v>
      </c>
      <c r="AD39" s="376">
        <v>0</v>
      </c>
      <c r="AE39" s="377">
        <v>0</v>
      </c>
      <c r="AF39" s="376">
        <v>0.01</v>
      </c>
      <c r="AG39" s="377">
        <v>0</v>
      </c>
      <c r="AH39" s="376">
        <v>0</v>
      </c>
      <c r="AI39" s="377">
        <v>0</v>
      </c>
      <c r="AJ39" s="376">
        <v>0</v>
      </c>
      <c r="AK39" s="377">
        <v>0</v>
      </c>
      <c r="AL39" s="376">
        <v>0</v>
      </c>
      <c r="AM39" s="377">
        <v>0</v>
      </c>
      <c r="AN39" s="376">
        <v>0.01</v>
      </c>
      <c r="AO39" s="377">
        <v>0</v>
      </c>
      <c r="AP39" s="376">
        <v>0</v>
      </c>
      <c r="AQ39" s="377">
        <v>0</v>
      </c>
      <c r="AR39" s="376">
        <v>0</v>
      </c>
      <c r="AS39" s="377">
        <v>0</v>
      </c>
      <c r="AT39" s="376">
        <v>0</v>
      </c>
      <c r="AU39" s="377">
        <v>0</v>
      </c>
    </row>
    <row r="40" spans="1:47" ht="16.5" customHeight="1">
      <c r="A40" s="362"/>
      <c r="B40" s="378"/>
      <c r="C40" s="379" t="s">
        <v>306</v>
      </c>
      <c r="D40" s="374" t="s">
        <v>123</v>
      </c>
      <c r="E40" s="375">
        <v>46573</v>
      </c>
      <c r="F40" s="375">
        <v>4.29</v>
      </c>
      <c r="G40" s="375">
        <v>0</v>
      </c>
      <c r="H40" s="376">
        <v>149.9</v>
      </c>
      <c r="I40" s="377">
        <v>14</v>
      </c>
      <c r="J40" s="376">
        <v>134.77000000000001</v>
      </c>
      <c r="K40" s="377">
        <v>12.96</v>
      </c>
      <c r="L40" s="376">
        <v>111.9</v>
      </c>
      <c r="M40" s="377">
        <v>0.4</v>
      </c>
      <c r="N40" s="376">
        <v>107</v>
      </c>
      <c r="O40" s="377">
        <v>0.6</v>
      </c>
      <c r="P40" s="376">
        <v>252.23</v>
      </c>
      <c r="Q40" s="377">
        <v>9.81</v>
      </c>
      <c r="R40" s="376">
        <v>48</v>
      </c>
      <c r="S40" s="377">
        <v>0</v>
      </c>
      <c r="T40" s="376">
        <v>82.44</v>
      </c>
      <c r="U40" s="377">
        <v>1.3</v>
      </c>
      <c r="V40" s="376">
        <v>37.008000000000003</v>
      </c>
      <c r="W40" s="377">
        <v>0.32700000000000001</v>
      </c>
      <c r="X40" s="376">
        <v>12.65</v>
      </c>
      <c r="Y40" s="377">
        <v>1.63</v>
      </c>
      <c r="Z40" s="376">
        <v>1.96</v>
      </c>
      <c r="AA40" s="377">
        <v>0.04</v>
      </c>
      <c r="AB40" s="376">
        <v>8.76</v>
      </c>
      <c r="AC40" s="377">
        <v>0.08</v>
      </c>
      <c r="AD40" s="376">
        <v>6.8</v>
      </c>
      <c r="AE40" s="377">
        <v>0.04</v>
      </c>
      <c r="AF40" s="376">
        <v>1.96</v>
      </c>
      <c r="AG40" s="377">
        <v>0.04</v>
      </c>
      <c r="AH40" s="376">
        <v>0</v>
      </c>
      <c r="AI40" s="377">
        <v>0</v>
      </c>
      <c r="AJ40" s="376">
        <v>0</v>
      </c>
      <c r="AK40" s="377">
        <v>0</v>
      </c>
      <c r="AL40" s="376">
        <v>0</v>
      </c>
      <c r="AM40" s="377">
        <v>0</v>
      </c>
      <c r="AN40" s="376">
        <v>0</v>
      </c>
      <c r="AO40" s="377">
        <v>0</v>
      </c>
      <c r="AP40" s="376">
        <v>0</v>
      </c>
      <c r="AQ40" s="377">
        <v>0</v>
      </c>
      <c r="AR40" s="376">
        <v>0</v>
      </c>
      <c r="AS40" s="377">
        <v>0</v>
      </c>
      <c r="AT40" s="376">
        <v>0</v>
      </c>
      <c r="AU40" s="377">
        <v>0</v>
      </c>
    </row>
    <row r="41" spans="1:47" ht="16.5" customHeight="1">
      <c r="A41" s="362"/>
      <c r="B41" s="378"/>
      <c r="C41" s="379"/>
      <c r="D41" s="380" t="s">
        <v>320</v>
      </c>
      <c r="E41" s="381"/>
      <c r="F41" s="381">
        <v>4.9308663327305506</v>
      </c>
      <c r="G41" s="382">
        <v>7.3443863582208779E-2</v>
      </c>
      <c r="H41" s="382">
        <v>44.842792725368916</v>
      </c>
      <c r="I41" s="383"/>
      <c r="J41" s="382">
        <v>36.091145495977749</v>
      </c>
      <c r="K41" s="383"/>
      <c r="L41" s="382">
        <v>37.781178452647438</v>
      </c>
      <c r="M41" s="383"/>
      <c r="N41" s="382">
        <v>31.193783539787962</v>
      </c>
      <c r="O41" s="383"/>
      <c r="P41" s="382">
        <v>60.558811848291917</v>
      </c>
      <c r="Q41" s="383"/>
      <c r="R41" s="382">
        <v>8.5571439119097086</v>
      </c>
      <c r="S41" s="383"/>
      <c r="T41" s="382">
        <v>17.888707608560679</v>
      </c>
      <c r="U41" s="383"/>
      <c r="V41" s="382">
        <v>12.760135102209304</v>
      </c>
      <c r="W41" s="383"/>
      <c r="X41" s="382">
        <v>3.7574288092305523</v>
      </c>
      <c r="Y41" s="383"/>
      <c r="Z41" s="382">
        <v>0.88850423033423165</v>
      </c>
      <c r="AA41" s="383"/>
      <c r="AB41" s="382">
        <v>1.9513615266120072</v>
      </c>
      <c r="AC41" s="383"/>
      <c r="AD41" s="382">
        <v>1.0628572962777756</v>
      </c>
      <c r="AE41" s="383"/>
      <c r="AF41" s="382">
        <v>0.66070591709820214</v>
      </c>
      <c r="AG41" s="383"/>
      <c r="AH41" s="382">
        <v>0.13499159302875821</v>
      </c>
      <c r="AI41" s="383"/>
      <c r="AJ41" s="382">
        <v>0</v>
      </c>
      <c r="AK41" s="383"/>
      <c r="AL41" s="382">
        <v>6.7495796514379106E-2</v>
      </c>
      <c r="AM41" s="383"/>
      <c r="AN41" s="382">
        <v>4.2184872821486941E-3</v>
      </c>
      <c r="AO41" s="383"/>
      <c r="AP41" s="382">
        <v>2.1092436410743473E-2</v>
      </c>
      <c r="AQ41" s="383"/>
      <c r="AR41" s="382">
        <v>0</v>
      </c>
      <c r="AS41" s="383"/>
      <c r="AT41" s="382">
        <v>0</v>
      </c>
      <c r="AU41" s="377"/>
    </row>
    <row r="42" spans="1:47" ht="16.5" customHeight="1">
      <c r="A42" s="362"/>
      <c r="B42" s="368">
        <v>24</v>
      </c>
      <c r="C42" s="369" t="s">
        <v>82</v>
      </c>
      <c r="D42" s="374" t="s">
        <v>196</v>
      </c>
      <c r="E42" s="375">
        <v>39709</v>
      </c>
      <c r="F42" s="375">
        <v>5.16</v>
      </c>
      <c r="G42" s="375">
        <v>8.0799999999999997E-2</v>
      </c>
      <c r="H42" s="376">
        <v>24</v>
      </c>
      <c r="I42" s="377">
        <v>1.6</v>
      </c>
      <c r="J42" s="376">
        <v>19.37</v>
      </c>
      <c r="K42" s="377">
        <v>1.6</v>
      </c>
      <c r="L42" s="376">
        <v>23.2</v>
      </c>
      <c r="M42" s="377">
        <v>3.5</v>
      </c>
      <c r="N42" s="376">
        <v>19.8</v>
      </c>
      <c r="O42" s="377">
        <v>3.6</v>
      </c>
      <c r="P42" s="376">
        <v>33.409999999999997</v>
      </c>
      <c r="Q42" s="377">
        <v>3.22</v>
      </c>
      <c r="R42" s="376">
        <v>2.2999999999999998</v>
      </c>
      <c r="S42" s="377">
        <v>0</v>
      </c>
      <c r="T42" s="376">
        <v>7.7</v>
      </c>
      <c r="U42" s="377">
        <v>3.16</v>
      </c>
      <c r="V42" s="376">
        <v>7.0049999999999999</v>
      </c>
      <c r="W42" s="377">
        <v>0.44800000000000001</v>
      </c>
      <c r="X42" s="376">
        <v>2.78</v>
      </c>
      <c r="Y42" s="377">
        <v>0.04</v>
      </c>
      <c r="Z42" s="376">
        <v>1.06</v>
      </c>
      <c r="AA42" s="377">
        <v>0.03</v>
      </c>
      <c r="AB42" s="376">
        <v>1.06</v>
      </c>
      <c r="AC42" s="377">
        <v>0.03</v>
      </c>
      <c r="AD42" s="376">
        <v>0</v>
      </c>
      <c r="AE42" s="377">
        <v>0</v>
      </c>
      <c r="AF42" s="376">
        <v>0.33</v>
      </c>
      <c r="AG42" s="377">
        <v>0.01</v>
      </c>
      <c r="AH42" s="376">
        <v>0.48</v>
      </c>
      <c r="AI42" s="377">
        <v>0.01</v>
      </c>
      <c r="AJ42" s="376">
        <v>0.05</v>
      </c>
      <c r="AK42" s="377">
        <v>0</v>
      </c>
      <c r="AL42" s="376">
        <v>0.11</v>
      </c>
      <c r="AM42" s="377">
        <v>0</v>
      </c>
      <c r="AN42" s="376">
        <v>0.05</v>
      </c>
      <c r="AO42" s="377">
        <v>0</v>
      </c>
      <c r="AP42" s="376">
        <v>0.04</v>
      </c>
      <c r="AQ42" s="377">
        <v>0</v>
      </c>
      <c r="AR42" s="376">
        <v>0</v>
      </c>
      <c r="AS42" s="377">
        <v>0</v>
      </c>
      <c r="AT42" s="376">
        <v>0</v>
      </c>
      <c r="AU42" s="377">
        <v>0</v>
      </c>
    </row>
    <row r="43" spans="1:47" ht="16.5" customHeight="1">
      <c r="A43" s="362"/>
      <c r="B43" s="368">
        <v>25</v>
      </c>
      <c r="C43" s="369" t="s">
        <v>84</v>
      </c>
      <c r="D43" s="374" t="s">
        <v>227</v>
      </c>
      <c r="E43" s="375">
        <v>100200</v>
      </c>
      <c r="F43" s="375">
        <v>6.37</v>
      </c>
      <c r="G43" s="375">
        <v>0.2555</v>
      </c>
      <c r="H43" s="376">
        <v>59.87</v>
      </c>
      <c r="I43" s="377">
        <v>0.47</v>
      </c>
      <c r="J43" s="376">
        <v>46.5</v>
      </c>
      <c r="K43" s="377">
        <v>0.14000000000000001</v>
      </c>
      <c r="L43" s="376">
        <v>54.9</v>
      </c>
      <c r="M43" s="377">
        <v>0.4</v>
      </c>
      <c r="N43" s="376">
        <v>44.6</v>
      </c>
      <c r="O43" s="377">
        <v>0</v>
      </c>
      <c r="P43" s="376">
        <v>34.83</v>
      </c>
      <c r="Q43" s="377">
        <v>0.14000000000000001</v>
      </c>
      <c r="R43" s="376">
        <v>0.3</v>
      </c>
      <c r="S43" s="377">
        <v>0</v>
      </c>
      <c r="T43" s="376">
        <v>16.97</v>
      </c>
      <c r="U43" s="377">
        <v>0.23</v>
      </c>
      <c r="V43" s="376">
        <v>25.11</v>
      </c>
      <c r="W43" s="377">
        <v>1.97</v>
      </c>
      <c r="X43" s="376">
        <v>3.48</v>
      </c>
      <c r="Y43" s="377">
        <v>0.53</v>
      </c>
      <c r="Z43" s="376">
        <v>0</v>
      </c>
      <c r="AA43" s="377">
        <v>0</v>
      </c>
      <c r="AB43" s="376">
        <v>0</v>
      </c>
      <c r="AC43" s="377">
        <v>0</v>
      </c>
      <c r="AD43" s="376">
        <v>0</v>
      </c>
      <c r="AE43" s="377">
        <v>0</v>
      </c>
      <c r="AF43" s="376">
        <v>0</v>
      </c>
      <c r="AG43" s="377">
        <v>0</v>
      </c>
      <c r="AH43" s="376">
        <v>0</v>
      </c>
      <c r="AI43" s="377">
        <v>0</v>
      </c>
      <c r="AJ43" s="376">
        <v>0</v>
      </c>
      <c r="AK43" s="377">
        <v>0</v>
      </c>
      <c r="AL43" s="376">
        <v>0</v>
      </c>
      <c r="AM43" s="377">
        <v>0</v>
      </c>
      <c r="AN43" s="376">
        <v>0</v>
      </c>
      <c r="AO43" s="377">
        <v>0</v>
      </c>
      <c r="AP43" s="376">
        <v>0</v>
      </c>
      <c r="AQ43" s="377">
        <v>0</v>
      </c>
      <c r="AR43" s="376">
        <v>0</v>
      </c>
      <c r="AS43" s="377">
        <v>0</v>
      </c>
      <c r="AT43" s="376">
        <v>0</v>
      </c>
      <c r="AU43" s="377">
        <v>0</v>
      </c>
    </row>
    <row r="44" spans="1:47" ht="16.5" customHeight="1">
      <c r="A44" s="362"/>
      <c r="B44" s="368">
        <v>26</v>
      </c>
      <c r="C44" s="369" t="s">
        <v>85</v>
      </c>
      <c r="D44" s="374" t="s">
        <v>240</v>
      </c>
      <c r="E44" s="375">
        <v>124168</v>
      </c>
      <c r="F44" s="375">
        <v>8.36</v>
      </c>
      <c r="G44" s="375">
        <v>1.0309999999999999</v>
      </c>
      <c r="H44" s="376">
        <v>38.65</v>
      </c>
      <c r="I44" s="377">
        <v>0.68</v>
      </c>
      <c r="J44" s="376">
        <v>26.28</v>
      </c>
      <c r="K44" s="377">
        <v>0.49</v>
      </c>
      <c r="L44" s="376">
        <v>32.6</v>
      </c>
      <c r="M44" s="377">
        <v>5.0999999999999996</v>
      </c>
      <c r="N44" s="376">
        <v>23</v>
      </c>
      <c r="O44" s="377">
        <v>3.4</v>
      </c>
      <c r="P44" s="376">
        <v>15.25</v>
      </c>
      <c r="Q44" s="377">
        <v>1.9</v>
      </c>
      <c r="R44" s="376">
        <v>5.9</v>
      </c>
      <c r="S44" s="377">
        <v>0.1</v>
      </c>
      <c r="T44" s="376">
        <v>9.6300000000000008</v>
      </c>
      <c r="U44" s="377">
        <v>0.79</v>
      </c>
      <c r="V44" s="376">
        <v>14.44</v>
      </c>
      <c r="W44" s="377">
        <v>3.427</v>
      </c>
      <c r="X44" s="376">
        <v>2.57</v>
      </c>
      <c r="Y44" s="377">
        <v>0.18</v>
      </c>
      <c r="Z44" s="376">
        <v>0.14000000000000001</v>
      </c>
      <c r="AA44" s="377">
        <v>0.02</v>
      </c>
      <c r="AB44" s="376">
        <v>0.14000000000000001</v>
      </c>
      <c r="AC44" s="377">
        <v>0.02</v>
      </c>
      <c r="AD44" s="376">
        <v>0</v>
      </c>
      <c r="AE44" s="377">
        <v>0</v>
      </c>
      <c r="AF44" s="376">
        <v>0.14000000000000001</v>
      </c>
      <c r="AG44" s="377">
        <v>0.02</v>
      </c>
      <c r="AH44" s="376">
        <v>0</v>
      </c>
      <c r="AI44" s="377">
        <v>0</v>
      </c>
      <c r="AJ44" s="376">
        <v>0</v>
      </c>
      <c r="AK44" s="377">
        <v>0</v>
      </c>
      <c r="AL44" s="376">
        <v>0</v>
      </c>
      <c r="AM44" s="377">
        <v>0</v>
      </c>
      <c r="AN44" s="376">
        <v>0</v>
      </c>
      <c r="AO44" s="377">
        <v>0</v>
      </c>
      <c r="AP44" s="376">
        <v>0</v>
      </c>
      <c r="AQ44" s="377">
        <v>0</v>
      </c>
      <c r="AR44" s="376">
        <v>0</v>
      </c>
      <c r="AS44" s="377">
        <v>0</v>
      </c>
      <c r="AT44" s="376">
        <v>0</v>
      </c>
      <c r="AU44" s="377">
        <v>0</v>
      </c>
    </row>
    <row r="45" spans="1:47" ht="16.5" customHeight="1">
      <c r="A45" s="362"/>
      <c r="B45" s="393">
        <v>27</v>
      </c>
      <c r="C45" s="386" t="s">
        <v>86</v>
      </c>
      <c r="D45" s="374" t="s">
        <v>192</v>
      </c>
      <c r="E45" s="375">
        <v>25578</v>
      </c>
      <c r="F45" s="375">
        <v>3.73</v>
      </c>
      <c r="G45" s="375" t="s">
        <v>46</v>
      </c>
      <c r="H45" s="376">
        <v>94.02</v>
      </c>
      <c r="I45" s="377">
        <v>0.49</v>
      </c>
      <c r="J45" s="376">
        <v>79.72</v>
      </c>
      <c r="K45" s="377">
        <v>0.45</v>
      </c>
      <c r="L45" s="376">
        <v>32.5</v>
      </c>
      <c r="M45" s="377">
        <v>4.0999999999999996</v>
      </c>
      <c r="N45" s="376">
        <v>31.2</v>
      </c>
      <c r="O45" s="377">
        <v>2.8</v>
      </c>
      <c r="P45" s="376">
        <v>176.28</v>
      </c>
      <c r="Q45" s="377">
        <v>1.26</v>
      </c>
      <c r="R45" s="376">
        <v>94.4</v>
      </c>
      <c r="S45" s="377">
        <v>1.5</v>
      </c>
      <c r="T45" s="376">
        <v>5.76</v>
      </c>
      <c r="U45" s="377">
        <v>0.24</v>
      </c>
      <c r="V45" s="376">
        <v>27.632000000000001</v>
      </c>
      <c r="W45" s="377">
        <v>1.0740000000000001</v>
      </c>
      <c r="X45" s="376">
        <v>10.18</v>
      </c>
      <c r="Y45" s="377">
        <v>1.03</v>
      </c>
      <c r="Z45" s="376">
        <v>3.94</v>
      </c>
      <c r="AA45" s="377">
        <v>0.03</v>
      </c>
      <c r="AB45" s="376">
        <v>8.74</v>
      </c>
      <c r="AC45" s="377">
        <v>0.01</v>
      </c>
      <c r="AD45" s="376">
        <v>4.8099999999999996</v>
      </c>
      <c r="AE45" s="377">
        <v>0.02</v>
      </c>
      <c r="AF45" s="376">
        <v>3.5</v>
      </c>
      <c r="AG45" s="377">
        <v>0.02</v>
      </c>
      <c r="AH45" s="376">
        <v>0.39</v>
      </c>
      <c r="AI45" s="377">
        <v>0.01</v>
      </c>
      <c r="AJ45" s="376">
        <v>0</v>
      </c>
      <c r="AK45" s="377">
        <v>0</v>
      </c>
      <c r="AL45" s="376">
        <v>0.05</v>
      </c>
      <c r="AM45" s="377">
        <v>0</v>
      </c>
      <c r="AN45" s="376">
        <v>0</v>
      </c>
      <c r="AO45" s="377">
        <v>0</v>
      </c>
      <c r="AP45" s="376">
        <v>0</v>
      </c>
      <c r="AQ45" s="377">
        <v>0</v>
      </c>
      <c r="AR45" s="376">
        <v>0</v>
      </c>
      <c r="AS45" s="377">
        <v>0</v>
      </c>
      <c r="AT45" s="376">
        <v>0</v>
      </c>
      <c r="AU45" s="377">
        <v>0</v>
      </c>
    </row>
    <row r="46" spans="1:47" ht="16.5" customHeight="1">
      <c r="A46" s="362"/>
      <c r="B46" s="368">
        <v>28</v>
      </c>
      <c r="C46" s="369" t="s">
        <v>87</v>
      </c>
      <c r="D46" s="374" t="s">
        <v>187</v>
      </c>
      <c r="E46" s="375">
        <v>23843</v>
      </c>
      <c r="F46" s="375">
        <v>6.25</v>
      </c>
      <c r="G46" s="375">
        <v>1.23</v>
      </c>
      <c r="H46" s="376">
        <v>34.08</v>
      </c>
      <c r="I46" s="377">
        <v>0.73</v>
      </c>
      <c r="J46" s="376">
        <v>24.47</v>
      </c>
      <c r="K46" s="377">
        <v>0.56999999999999995</v>
      </c>
      <c r="L46" s="376">
        <v>26.2</v>
      </c>
      <c r="M46" s="377">
        <v>2.7</v>
      </c>
      <c r="N46" s="376">
        <v>21.5</v>
      </c>
      <c r="O46" s="377">
        <v>1.8</v>
      </c>
      <c r="P46" s="376">
        <v>60.55</v>
      </c>
      <c r="Q46" s="377">
        <v>1.52</v>
      </c>
      <c r="R46" s="376">
        <v>27.4</v>
      </c>
      <c r="S46" s="377">
        <v>0.2</v>
      </c>
      <c r="T46" s="376">
        <v>6.21</v>
      </c>
      <c r="U46" s="377">
        <v>0.74</v>
      </c>
      <c r="V46" s="376">
        <v>9.7720000000000002</v>
      </c>
      <c r="W46" s="377">
        <v>2.0550000000000002</v>
      </c>
      <c r="X46" s="376">
        <v>2.9</v>
      </c>
      <c r="Y46" s="377">
        <v>0.42</v>
      </c>
      <c r="Z46" s="376">
        <v>11</v>
      </c>
      <c r="AA46" s="377">
        <v>7.0000000000000007E-2</v>
      </c>
      <c r="AB46" s="376">
        <v>11.82</v>
      </c>
      <c r="AC46" s="377">
        <v>0.09</v>
      </c>
      <c r="AD46" s="376">
        <v>0.83</v>
      </c>
      <c r="AE46" s="377">
        <v>0.02</v>
      </c>
      <c r="AF46" s="376">
        <v>3.61</v>
      </c>
      <c r="AG46" s="377">
        <v>0.11</v>
      </c>
      <c r="AH46" s="376">
        <v>2.37</v>
      </c>
      <c r="AI46" s="377">
        <v>0.01</v>
      </c>
      <c r="AJ46" s="376">
        <v>0.17</v>
      </c>
      <c r="AK46" s="377">
        <v>0.01</v>
      </c>
      <c r="AL46" s="376">
        <v>2.34</v>
      </c>
      <c r="AM46" s="377">
        <v>0.01</v>
      </c>
      <c r="AN46" s="376">
        <v>0.2</v>
      </c>
      <c r="AO46" s="377">
        <v>0.03</v>
      </c>
      <c r="AP46" s="376">
        <v>1.69</v>
      </c>
      <c r="AQ46" s="377">
        <v>0.1</v>
      </c>
      <c r="AR46" s="376">
        <v>0.08</v>
      </c>
      <c r="AS46" s="377">
        <v>0.02</v>
      </c>
      <c r="AT46" s="376">
        <v>0.54</v>
      </c>
      <c r="AU46" s="377">
        <v>0</v>
      </c>
    </row>
    <row r="47" spans="1:47" ht="16.5" customHeight="1">
      <c r="A47" s="362"/>
      <c r="B47" s="368">
        <v>29</v>
      </c>
      <c r="C47" s="369" t="s">
        <v>88</v>
      </c>
      <c r="D47" s="374" t="s">
        <v>216</v>
      </c>
      <c r="E47" s="375">
        <v>5978</v>
      </c>
      <c r="F47" s="375">
        <v>6.4</v>
      </c>
      <c r="G47" s="375">
        <v>1.0900000000000001</v>
      </c>
      <c r="H47" s="376">
        <v>33.950000000000003</v>
      </c>
      <c r="I47" s="377">
        <v>0.21</v>
      </c>
      <c r="J47" s="376">
        <v>23.55</v>
      </c>
      <c r="K47" s="377">
        <v>0.16</v>
      </c>
      <c r="L47" s="376">
        <v>33.799999999999997</v>
      </c>
      <c r="M47" s="377">
        <v>0.1</v>
      </c>
      <c r="N47" s="376">
        <v>23.4</v>
      </c>
      <c r="O47" s="377">
        <v>0.2</v>
      </c>
      <c r="P47" s="376">
        <v>37.82</v>
      </c>
      <c r="Q47" s="377">
        <v>0.19</v>
      </c>
      <c r="R47" s="376">
        <v>3.6</v>
      </c>
      <c r="S47" s="377">
        <v>0</v>
      </c>
      <c r="T47" s="376">
        <v>4.01</v>
      </c>
      <c r="U47" s="377">
        <v>0.28000000000000003</v>
      </c>
      <c r="V47" s="376">
        <v>27.797000000000001</v>
      </c>
      <c r="W47" s="377">
        <v>0.187</v>
      </c>
      <c r="X47" s="376">
        <v>2.4</v>
      </c>
      <c r="Y47" s="377">
        <v>0.14000000000000001</v>
      </c>
      <c r="Z47" s="376">
        <v>5.8</v>
      </c>
      <c r="AA47" s="377">
        <v>0.2</v>
      </c>
      <c r="AB47" s="376">
        <v>8.01</v>
      </c>
      <c r="AC47" s="377">
        <v>0.22</v>
      </c>
      <c r="AD47" s="376">
        <v>2.2000000000000002</v>
      </c>
      <c r="AE47" s="377">
        <v>0.02</v>
      </c>
      <c r="AF47" s="376">
        <v>4.46</v>
      </c>
      <c r="AG47" s="377">
        <v>0.14000000000000001</v>
      </c>
      <c r="AH47" s="376">
        <v>0.77</v>
      </c>
      <c r="AI47" s="377">
        <v>0.03</v>
      </c>
      <c r="AJ47" s="376">
        <v>0</v>
      </c>
      <c r="AK47" s="377">
        <v>0</v>
      </c>
      <c r="AL47" s="376">
        <v>0.34</v>
      </c>
      <c r="AM47" s="377">
        <v>0.01</v>
      </c>
      <c r="AN47" s="376">
        <v>0.03</v>
      </c>
      <c r="AO47" s="377">
        <v>0</v>
      </c>
      <c r="AP47" s="376">
        <v>0.08</v>
      </c>
      <c r="AQ47" s="377">
        <v>0.01</v>
      </c>
      <c r="AR47" s="376">
        <v>0.08</v>
      </c>
      <c r="AS47" s="377">
        <v>0.01</v>
      </c>
      <c r="AT47" s="376">
        <v>0.04</v>
      </c>
      <c r="AU47" s="377">
        <v>0</v>
      </c>
    </row>
    <row r="48" spans="1:47" ht="16.5" customHeight="1">
      <c r="A48" s="357"/>
      <c r="B48" s="378"/>
      <c r="C48" s="379" t="s">
        <v>306</v>
      </c>
      <c r="D48" s="374" t="s">
        <v>227</v>
      </c>
      <c r="E48" s="375">
        <v>9254</v>
      </c>
      <c r="F48" s="375">
        <v>6.35</v>
      </c>
      <c r="G48" s="375">
        <v>0.96599999999999997</v>
      </c>
      <c r="H48" s="376">
        <v>56.8</v>
      </c>
      <c r="I48" s="377">
        <v>13.58</v>
      </c>
      <c r="J48" s="376">
        <v>32.15</v>
      </c>
      <c r="K48" s="377">
        <v>7.57</v>
      </c>
      <c r="L48" s="376">
        <v>46.6</v>
      </c>
      <c r="M48" s="377">
        <v>0.4</v>
      </c>
      <c r="N48" s="376">
        <v>26.8</v>
      </c>
      <c r="O48" s="377">
        <v>0.1</v>
      </c>
      <c r="P48" s="376">
        <v>69.83</v>
      </c>
      <c r="Q48" s="377">
        <v>3.15</v>
      </c>
      <c r="R48" s="376">
        <v>3.8</v>
      </c>
      <c r="S48" s="377">
        <v>0.1</v>
      </c>
      <c r="T48" s="376">
        <v>17.55</v>
      </c>
      <c r="U48" s="377">
        <v>2.04</v>
      </c>
      <c r="V48" s="376">
        <v>16.248999999999999</v>
      </c>
      <c r="W48" s="377">
        <v>5.78</v>
      </c>
      <c r="X48" s="376">
        <v>2.9</v>
      </c>
      <c r="Y48" s="377">
        <v>1.06</v>
      </c>
      <c r="Z48" s="376">
        <v>28.81</v>
      </c>
      <c r="AA48" s="377">
        <v>0.19</v>
      </c>
      <c r="AB48" s="376">
        <v>29.76</v>
      </c>
      <c r="AC48" s="377">
        <v>0.04</v>
      </c>
      <c r="AD48" s="376">
        <v>0.96</v>
      </c>
      <c r="AE48" s="377">
        <v>0.15</v>
      </c>
      <c r="AF48" s="376">
        <v>13.71</v>
      </c>
      <c r="AG48" s="377">
        <v>0.15</v>
      </c>
      <c r="AH48" s="376">
        <v>4.3</v>
      </c>
      <c r="AI48" s="377">
        <v>0.04</v>
      </c>
      <c r="AJ48" s="376">
        <v>1.66</v>
      </c>
      <c r="AK48" s="377">
        <v>0.05</v>
      </c>
      <c r="AL48" s="376">
        <v>3.62</v>
      </c>
      <c r="AM48" s="377">
        <v>0.02</v>
      </c>
      <c r="AN48" s="376">
        <v>3.38</v>
      </c>
      <c r="AO48" s="377">
        <v>0.02</v>
      </c>
      <c r="AP48" s="376">
        <v>2.14</v>
      </c>
      <c r="AQ48" s="377">
        <v>0</v>
      </c>
      <c r="AR48" s="376">
        <v>0</v>
      </c>
      <c r="AS48" s="377">
        <v>0</v>
      </c>
      <c r="AT48" s="376">
        <v>0</v>
      </c>
      <c r="AU48" s="377">
        <v>0</v>
      </c>
    </row>
    <row r="49" spans="1:47" ht="16.5" customHeight="1">
      <c r="A49" s="357"/>
      <c r="B49" s="378"/>
      <c r="C49" s="379"/>
      <c r="D49" s="374" t="s">
        <v>192</v>
      </c>
      <c r="E49" s="375">
        <v>29881</v>
      </c>
      <c r="F49" s="375">
        <v>3.96</v>
      </c>
      <c r="G49" s="375" t="s">
        <v>46</v>
      </c>
      <c r="H49" s="376">
        <v>52.23</v>
      </c>
      <c r="I49" s="377">
        <v>2.83</v>
      </c>
      <c r="J49" s="376">
        <v>44.15</v>
      </c>
      <c r="K49" s="377">
        <v>2.4300000000000002</v>
      </c>
      <c r="L49" s="376">
        <v>29.8</v>
      </c>
      <c r="M49" s="377">
        <v>2</v>
      </c>
      <c r="N49" s="376">
        <v>27.8</v>
      </c>
      <c r="O49" s="377">
        <v>1.1000000000000001</v>
      </c>
      <c r="P49" s="376">
        <v>100.23</v>
      </c>
      <c r="Q49" s="377">
        <v>0.4</v>
      </c>
      <c r="R49" s="376">
        <v>22.1</v>
      </c>
      <c r="S49" s="377">
        <v>0</v>
      </c>
      <c r="T49" s="376">
        <v>5.88</v>
      </c>
      <c r="U49" s="377">
        <v>0.17</v>
      </c>
      <c r="V49" s="376">
        <v>14.608000000000001</v>
      </c>
      <c r="W49" s="377">
        <v>0.11700000000000001</v>
      </c>
      <c r="X49" s="376">
        <v>49.63</v>
      </c>
      <c r="Y49" s="377">
        <v>5.13</v>
      </c>
      <c r="Z49" s="376">
        <v>1.1499999999999999</v>
      </c>
      <c r="AA49" s="377">
        <v>0.03</v>
      </c>
      <c r="AB49" s="376">
        <v>1.2</v>
      </c>
      <c r="AC49" s="377">
        <v>0.03</v>
      </c>
      <c r="AD49" s="376">
        <v>0.05</v>
      </c>
      <c r="AE49" s="377">
        <v>0.01</v>
      </c>
      <c r="AF49" s="376">
        <v>0.56999999999999995</v>
      </c>
      <c r="AG49" s="377">
        <v>0.02</v>
      </c>
      <c r="AH49" s="376">
        <v>0.26</v>
      </c>
      <c r="AI49" s="377">
        <v>0</v>
      </c>
      <c r="AJ49" s="376">
        <v>0.06</v>
      </c>
      <c r="AK49" s="377">
        <v>0</v>
      </c>
      <c r="AL49" s="376">
        <v>0.1</v>
      </c>
      <c r="AM49" s="377">
        <v>0</v>
      </c>
      <c r="AN49" s="376">
        <v>0.08</v>
      </c>
      <c r="AO49" s="377">
        <v>0</v>
      </c>
      <c r="AP49" s="376">
        <v>0.04</v>
      </c>
      <c r="AQ49" s="377">
        <v>0</v>
      </c>
      <c r="AR49" s="376">
        <v>0.04</v>
      </c>
      <c r="AS49" s="377">
        <v>0</v>
      </c>
      <c r="AT49" s="376">
        <v>0</v>
      </c>
      <c r="AU49" s="377">
        <v>0</v>
      </c>
    </row>
    <row r="50" spans="1:47" ht="16.5" customHeight="1">
      <c r="A50" s="357"/>
      <c r="B50" s="378"/>
      <c r="C50" s="379"/>
      <c r="D50" s="380" t="s">
        <v>322</v>
      </c>
      <c r="E50" s="381"/>
      <c r="F50" s="381">
        <v>4.1380440555488835</v>
      </c>
      <c r="G50" s="381" t="s">
        <v>46</v>
      </c>
      <c r="H50" s="382">
        <v>50.74512734688448</v>
      </c>
      <c r="I50" s="383"/>
      <c r="J50" s="382">
        <v>38.958707024582715</v>
      </c>
      <c r="K50" s="383"/>
      <c r="L50" s="382">
        <v>33.776219714938044</v>
      </c>
      <c r="M50" s="383"/>
      <c r="N50" s="382">
        <v>27.011819209540487</v>
      </c>
      <c r="O50" s="383"/>
      <c r="P50" s="382">
        <v>85.724013255602586</v>
      </c>
      <c r="Q50" s="383"/>
      <c r="R50" s="382">
        <v>15.894666725777494</v>
      </c>
      <c r="S50" s="383"/>
      <c r="T50" s="382">
        <v>8.0260625540309896</v>
      </c>
      <c r="U50" s="383"/>
      <c r="V50" s="382">
        <v>16.692313967149161</v>
      </c>
      <c r="W50" s="383"/>
      <c r="X50" s="382">
        <v>33.785778600403432</v>
      </c>
      <c r="Y50" s="383"/>
      <c r="Z50" s="382">
        <v>7.4400569680579869</v>
      </c>
      <c r="AA50" s="383"/>
      <c r="AB50" s="382">
        <v>7.9608986323232775</v>
      </c>
      <c r="AC50" s="383"/>
      <c r="AD50" s="382">
        <v>0.52156784075543638</v>
      </c>
      <c r="AE50" s="383"/>
      <c r="AF50" s="382">
        <v>3.7808700374614861</v>
      </c>
      <c r="AG50" s="383"/>
      <c r="AH50" s="382">
        <v>1.1563035045330614</v>
      </c>
      <c r="AI50" s="383"/>
      <c r="AJ50" s="382">
        <v>0.38025624542814712</v>
      </c>
      <c r="AK50" s="383"/>
      <c r="AL50" s="382">
        <v>0.85385808968589993</v>
      </c>
      <c r="AM50" s="383"/>
      <c r="AN50" s="382">
        <v>0.75030124354398964</v>
      </c>
      <c r="AO50" s="383"/>
      <c r="AP50" s="382">
        <v>0.47607208565158604</v>
      </c>
      <c r="AQ50" s="383"/>
      <c r="AR50" s="382">
        <v>3.7095294039412141E-2</v>
      </c>
      <c r="AS50" s="383"/>
      <c r="AT50" s="382">
        <v>5.300467714406047E-3</v>
      </c>
      <c r="AU50" s="377"/>
    </row>
    <row r="51" spans="1:47" ht="16.5" customHeight="1">
      <c r="A51" s="362"/>
      <c r="B51" s="368">
        <v>30</v>
      </c>
      <c r="C51" s="369" t="s">
        <v>89</v>
      </c>
      <c r="D51" s="374" t="s">
        <v>240</v>
      </c>
      <c r="E51" s="375">
        <v>194589</v>
      </c>
      <c r="F51" s="375">
        <v>6.25</v>
      </c>
      <c r="G51" s="375">
        <v>0.16700000000000001</v>
      </c>
      <c r="H51" s="376">
        <v>34.700000000000003</v>
      </c>
      <c r="I51" s="377">
        <v>1.56</v>
      </c>
      <c r="J51" s="376">
        <v>26.88</v>
      </c>
      <c r="K51" s="377">
        <v>1.2</v>
      </c>
      <c r="L51" s="376">
        <v>45.4</v>
      </c>
      <c r="M51" s="377">
        <v>6.2</v>
      </c>
      <c r="N51" s="376">
        <v>35</v>
      </c>
      <c r="O51" s="377">
        <v>4.2</v>
      </c>
      <c r="P51" s="376">
        <v>49.63</v>
      </c>
      <c r="Q51" s="377">
        <v>0.24</v>
      </c>
      <c r="R51" s="376">
        <v>0.8</v>
      </c>
      <c r="S51" s="377">
        <v>0</v>
      </c>
      <c r="T51" s="376">
        <v>3.04</v>
      </c>
      <c r="U51" s="377">
        <v>0.21</v>
      </c>
      <c r="V51" s="376">
        <v>29.201000000000001</v>
      </c>
      <c r="W51" s="377">
        <v>0.18099999999999999</v>
      </c>
      <c r="X51" s="376">
        <v>5.23</v>
      </c>
      <c r="Y51" s="377">
        <v>0.32</v>
      </c>
      <c r="Z51" s="376">
        <v>0.01</v>
      </c>
      <c r="AA51" s="377">
        <v>0</v>
      </c>
      <c r="AB51" s="376">
        <v>0.01</v>
      </c>
      <c r="AC51" s="377">
        <v>0</v>
      </c>
      <c r="AD51" s="376">
        <v>0</v>
      </c>
      <c r="AE51" s="377">
        <v>0</v>
      </c>
      <c r="AF51" s="376">
        <v>0.01</v>
      </c>
      <c r="AG51" s="377">
        <v>0</v>
      </c>
      <c r="AH51" s="376">
        <v>0</v>
      </c>
      <c r="AI51" s="377">
        <v>0</v>
      </c>
      <c r="AJ51" s="376">
        <v>0</v>
      </c>
      <c r="AK51" s="377">
        <v>0</v>
      </c>
      <c r="AL51" s="376">
        <v>0</v>
      </c>
      <c r="AM51" s="377">
        <v>0</v>
      </c>
      <c r="AN51" s="376">
        <v>0</v>
      </c>
      <c r="AO51" s="377">
        <v>0</v>
      </c>
      <c r="AP51" s="376">
        <v>0</v>
      </c>
      <c r="AQ51" s="377">
        <v>0</v>
      </c>
      <c r="AR51" s="376">
        <v>0</v>
      </c>
      <c r="AS51" s="377">
        <v>0</v>
      </c>
      <c r="AT51" s="376">
        <v>0</v>
      </c>
      <c r="AU51" s="377">
        <v>0</v>
      </c>
    </row>
    <row r="52" spans="1:47" ht="16.5" customHeight="1">
      <c r="A52" s="362"/>
      <c r="B52" s="368">
        <v>31</v>
      </c>
      <c r="C52" s="369" t="s">
        <v>91</v>
      </c>
      <c r="D52" s="374" t="s">
        <v>187</v>
      </c>
      <c r="E52" s="375">
        <v>40415</v>
      </c>
      <c r="F52" s="375">
        <v>4.97</v>
      </c>
      <c r="G52" s="375">
        <v>0.14799999999999999</v>
      </c>
      <c r="H52" s="376">
        <v>59.95</v>
      </c>
      <c r="I52" s="377">
        <v>1.06</v>
      </c>
      <c r="J52" s="376">
        <v>49.1</v>
      </c>
      <c r="K52" s="377">
        <v>0.99</v>
      </c>
      <c r="L52" s="376">
        <v>33.5</v>
      </c>
      <c r="M52" s="377">
        <v>4.7</v>
      </c>
      <c r="N52" s="376">
        <v>31.3</v>
      </c>
      <c r="O52" s="377">
        <v>3.7</v>
      </c>
      <c r="P52" s="376">
        <v>101.12</v>
      </c>
      <c r="Q52" s="377">
        <v>1.41</v>
      </c>
      <c r="R52" s="376">
        <v>41.9</v>
      </c>
      <c r="S52" s="377">
        <v>0.2</v>
      </c>
      <c r="T52" s="376">
        <v>6.59</v>
      </c>
      <c r="U52" s="377">
        <v>0.41</v>
      </c>
      <c r="V52" s="376">
        <v>14.856</v>
      </c>
      <c r="W52" s="377">
        <v>2.1480000000000001</v>
      </c>
      <c r="X52" s="376">
        <v>10.48</v>
      </c>
      <c r="Y52" s="377">
        <v>0.46</v>
      </c>
      <c r="Z52" s="376">
        <v>6.99</v>
      </c>
      <c r="AA52" s="377">
        <v>0.4</v>
      </c>
      <c r="AB52" s="376">
        <v>9.2200000000000006</v>
      </c>
      <c r="AC52" s="377">
        <v>0.41</v>
      </c>
      <c r="AD52" s="376">
        <v>2.23</v>
      </c>
      <c r="AE52" s="377">
        <v>0.01</v>
      </c>
      <c r="AF52" s="376">
        <v>3.01</v>
      </c>
      <c r="AG52" s="377">
        <v>7.0000000000000007E-2</v>
      </c>
      <c r="AH52" s="376">
        <v>0.51</v>
      </c>
      <c r="AI52" s="377">
        <v>0.01</v>
      </c>
      <c r="AJ52" s="376">
        <v>0.15</v>
      </c>
      <c r="AK52" s="377">
        <v>0</v>
      </c>
      <c r="AL52" s="376">
        <v>1.1399999999999999</v>
      </c>
      <c r="AM52" s="377">
        <v>0.14000000000000001</v>
      </c>
      <c r="AN52" s="376">
        <v>0.22</v>
      </c>
      <c r="AO52" s="377">
        <v>0.02</v>
      </c>
      <c r="AP52" s="376">
        <v>0.41</v>
      </c>
      <c r="AQ52" s="377">
        <v>0.02</v>
      </c>
      <c r="AR52" s="376">
        <v>0</v>
      </c>
      <c r="AS52" s="377">
        <v>0</v>
      </c>
      <c r="AT52" s="376">
        <v>1.55</v>
      </c>
      <c r="AU52" s="377">
        <v>0.14000000000000001</v>
      </c>
    </row>
    <row r="53" spans="1:47" ht="16.5" customHeight="1">
      <c r="A53" s="362"/>
      <c r="B53" s="396">
        <v>32</v>
      </c>
      <c r="C53" s="374" t="s">
        <v>92</v>
      </c>
      <c r="D53" s="374" t="s">
        <v>240</v>
      </c>
      <c r="E53" s="375">
        <v>261716</v>
      </c>
      <c r="F53" s="375">
        <v>5.4</v>
      </c>
      <c r="G53" s="375">
        <v>0.74</v>
      </c>
      <c r="H53" s="376">
        <v>34.6</v>
      </c>
      <c r="I53" s="377">
        <v>1.32</v>
      </c>
      <c r="J53" s="376">
        <v>28.9</v>
      </c>
      <c r="K53" s="377">
        <v>0.94</v>
      </c>
      <c r="L53" s="376">
        <v>30.7</v>
      </c>
      <c r="M53" s="377">
        <v>0.8</v>
      </c>
      <c r="N53" s="376">
        <v>26.7</v>
      </c>
      <c r="O53" s="377">
        <v>0.8</v>
      </c>
      <c r="P53" s="376">
        <v>62.21</v>
      </c>
      <c r="Q53" s="377">
        <v>0.92</v>
      </c>
      <c r="R53" s="376">
        <v>3.2</v>
      </c>
      <c r="S53" s="377">
        <v>0</v>
      </c>
      <c r="T53" s="376">
        <v>11.72</v>
      </c>
      <c r="U53" s="377">
        <v>0.64</v>
      </c>
      <c r="V53" s="376">
        <v>13.798999999999999</v>
      </c>
      <c r="W53" s="377">
        <v>0.65400000000000003</v>
      </c>
      <c r="X53" s="376">
        <v>4.28</v>
      </c>
      <c r="Y53" s="377">
        <v>0.6</v>
      </c>
      <c r="Z53" s="376">
        <v>1.29</v>
      </c>
      <c r="AA53" s="377">
        <v>0.04</v>
      </c>
      <c r="AB53" s="376">
        <v>1.31</v>
      </c>
      <c r="AC53" s="377">
        <v>0.04</v>
      </c>
      <c r="AD53" s="376">
        <v>0.02</v>
      </c>
      <c r="AE53" s="377">
        <v>0</v>
      </c>
      <c r="AF53" s="376">
        <v>0.57999999999999996</v>
      </c>
      <c r="AG53" s="377">
        <v>0.02</v>
      </c>
      <c r="AH53" s="376">
        <v>0.39</v>
      </c>
      <c r="AI53" s="377">
        <v>0</v>
      </c>
      <c r="AJ53" s="376">
        <v>0.04</v>
      </c>
      <c r="AK53" s="377">
        <v>0</v>
      </c>
      <c r="AL53" s="376">
        <v>0.15</v>
      </c>
      <c r="AM53" s="377">
        <v>0</v>
      </c>
      <c r="AN53" s="376">
        <v>0.03</v>
      </c>
      <c r="AO53" s="377">
        <v>0</v>
      </c>
      <c r="AP53" s="376">
        <v>0.09</v>
      </c>
      <c r="AQ53" s="377">
        <v>0</v>
      </c>
      <c r="AR53" s="376">
        <v>0</v>
      </c>
      <c r="AS53" s="377">
        <v>0</v>
      </c>
      <c r="AT53" s="376">
        <v>0.01</v>
      </c>
      <c r="AU53" s="377">
        <v>0</v>
      </c>
    </row>
    <row r="54" spans="1:47" ht="16.5" customHeight="1">
      <c r="B54" s="378" t="s">
        <v>93</v>
      </c>
      <c r="C54" s="397" t="s">
        <v>94</v>
      </c>
      <c r="D54" s="398" t="s">
        <v>192</v>
      </c>
      <c r="E54" s="399">
        <v>26626</v>
      </c>
      <c r="F54" s="399">
        <v>4.9000000000000004</v>
      </c>
      <c r="G54" s="399" t="s">
        <v>46</v>
      </c>
      <c r="H54" s="400">
        <v>67.73</v>
      </c>
      <c r="I54" s="401">
        <v>0.99</v>
      </c>
      <c r="J54" s="400">
        <v>48.88</v>
      </c>
      <c r="K54" s="401">
        <v>0.54</v>
      </c>
      <c r="L54" s="400">
        <v>19.95</v>
      </c>
      <c r="M54" s="401">
        <v>0.55000000000000004</v>
      </c>
      <c r="N54" s="400">
        <v>17.649999999999999</v>
      </c>
      <c r="O54" s="401">
        <v>0.45</v>
      </c>
      <c r="P54" s="400" t="s">
        <v>46</v>
      </c>
      <c r="Q54" s="401" t="s">
        <v>46</v>
      </c>
      <c r="R54" s="400" t="s">
        <v>46</v>
      </c>
      <c r="S54" s="401" t="s">
        <v>46</v>
      </c>
      <c r="T54" s="400" t="s">
        <v>46</v>
      </c>
      <c r="U54" s="401" t="s">
        <v>46</v>
      </c>
      <c r="V54" s="400" t="s">
        <v>46</v>
      </c>
      <c r="W54" s="401" t="s">
        <v>46</v>
      </c>
      <c r="X54" s="400" t="s">
        <v>46</v>
      </c>
      <c r="Y54" s="401" t="s">
        <v>46</v>
      </c>
      <c r="Z54" s="400" t="s">
        <v>46</v>
      </c>
      <c r="AA54" s="401" t="s">
        <v>46</v>
      </c>
      <c r="AB54" s="400" t="s">
        <v>46</v>
      </c>
      <c r="AC54" s="401" t="s">
        <v>46</v>
      </c>
      <c r="AD54" s="400" t="s">
        <v>46</v>
      </c>
      <c r="AE54" s="401" t="s">
        <v>46</v>
      </c>
      <c r="AF54" s="400" t="s">
        <v>46</v>
      </c>
      <c r="AG54" s="401" t="s">
        <v>46</v>
      </c>
      <c r="AH54" s="400" t="s">
        <v>46</v>
      </c>
      <c r="AI54" s="401" t="s">
        <v>46</v>
      </c>
      <c r="AJ54" s="400" t="s">
        <v>46</v>
      </c>
      <c r="AK54" s="401" t="s">
        <v>46</v>
      </c>
      <c r="AL54" s="400" t="s">
        <v>46</v>
      </c>
      <c r="AM54" s="401" t="s">
        <v>46</v>
      </c>
      <c r="AN54" s="400" t="s">
        <v>46</v>
      </c>
      <c r="AO54" s="401" t="s">
        <v>46</v>
      </c>
      <c r="AP54" s="400" t="s">
        <v>46</v>
      </c>
      <c r="AQ54" s="401" t="s">
        <v>46</v>
      </c>
      <c r="AR54" s="400" t="s">
        <v>46</v>
      </c>
      <c r="AS54" s="401" t="s">
        <v>46</v>
      </c>
      <c r="AT54" s="400" t="s">
        <v>46</v>
      </c>
      <c r="AU54" s="401" t="s">
        <v>46</v>
      </c>
    </row>
    <row r="55" spans="1:47" ht="16.5" customHeight="1">
      <c r="A55" s="362"/>
      <c r="B55" s="368">
        <v>33</v>
      </c>
      <c r="C55" s="369" t="s">
        <v>97</v>
      </c>
      <c r="D55" s="374" t="s">
        <v>248</v>
      </c>
      <c r="E55" s="375">
        <v>414670</v>
      </c>
      <c r="F55" s="375">
        <v>6.76</v>
      </c>
      <c r="G55" s="375">
        <v>0.20130000000000001</v>
      </c>
      <c r="H55" s="376">
        <v>16.18</v>
      </c>
      <c r="I55" s="377">
        <v>0.16</v>
      </c>
      <c r="J55" s="376">
        <v>9.17</v>
      </c>
      <c r="K55" s="377">
        <v>0.38</v>
      </c>
      <c r="L55" s="376">
        <v>11</v>
      </c>
      <c r="M55" s="377">
        <v>0.8</v>
      </c>
      <c r="N55" s="376">
        <v>8.5</v>
      </c>
      <c r="O55" s="377">
        <v>0.7</v>
      </c>
      <c r="P55" s="376">
        <v>24.42</v>
      </c>
      <c r="Q55" s="377">
        <v>4.91</v>
      </c>
      <c r="R55" s="376">
        <v>1.2</v>
      </c>
      <c r="S55" s="377">
        <v>0</v>
      </c>
      <c r="T55" s="376">
        <v>2.8</v>
      </c>
      <c r="U55" s="377">
        <v>0.14000000000000001</v>
      </c>
      <c r="V55" s="376">
        <v>16.206</v>
      </c>
      <c r="W55" s="377">
        <v>0.27600000000000002</v>
      </c>
      <c r="X55" s="376">
        <v>0.97</v>
      </c>
      <c r="Y55" s="377">
        <v>0.11</v>
      </c>
      <c r="Z55" s="376">
        <v>0.02</v>
      </c>
      <c r="AA55" s="377">
        <v>0</v>
      </c>
      <c r="AB55" s="376">
        <v>0.02</v>
      </c>
      <c r="AC55" s="377">
        <v>0</v>
      </c>
      <c r="AD55" s="376">
        <v>0</v>
      </c>
      <c r="AE55" s="377">
        <v>0</v>
      </c>
      <c r="AF55" s="376">
        <v>0.01</v>
      </c>
      <c r="AG55" s="377">
        <v>0</v>
      </c>
      <c r="AH55" s="376">
        <v>0</v>
      </c>
      <c r="AI55" s="377">
        <v>0</v>
      </c>
      <c r="AJ55" s="376">
        <v>0</v>
      </c>
      <c r="AK55" s="377">
        <v>0</v>
      </c>
      <c r="AL55" s="376">
        <v>0</v>
      </c>
      <c r="AM55" s="377">
        <v>0</v>
      </c>
      <c r="AN55" s="376">
        <v>0</v>
      </c>
      <c r="AO55" s="377">
        <v>0</v>
      </c>
      <c r="AP55" s="376">
        <v>0</v>
      </c>
      <c r="AQ55" s="377">
        <v>0</v>
      </c>
      <c r="AR55" s="376">
        <v>0</v>
      </c>
      <c r="AS55" s="377">
        <v>0</v>
      </c>
      <c r="AT55" s="376">
        <v>0</v>
      </c>
      <c r="AU55" s="377">
        <v>0</v>
      </c>
    </row>
    <row r="56" spans="1:47" ht="16.5" customHeight="1">
      <c r="A56" s="362"/>
      <c r="B56" s="368">
        <v>34</v>
      </c>
      <c r="C56" s="369" t="s">
        <v>98</v>
      </c>
      <c r="D56" s="374" t="s">
        <v>192</v>
      </c>
      <c r="E56" s="375">
        <v>20518</v>
      </c>
      <c r="F56" s="375">
        <v>3.71</v>
      </c>
      <c r="G56" s="375" t="s">
        <v>46</v>
      </c>
      <c r="H56" s="376">
        <v>11.37</v>
      </c>
      <c r="I56" s="377">
        <v>0.52</v>
      </c>
      <c r="J56" s="376">
        <v>11</v>
      </c>
      <c r="K56" s="377">
        <v>0.42</v>
      </c>
      <c r="L56" s="376">
        <v>34.1</v>
      </c>
      <c r="M56" s="377">
        <v>1.6</v>
      </c>
      <c r="N56" s="376">
        <v>33</v>
      </c>
      <c r="O56" s="377">
        <v>1.3</v>
      </c>
      <c r="P56" s="376">
        <v>134.43</v>
      </c>
      <c r="Q56" s="377">
        <v>2.93</v>
      </c>
      <c r="R56" s="376">
        <v>55.9</v>
      </c>
      <c r="S56" s="377">
        <v>0.4</v>
      </c>
      <c r="T56" s="376">
        <v>2.39</v>
      </c>
      <c r="U56" s="377">
        <v>0.19</v>
      </c>
      <c r="V56" s="376">
        <v>12.545</v>
      </c>
      <c r="W56" s="377">
        <v>0.56000000000000005</v>
      </c>
      <c r="X56" s="376">
        <v>12.07</v>
      </c>
      <c r="Y56" s="377">
        <v>0.39</v>
      </c>
      <c r="Z56" s="376">
        <v>3.44</v>
      </c>
      <c r="AA56" s="377">
        <v>0.02</v>
      </c>
      <c r="AB56" s="376">
        <v>9.43</v>
      </c>
      <c r="AC56" s="377">
        <v>0.05</v>
      </c>
      <c r="AD56" s="376">
        <v>5.99</v>
      </c>
      <c r="AE56" s="377">
        <v>7.0000000000000007E-2</v>
      </c>
      <c r="AF56" s="376">
        <v>3.32</v>
      </c>
      <c r="AG56" s="377">
        <v>0</v>
      </c>
      <c r="AH56" s="376">
        <v>0.11</v>
      </c>
      <c r="AI56" s="377">
        <v>0</v>
      </c>
      <c r="AJ56" s="376">
        <v>0.02</v>
      </c>
      <c r="AK56" s="377">
        <v>0.03</v>
      </c>
      <c r="AL56" s="376">
        <v>0</v>
      </c>
      <c r="AM56" s="377">
        <v>0</v>
      </c>
      <c r="AN56" s="376">
        <v>0</v>
      </c>
      <c r="AO56" s="377">
        <v>0</v>
      </c>
      <c r="AP56" s="376">
        <v>0</v>
      </c>
      <c r="AQ56" s="377">
        <v>0</v>
      </c>
      <c r="AR56" s="376">
        <v>0</v>
      </c>
      <c r="AS56" s="377">
        <v>0</v>
      </c>
      <c r="AT56" s="376">
        <v>0</v>
      </c>
      <c r="AU56" s="377">
        <v>0</v>
      </c>
    </row>
    <row r="57" spans="1:47" ht="16.5" customHeight="1">
      <c r="A57" s="362"/>
      <c r="B57" s="402">
        <f>COUNTA(B3:B56)</f>
        <v>35</v>
      </c>
      <c r="C57" s="362"/>
      <c r="D57" s="362"/>
      <c r="E57" s="403"/>
      <c r="F57" s="407"/>
      <c r="G57" s="362"/>
      <c r="H57" s="362"/>
      <c r="I57" s="362"/>
      <c r="J57" s="362"/>
      <c r="K57" s="362"/>
      <c r="L57" s="362"/>
      <c r="M57" s="362"/>
      <c r="N57" s="362"/>
      <c r="O57" s="362"/>
      <c r="P57" s="362"/>
      <c r="Q57" s="362"/>
      <c r="R57" s="362"/>
      <c r="S57" s="362"/>
      <c r="T57" s="362"/>
      <c r="U57" s="362"/>
      <c r="V57" s="362"/>
      <c r="W57" s="362"/>
      <c r="X57" s="362"/>
      <c r="Y57" s="362"/>
      <c r="Z57" s="362"/>
      <c r="AA57" s="362"/>
      <c r="AB57" s="362"/>
      <c r="AC57" s="362"/>
      <c r="AD57" s="362"/>
      <c r="AE57" s="362"/>
      <c r="AF57" s="362"/>
      <c r="AG57" s="362"/>
      <c r="AH57" s="362"/>
      <c r="AI57" s="362"/>
      <c r="AJ57" s="357"/>
      <c r="AK57" s="357"/>
      <c r="AL57" s="357"/>
      <c r="AM57" s="357"/>
      <c r="AN57" s="357"/>
      <c r="AO57" s="357"/>
      <c r="AP57" s="357"/>
      <c r="AQ57" s="357"/>
      <c r="AR57" s="357"/>
      <c r="AS57" s="357"/>
      <c r="AT57" s="357"/>
      <c r="AU57" s="357"/>
    </row>
    <row r="58" spans="1:47" ht="16.5" customHeight="1">
      <c r="E58" s="404"/>
    </row>
    <row r="59" spans="1:47" ht="16.5" customHeight="1">
      <c r="E59" s="409"/>
    </row>
    <row r="60" spans="1:47" ht="16.5" customHeight="1">
      <c r="E60" s="404"/>
    </row>
    <row r="61" spans="1:47" ht="16.5" customHeight="1">
      <c r="E61" s="404"/>
    </row>
    <row r="62" spans="1:47" ht="16.5" customHeight="1">
      <c r="E62" s="404"/>
    </row>
    <row r="63" spans="1:47" ht="16.5" customHeight="1">
      <c r="E63" s="404"/>
    </row>
    <row r="64" spans="1:47" ht="16.5" customHeight="1">
      <c r="E64" s="404"/>
    </row>
    <row r="65" spans="1:47" ht="16.5" customHeight="1">
      <c r="E65" s="404"/>
    </row>
    <row r="66" spans="1:47" ht="16.5" customHeight="1">
      <c r="E66" s="404"/>
    </row>
    <row r="67" spans="1:47" ht="16.5" customHeight="1">
      <c r="E67" s="404"/>
    </row>
    <row r="68" spans="1:47" ht="16.5" customHeight="1">
      <c r="E68" s="404"/>
    </row>
    <row r="69" spans="1:47" s="408" customFormat="1" ht="16.5" customHeight="1">
      <c r="A69" s="210"/>
      <c r="B69" s="210"/>
      <c r="C69" s="210"/>
      <c r="D69" s="210"/>
      <c r="E69" s="404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  <c r="AA69" s="210"/>
      <c r="AB69" s="210"/>
      <c r="AC69" s="210"/>
      <c r="AD69" s="210"/>
      <c r="AE69" s="210"/>
      <c r="AF69" s="210"/>
      <c r="AG69" s="210"/>
      <c r="AH69" s="210"/>
      <c r="AI69" s="210"/>
      <c r="AJ69"/>
      <c r="AK69"/>
      <c r="AL69"/>
      <c r="AM69"/>
      <c r="AN69"/>
      <c r="AO69"/>
      <c r="AP69"/>
      <c r="AQ69"/>
      <c r="AR69"/>
      <c r="AS69"/>
      <c r="AT69"/>
      <c r="AU69"/>
    </row>
    <row r="70" spans="1:47" s="408" customFormat="1" ht="16.5" customHeight="1">
      <c r="A70" s="210"/>
      <c r="B70" s="210"/>
      <c r="C70" s="210"/>
      <c r="D70" s="210"/>
      <c r="E70" s="404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  <c r="AA70" s="210"/>
      <c r="AB70" s="210"/>
      <c r="AC70" s="210"/>
      <c r="AD70" s="210"/>
      <c r="AE70" s="210"/>
      <c r="AF70" s="210"/>
      <c r="AG70" s="210"/>
      <c r="AH70" s="210"/>
      <c r="AI70" s="210"/>
      <c r="AJ70"/>
      <c r="AK70"/>
      <c r="AL70"/>
      <c r="AM70"/>
      <c r="AN70"/>
      <c r="AO70"/>
      <c r="AP70"/>
      <c r="AQ70"/>
      <c r="AR70"/>
      <c r="AS70"/>
      <c r="AT70"/>
      <c r="AU70"/>
    </row>
    <row r="71" spans="1:47" s="408" customFormat="1" ht="16.5" customHeight="1">
      <c r="A71" s="210"/>
      <c r="B71" s="210"/>
      <c r="C71" s="210"/>
      <c r="D71" s="210"/>
      <c r="E71" s="404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  <c r="AA71" s="210"/>
      <c r="AB71" s="210"/>
      <c r="AC71" s="210"/>
      <c r="AD71" s="210"/>
      <c r="AE71" s="210"/>
      <c r="AF71" s="210"/>
      <c r="AG71" s="210"/>
      <c r="AH71" s="210"/>
      <c r="AI71" s="210"/>
      <c r="AJ71"/>
      <c r="AK71"/>
      <c r="AL71"/>
      <c r="AM71"/>
      <c r="AN71"/>
      <c r="AO71"/>
      <c r="AP71"/>
      <c r="AQ71"/>
      <c r="AR71"/>
      <c r="AS71"/>
      <c r="AT71"/>
      <c r="AU71"/>
    </row>
    <row r="72" spans="1:47" s="408" customFormat="1" ht="16.5" customHeight="1">
      <c r="A72" s="210"/>
      <c r="B72" s="210"/>
      <c r="C72" s="210"/>
      <c r="D72" s="210"/>
      <c r="E72" s="404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  <c r="AA72" s="210"/>
      <c r="AB72" s="210"/>
      <c r="AC72" s="210"/>
      <c r="AD72" s="210"/>
      <c r="AE72" s="210"/>
      <c r="AF72" s="210"/>
      <c r="AG72" s="210"/>
      <c r="AH72" s="210"/>
      <c r="AI72" s="210"/>
      <c r="AJ72"/>
      <c r="AK72"/>
      <c r="AL72"/>
      <c r="AM72"/>
      <c r="AN72"/>
      <c r="AO72"/>
      <c r="AP72"/>
      <c r="AQ72"/>
      <c r="AR72"/>
      <c r="AS72"/>
      <c r="AT72"/>
      <c r="AU72"/>
    </row>
    <row r="73" spans="1:47" s="408" customFormat="1" ht="16.5" customHeight="1">
      <c r="A73" s="210"/>
      <c r="B73" s="210"/>
      <c r="C73" s="210"/>
      <c r="D73" s="210"/>
      <c r="E73" s="404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  <c r="AA73" s="210"/>
      <c r="AB73" s="210"/>
      <c r="AC73" s="210"/>
      <c r="AD73" s="210"/>
      <c r="AE73" s="210"/>
      <c r="AF73" s="210"/>
      <c r="AG73" s="210"/>
      <c r="AH73" s="210"/>
      <c r="AI73" s="210"/>
      <c r="AJ73"/>
      <c r="AK73"/>
      <c r="AL73"/>
      <c r="AM73"/>
      <c r="AN73"/>
      <c r="AO73"/>
      <c r="AP73"/>
      <c r="AQ73"/>
      <c r="AR73"/>
      <c r="AS73"/>
      <c r="AT73"/>
      <c r="AU73"/>
    </row>
    <row r="74" spans="1:47" s="408" customFormat="1" ht="16.5" customHeight="1">
      <c r="A74" s="210"/>
      <c r="B74" s="210"/>
      <c r="C74" s="210"/>
      <c r="D74" s="210"/>
      <c r="E74" s="404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  <c r="AA74" s="210"/>
      <c r="AB74" s="210"/>
      <c r="AC74" s="210"/>
      <c r="AD74" s="210"/>
      <c r="AE74" s="210"/>
      <c r="AF74" s="210"/>
      <c r="AG74" s="210"/>
      <c r="AH74" s="210"/>
      <c r="AI74" s="210"/>
      <c r="AJ74"/>
      <c r="AK74"/>
      <c r="AL74"/>
      <c r="AM74"/>
      <c r="AN74"/>
      <c r="AO74"/>
      <c r="AP74"/>
      <c r="AQ74"/>
      <c r="AR74"/>
      <c r="AS74"/>
      <c r="AT74"/>
      <c r="AU74"/>
    </row>
    <row r="75" spans="1:47" s="408" customFormat="1" ht="16.5" customHeight="1">
      <c r="A75" s="210"/>
      <c r="B75" s="210"/>
      <c r="C75" s="210"/>
      <c r="D75" s="210"/>
      <c r="E75" s="404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  <c r="AA75" s="210"/>
      <c r="AB75" s="210"/>
      <c r="AC75" s="210"/>
      <c r="AD75" s="210"/>
      <c r="AE75" s="210"/>
      <c r="AF75" s="210"/>
      <c r="AG75" s="210"/>
      <c r="AH75" s="210"/>
      <c r="AI75" s="210"/>
      <c r="AJ75"/>
      <c r="AK75"/>
      <c r="AL75"/>
      <c r="AM75"/>
      <c r="AN75"/>
      <c r="AO75"/>
      <c r="AP75"/>
      <c r="AQ75"/>
      <c r="AR75"/>
      <c r="AS75"/>
      <c r="AT75"/>
      <c r="AU75"/>
    </row>
    <row r="76" spans="1:47" s="408" customFormat="1" ht="16.5" customHeight="1">
      <c r="A76" s="210"/>
      <c r="B76" s="210"/>
      <c r="C76" s="210"/>
      <c r="D76" s="210"/>
      <c r="E76" s="404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  <c r="AA76" s="210"/>
      <c r="AB76" s="210"/>
      <c r="AC76" s="210"/>
      <c r="AD76" s="210"/>
      <c r="AE76" s="210"/>
      <c r="AF76" s="210"/>
      <c r="AG76" s="210"/>
      <c r="AH76" s="210"/>
      <c r="AI76" s="210"/>
      <c r="AJ76"/>
      <c r="AK76"/>
      <c r="AL76"/>
      <c r="AM76"/>
      <c r="AN76"/>
      <c r="AO76"/>
      <c r="AP76"/>
      <c r="AQ76"/>
      <c r="AR76"/>
      <c r="AS76"/>
      <c r="AT76"/>
      <c r="AU76"/>
    </row>
    <row r="77" spans="1:47" s="408" customFormat="1" ht="16.5" customHeight="1">
      <c r="A77" s="210"/>
      <c r="B77" s="210"/>
      <c r="C77" s="210"/>
      <c r="D77" s="210"/>
      <c r="E77" s="404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  <c r="AA77" s="210"/>
      <c r="AB77" s="210"/>
      <c r="AC77" s="210"/>
      <c r="AD77" s="210"/>
      <c r="AE77" s="210"/>
      <c r="AF77" s="210"/>
      <c r="AG77" s="210"/>
      <c r="AH77" s="210"/>
      <c r="AI77" s="210"/>
      <c r="AJ77"/>
      <c r="AK77"/>
      <c r="AL77"/>
      <c r="AM77"/>
      <c r="AN77"/>
      <c r="AO77"/>
      <c r="AP77"/>
      <c r="AQ77"/>
      <c r="AR77"/>
      <c r="AS77"/>
      <c r="AT77"/>
      <c r="AU77"/>
    </row>
    <row r="78" spans="1:47" s="408" customFormat="1" ht="16.5" customHeight="1">
      <c r="A78" s="210"/>
      <c r="B78" s="210"/>
      <c r="C78" s="210"/>
      <c r="D78" s="210"/>
      <c r="E78" s="404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  <c r="AA78" s="210"/>
      <c r="AB78" s="210"/>
      <c r="AC78" s="210"/>
      <c r="AD78" s="210"/>
      <c r="AE78" s="210"/>
      <c r="AF78" s="210"/>
      <c r="AG78" s="210"/>
      <c r="AH78" s="210"/>
      <c r="AI78" s="210"/>
      <c r="AJ78"/>
      <c r="AK78"/>
      <c r="AL78"/>
      <c r="AM78"/>
      <c r="AN78"/>
      <c r="AO78"/>
      <c r="AP78"/>
      <c r="AQ78"/>
      <c r="AR78"/>
      <c r="AS78"/>
      <c r="AT78"/>
      <c r="AU78"/>
    </row>
    <row r="79" spans="1:47" s="408" customFormat="1" ht="16.5" customHeight="1">
      <c r="A79" s="210"/>
      <c r="B79" s="210"/>
      <c r="C79" s="210"/>
      <c r="D79" s="210"/>
      <c r="E79" s="404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  <c r="AA79" s="210"/>
      <c r="AB79" s="210"/>
      <c r="AC79" s="210"/>
      <c r="AD79" s="210"/>
      <c r="AE79" s="210"/>
      <c r="AF79" s="210"/>
      <c r="AG79" s="210"/>
      <c r="AH79" s="210"/>
      <c r="AI79" s="210"/>
      <c r="AJ79"/>
      <c r="AK79"/>
      <c r="AL79"/>
      <c r="AM79"/>
      <c r="AN79"/>
      <c r="AO79"/>
      <c r="AP79"/>
      <c r="AQ79"/>
      <c r="AR79"/>
      <c r="AS79"/>
      <c r="AT79"/>
      <c r="AU79"/>
    </row>
    <row r="80" spans="1:47" s="408" customFormat="1" ht="16.5" customHeight="1">
      <c r="A80" s="210"/>
      <c r="B80" s="210"/>
      <c r="C80" s="210"/>
      <c r="D80" s="210"/>
      <c r="E80" s="404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  <c r="AA80" s="210"/>
      <c r="AB80" s="210"/>
      <c r="AC80" s="210"/>
      <c r="AD80" s="210"/>
      <c r="AE80" s="210"/>
      <c r="AF80" s="210"/>
      <c r="AG80" s="210"/>
      <c r="AH80" s="210"/>
      <c r="AI80" s="210"/>
      <c r="AJ80"/>
      <c r="AK80"/>
      <c r="AL80"/>
      <c r="AM80"/>
      <c r="AN80"/>
      <c r="AO80"/>
      <c r="AP80"/>
      <c r="AQ80"/>
      <c r="AR80"/>
      <c r="AS80"/>
      <c r="AT80"/>
      <c r="AU80"/>
    </row>
    <row r="81" spans="1:47" s="408" customFormat="1" ht="16.5" customHeight="1">
      <c r="A81" s="210"/>
      <c r="B81" s="210"/>
      <c r="C81" s="210"/>
      <c r="D81" s="210"/>
      <c r="E81" s="404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  <c r="AA81" s="210"/>
      <c r="AB81" s="210"/>
      <c r="AC81" s="210"/>
      <c r="AD81" s="210"/>
      <c r="AE81" s="210"/>
      <c r="AF81" s="210"/>
      <c r="AG81" s="210"/>
      <c r="AH81" s="210"/>
      <c r="AI81" s="210"/>
      <c r="AJ81"/>
      <c r="AK81"/>
      <c r="AL81"/>
      <c r="AM81"/>
      <c r="AN81"/>
      <c r="AO81"/>
      <c r="AP81"/>
      <c r="AQ81"/>
      <c r="AR81"/>
      <c r="AS81"/>
      <c r="AT81"/>
      <c r="AU81"/>
    </row>
    <row r="82" spans="1:47" s="408" customFormat="1" ht="16.5" customHeight="1">
      <c r="A82" s="210"/>
      <c r="B82" s="210"/>
      <c r="C82" s="210"/>
      <c r="D82" s="210"/>
      <c r="E82" s="404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  <c r="AA82" s="210"/>
      <c r="AB82" s="210"/>
      <c r="AC82" s="210"/>
      <c r="AD82" s="210"/>
      <c r="AE82" s="210"/>
      <c r="AF82" s="210"/>
      <c r="AG82" s="210"/>
      <c r="AH82" s="210"/>
      <c r="AI82" s="210"/>
      <c r="AJ82"/>
      <c r="AK82"/>
      <c r="AL82"/>
      <c r="AM82"/>
      <c r="AN82"/>
      <c r="AO82"/>
      <c r="AP82"/>
      <c r="AQ82"/>
      <c r="AR82"/>
      <c r="AS82"/>
      <c r="AT82"/>
      <c r="AU82"/>
    </row>
    <row r="83" spans="1:47" s="408" customFormat="1" ht="16.5" customHeight="1">
      <c r="A83" s="210"/>
      <c r="B83" s="210"/>
      <c r="C83" s="210"/>
      <c r="D83" s="210"/>
      <c r="E83" s="404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  <c r="AA83" s="210"/>
      <c r="AB83" s="210"/>
      <c r="AC83" s="210"/>
      <c r="AD83" s="210"/>
      <c r="AE83" s="210"/>
      <c r="AF83" s="210"/>
      <c r="AG83" s="210"/>
      <c r="AH83" s="210"/>
      <c r="AI83" s="210"/>
      <c r="AJ83"/>
      <c r="AK83"/>
      <c r="AL83"/>
      <c r="AM83"/>
      <c r="AN83"/>
      <c r="AO83"/>
      <c r="AP83"/>
      <c r="AQ83"/>
      <c r="AR83"/>
      <c r="AS83"/>
      <c r="AT83"/>
      <c r="AU83"/>
    </row>
    <row r="84" spans="1:47" s="408" customFormat="1" ht="16.5" customHeight="1">
      <c r="A84" s="210"/>
      <c r="B84" s="210"/>
      <c r="C84" s="210"/>
      <c r="D84" s="210"/>
      <c r="E84" s="404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  <c r="AA84" s="210"/>
      <c r="AB84" s="210"/>
      <c r="AC84" s="210"/>
      <c r="AD84" s="210"/>
      <c r="AE84" s="210"/>
      <c r="AF84" s="210"/>
      <c r="AG84" s="210"/>
      <c r="AH84" s="210"/>
      <c r="AI84" s="210"/>
      <c r="AJ84"/>
      <c r="AK84"/>
      <c r="AL84"/>
      <c r="AM84"/>
      <c r="AN84"/>
      <c r="AO84"/>
      <c r="AP84"/>
      <c r="AQ84"/>
      <c r="AR84"/>
      <c r="AS84"/>
      <c r="AT84"/>
      <c r="AU84"/>
    </row>
    <row r="85" spans="1:47" s="408" customFormat="1" ht="16.5" customHeight="1">
      <c r="A85" s="210"/>
      <c r="B85" s="210"/>
      <c r="C85" s="210"/>
      <c r="D85" s="210"/>
      <c r="E85" s="404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  <c r="AA85" s="210"/>
      <c r="AB85" s="210"/>
      <c r="AC85" s="210"/>
      <c r="AD85" s="210"/>
      <c r="AE85" s="210"/>
      <c r="AF85" s="210"/>
      <c r="AG85" s="210"/>
      <c r="AH85" s="210"/>
      <c r="AI85" s="210"/>
      <c r="AJ85"/>
      <c r="AK85"/>
      <c r="AL85"/>
      <c r="AM85"/>
      <c r="AN85"/>
      <c r="AO85"/>
      <c r="AP85"/>
      <c r="AQ85"/>
      <c r="AR85"/>
      <c r="AS85"/>
      <c r="AT85"/>
      <c r="AU85"/>
    </row>
    <row r="86" spans="1:47" s="408" customFormat="1" ht="16.5" customHeight="1">
      <c r="A86" s="210"/>
      <c r="B86" s="210"/>
      <c r="C86" s="210"/>
      <c r="D86" s="210"/>
      <c r="E86" s="404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  <c r="AA86" s="210"/>
      <c r="AB86" s="210"/>
      <c r="AC86" s="210"/>
      <c r="AD86" s="210"/>
      <c r="AE86" s="210"/>
      <c r="AF86" s="210"/>
      <c r="AG86" s="210"/>
      <c r="AH86" s="210"/>
      <c r="AI86" s="210"/>
      <c r="AJ86"/>
      <c r="AK86"/>
      <c r="AL86"/>
      <c r="AM86"/>
      <c r="AN86"/>
      <c r="AO86"/>
      <c r="AP86"/>
      <c r="AQ86"/>
      <c r="AR86"/>
      <c r="AS86"/>
      <c r="AT86"/>
      <c r="AU86"/>
    </row>
    <row r="87" spans="1:47" s="408" customFormat="1" ht="16.5" customHeight="1">
      <c r="A87" s="210"/>
      <c r="B87" s="210"/>
      <c r="C87" s="210"/>
      <c r="D87" s="210"/>
      <c r="E87" s="404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  <c r="AA87" s="210"/>
      <c r="AB87" s="210"/>
      <c r="AC87" s="210"/>
      <c r="AD87" s="210"/>
      <c r="AE87" s="210"/>
      <c r="AF87" s="210"/>
      <c r="AG87" s="210"/>
      <c r="AH87" s="210"/>
      <c r="AI87" s="210"/>
      <c r="AJ87"/>
      <c r="AK87"/>
      <c r="AL87"/>
      <c r="AM87"/>
      <c r="AN87"/>
      <c r="AO87"/>
      <c r="AP87"/>
      <c r="AQ87"/>
      <c r="AR87"/>
      <c r="AS87"/>
      <c r="AT87"/>
      <c r="AU87"/>
    </row>
    <row r="88" spans="1:47" s="408" customFormat="1" ht="16.5" customHeight="1">
      <c r="A88" s="210"/>
      <c r="B88" s="210"/>
      <c r="C88" s="210"/>
      <c r="D88" s="210"/>
      <c r="E88" s="404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  <c r="AA88" s="210"/>
      <c r="AB88" s="210"/>
      <c r="AC88" s="210"/>
      <c r="AD88" s="210"/>
      <c r="AE88" s="210"/>
      <c r="AF88" s="210"/>
      <c r="AG88" s="210"/>
      <c r="AH88" s="210"/>
      <c r="AI88" s="210"/>
      <c r="AJ88"/>
      <c r="AK88"/>
      <c r="AL88"/>
      <c r="AM88"/>
      <c r="AN88"/>
      <c r="AO88"/>
      <c r="AP88"/>
      <c r="AQ88"/>
      <c r="AR88"/>
      <c r="AS88"/>
      <c r="AT88"/>
      <c r="AU88"/>
    </row>
    <row r="89" spans="1:47" s="408" customFormat="1" ht="16.5" customHeight="1">
      <c r="A89" s="210"/>
      <c r="B89" s="210"/>
      <c r="C89" s="210"/>
      <c r="D89" s="210"/>
      <c r="E89" s="404"/>
      <c r="G89" s="210"/>
      <c r="H89" s="210"/>
      <c r="I89" s="210"/>
      <c r="J89" s="210"/>
      <c r="K89" s="210"/>
      <c r="L89" s="210"/>
      <c r="M89" s="210"/>
      <c r="N89" s="210"/>
      <c r="O89" s="210"/>
      <c r="P89" s="210"/>
      <c r="Q89" s="210"/>
      <c r="R89" s="210"/>
      <c r="S89" s="210"/>
      <c r="T89" s="210"/>
      <c r="U89" s="210"/>
      <c r="V89" s="210"/>
      <c r="W89" s="210"/>
      <c r="X89" s="210"/>
      <c r="Y89" s="210"/>
      <c r="Z89" s="210"/>
      <c r="AA89" s="210"/>
      <c r="AB89" s="210"/>
      <c r="AC89" s="210"/>
      <c r="AD89" s="210"/>
      <c r="AE89" s="210"/>
      <c r="AF89" s="210"/>
      <c r="AG89" s="210"/>
      <c r="AH89" s="210"/>
      <c r="AI89" s="210"/>
      <c r="AJ89"/>
      <c r="AK89"/>
      <c r="AL89"/>
      <c r="AM89"/>
      <c r="AN89"/>
      <c r="AO89"/>
      <c r="AP89"/>
      <c r="AQ89"/>
      <c r="AR89"/>
      <c r="AS89"/>
      <c r="AT89"/>
      <c r="AU89"/>
    </row>
    <row r="90" spans="1:47" s="408" customFormat="1" ht="16.5" customHeight="1">
      <c r="A90" s="210"/>
      <c r="B90" s="210"/>
      <c r="C90" s="210"/>
      <c r="D90" s="210"/>
      <c r="E90" s="404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210"/>
      <c r="Y90" s="210"/>
      <c r="Z90" s="210"/>
      <c r="AA90" s="210"/>
      <c r="AB90" s="210"/>
      <c r="AC90" s="210"/>
      <c r="AD90" s="210"/>
      <c r="AE90" s="210"/>
      <c r="AF90" s="210"/>
      <c r="AG90" s="210"/>
      <c r="AH90" s="210"/>
      <c r="AI90" s="210"/>
      <c r="AJ90"/>
      <c r="AK90"/>
      <c r="AL90"/>
      <c r="AM90"/>
      <c r="AN90"/>
      <c r="AO90"/>
      <c r="AP90"/>
      <c r="AQ90"/>
      <c r="AR90"/>
      <c r="AS90"/>
      <c r="AT90"/>
      <c r="AU90"/>
    </row>
    <row r="91" spans="1:47" s="408" customFormat="1" ht="16.5" customHeight="1">
      <c r="A91" s="210"/>
      <c r="B91" s="210"/>
      <c r="C91" s="210"/>
      <c r="D91" s="210"/>
      <c r="E91" s="404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210"/>
      <c r="Y91" s="210"/>
      <c r="Z91" s="210"/>
      <c r="AA91" s="210"/>
      <c r="AB91" s="210"/>
      <c r="AC91" s="210"/>
      <c r="AD91" s="210"/>
      <c r="AE91" s="210"/>
      <c r="AF91" s="210"/>
      <c r="AG91" s="210"/>
      <c r="AH91" s="210"/>
      <c r="AI91" s="210"/>
      <c r="AJ91"/>
      <c r="AK91"/>
      <c r="AL91"/>
      <c r="AM91"/>
      <c r="AN91"/>
      <c r="AO91"/>
      <c r="AP91"/>
      <c r="AQ91"/>
      <c r="AR91"/>
      <c r="AS91"/>
      <c r="AT91"/>
      <c r="AU91"/>
    </row>
    <row r="92" spans="1:47" s="408" customFormat="1" ht="16.5" customHeight="1">
      <c r="A92" s="210"/>
      <c r="B92" s="210"/>
      <c r="C92" s="210"/>
      <c r="D92" s="210"/>
      <c r="E92" s="404"/>
      <c r="G92" s="210"/>
      <c r="H92" s="210"/>
      <c r="I92" s="210"/>
      <c r="J92" s="210"/>
      <c r="K92" s="210"/>
      <c r="L92" s="210"/>
      <c r="M92" s="210"/>
      <c r="N92" s="210"/>
      <c r="O92" s="210"/>
      <c r="P92" s="210"/>
      <c r="Q92" s="210"/>
      <c r="R92" s="210"/>
      <c r="S92" s="210"/>
      <c r="T92" s="210"/>
      <c r="U92" s="210"/>
      <c r="V92" s="210"/>
      <c r="W92" s="210"/>
      <c r="X92" s="210"/>
      <c r="Y92" s="210"/>
      <c r="Z92" s="210"/>
      <c r="AA92" s="210"/>
      <c r="AB92" s="210"/>
      <c r="AC92" s="210"/>
      <c r="AD92" s="210"/>
      <c r="AE92" s="210"/>
      <c r="AF92" s="210"/>
      <c r="AG92" s="210"/>
      <c r="AH92" s="210"/>
      <c r="AI92" s="210"/>
      <c r="AJ92"/>
      <c r="AK92"/>
      <c r="AL92"/>
      <c r="AM92"/>
      <c r="AN92"/>
      <c r="AO92"/>
      <c r="AP92"/>
      <c r="AQ92"/>
      <c r="AR92"/>
      <c r="AS92"/>
      <c r="AT92"/>
      <c r="AU92"/>
    </row>
    <row r="93" spans="1:47" s="408" customFormat="1" ht="16.5" customHeight="1">
      <c r="A93" s="210"/>
      <c r="B93" s="210"/>
      <c r="C93" s="210"/>
      <c r="D93" s="210"/>
      <c r="E93" s="404"/>
      <c r="G93" s="210"/>
      <c r="H93" s="210"/>
      <c r="I93" s="210"/>
      <c r="J93" s="210"/>
      <c r="K93" s="210"/>
      <c r="L93" s="210"/>
      <c r="M93" s="210"/>
      <c r="N93" s="210"/>
      <c r="O93" s="210"/>
      <c r="P93" s="210"/>
      <c r="Q93" s="210"/>
      <c r="R93" s="210"/>
      <c r="S93" s="210"/>
      <c r="T93" s="210"/>
      <c r="U93" s="210"/>
      <c r="V93" s="210"/>
      <c r="W93" s="210"/>
      <c r="X93" s="210"/>
      <c r="Y93" s="210"/>
      <c r="Z93" s="210"/>
      <c r="AA93" s="210"/>
      <c r="AB93" s="210"/>
      <c r="AC93" s="210"/>
      <c r="AD93" s="210"/>
      <c r="AE93" s="210"/>
      <c r="AF93" s="210"/>
      <c r="AG93" s="210"/>
      <c r="AH93" s="210"/>
      <c r="AI93" s="210"/>
      <c r="AJ93"/>
      <c r="AK93"/>
      <c r="AL93"/>
      <c r="AM93"/>
      <c r="AN93"/>
      <c r="AO93"/>
      <c r="AP93"/>
      <c r="AQ93"/>
      <c r="AR93"/>
      <c r="AS93"/>
      <c r="AT93"/>
      <c r="AU93"/>
    </row>
    <row r="94" spans="1:47" s="408" customFormat="1" ht="16.5" customHeight="1">
      <c r="A94" s="210"/>
      <c r="B94" s="210"/>
      <c r="C94" s="210"/>
      <c r="D94" s="210"/>
      <c r="E94" s="404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210"/>
      <c r="Y94" s="210"/>
      <c r="Z94" s="210"/>
      <c r="AA94" s="210"/>
      <c r="AB94" s="210"/>
      <c r="AC94" s="210"/>
      <c r="AD94" s="210"/>
      <c r="AE94" s="210"/>
      <c r="AF94" s="210"/>
      <c r="AG94" s="210"/>
      <c r="AH94" s="210"/>
      <c r="AI94" s="210"/>
      <c r="AJ94"/>
      <c r="AK94"/>
      <c r="AL94"/>
      <c r="AM94"/>
      <c r="AN94"/>
      <c r="AO94"/>
      <c r="AP94"/>
      <c r="AQ94"/>
      <c r="AR94"/>
      <c r="AS94"/>
      <c r="AT94"/>
      <c r="AU94"/>
    </row>
    <row r="95" spans="1:47" s="408" customFormat="1" ht="16.5" customHeight="1">
      <c r="A95" s="210"/>
      <c r="B95" s="210"/>
      <c r="C95" s="210"/>
      <c r="D95" s="210"/>
      <c r="E95" s="404"/>
      <c r="G95" s="210"/>
      <c r="H95" s="210"/>
      <c r="I95" s="210"/>
      <c r="J95" s="210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  <c r="AA95" s="210"/>
      <c r="AB95" s="210"/>
      <c r="AC95" s="210"/>
      <c r="AD95" s="210"/>
      <c r="AE95" s="210"/>
      <c r="AF95" s="210"/>
      <c r="AG95" s="210"/>
      <c r="AH95" s="210"/>
      <c r="AI95" s="210"/>
      <c r="AJ95"/>
      <c r="AK95"/>
      <c r="AL95"/>
      <c r="AM95"/>
      <c r="AN95"/>
      <c r="AO95"/>
      <c r="AP95"/>
      <c r="AQ95"/>
      <c r="AR95"/>
      <c r="AS95"/>
      <c r="AT95"/>
      <c r="AU95"/>
    </row>
    <row r="96" spans="1:47" s="408" customFormat="1" ht="16.5" customHeight="1">
      <c r="A96" s="210"/>
      <c r="B96" s="210"/>
      <c r="C96" s="210"/>
      <c r="D96" s="210"/>
      <c r="E96" s="404"/>
      <c r="G96" s="210"/>
      <c r="H96" s="210"/>
      <c r="I96" s="210"/>
      <c r="J96" s="210"/>
      <c r="K96" s="210"/>
      <c r="L96" s="210"/>
      <c r="M96" s="210"/>
      <c r="N96" s="210"/>
      <c r="O96" s="210"/>
      <c r="P96" s="210"/>
      <c r="Q96" s="210"/>
      <c r="R96" s="210"/>
      <c r="S96" s="210"/>
      <c r="T96" s="210"/>
      <c r="U96" s="210"/>
      <c r="V96" s="210"/>
      <c r="W96" s="210"/>
      <c r="X96" s="210"/>
      <c r="Y96" s="210"/>
      <c r="Z96" s="210"/>
      <c r="AA96" s="210"/>
      <c r="AB96" s="210"/>
      <c r="AC96" s="210"/>
      <c r="AD96" s="210"/>
      <c r="AE96" s="210"/>
      <c r="AF96" s="210"/>
      <c r="AG96" s="210"/>
      <c r="AH96" s="210"/>
      <c r="AI96" s="210"/>
      <c r="AJ96"/>
      <c r="AK96"/>
      <c r="AL96"/>
      <c r="AM96"/>
      <c r="AN96"/>
      <c r="AO96"/>
      <c r="AP96"/>
      <c r="AQ96"/>
      <c r="AR96"/>
      <c r="AS96"/>
      <c r="AT96"/>
      <c r="AU96"/>
    </row>
    <row r="97" spans="1:47" s="408" customFormat="1" ht="16.5" customHeight="1">
      <c r="A97" s="210"/>
      <c r="B97" s="210"/>
      <c r="C97" s="210"/>
      <c r="D97" s="210"/>
      <c r="E97" s="404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210"/>
      <c r="Y97" s="210"/>
      <c r="Z97" s="210"/>
      <c r="AA97" s="210"/>
      <c r="AB97" s="210"/>
      <c r="AC97" s="210"/>
      <c r="AD97" s="210"/>
      <c r="AE97" s="210"/>
      <c r="AF97" s="210"/>
      <c r="AG97" s="210"/>
      <c r="AH97" s="210"/>
      <c r="AI97" s="210"/>
      <c r="AJ97"/>
      <c r="AK97"/>
      <c r="AL97"/>
      <c r="AM97"/>
      <c r="AN97"/>
      <c r="AO97"/>
      <c r="AP97"/>
      <c r="AQ97"/>
      <c r="AR97"/>
      <c r="AS97"/>
      <c r="AT97"/>
      <c r="AU97"/>
    </row>
    <row r="98" spans="1:47" s="408" customFormat="1" ht="16.5" customHeight="1">
      <c r="A98" s="210"/>
      <c r="B98" s="210"/>
      <c r="C98" s="210"/>
      <c r="D98" s="210"/>
      <c r="E98" s="404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210"/>
      <c r="Y98" s="210"/>
      <c r="Z98" s="210"/>
      <c r="AA98" s="210"/>
      <c r="AB98" s="210"/>
      <c r="AC98" s="210"/>
      <c r="AD98" s="210"/>
      <c r="AE98" s="210"/>
      <c r="AF98" s="210"/>
      <c r="AG98" s="210"/>
      <c r="AH98" s="210"/>
      <c r="AI98" s="210"/>
      <c r="AJ98"/>
      <c r="AK98"/>
      <c r="AL98"/>
      <c r="AM98"/>
      <c r="AN98"/>
      <c r="AO98"/>
      <c r="AP98"/>
      <c r="AQ98"/>
      <c r="AR98"/>
      <c r="AS98"/>
      <c r="AT98"/>
      <c r="AU98"/>
    </row>
    <row r="99" spans="1:47" s="408" customFormat="1" ht="16.5" customHeight="1">
      <c r="A99" s="210"/>
      <c r="B99" s="210"/>
      <c r="C99" s="210"/>
      <c r="D99" s="210"/>
      <c r="E99" s="404"/>
      <c r="G99" s="210"/>
      <c r="H99" s="210"/>
      <c r="I99" s="210"/>
      <c r="J99" s="210"/>
      <c r="K99" s="210"/>
      <c r="L99" s="210"/>
      <c r="M99" s="210"/>
      <c r="N99" s="210"/>
      <c r="O99" s="210"/>
      <c r="P99" s="210"/>
      <c r="Q99" s="210"/>
      <c r="R99" s="210"/>
      <c r="S99" s="210"/>
      <c r="T99" s="210"/>
      <c r="U99" s="210"/>
      <c r="V99" s="210"/>
      <c r="W99" s="210"/>
      <c r="X99" s="210"/>
      <c r="Y99" s="210"/>
      <c r="Z99" s="210"/>
      <c r="AA99" s="210"/>
      <c r="AB99" s="210"/>
      <c r="AC99" s="210"/>
      <c r="AD99" s="210"/>
      <c r="AE99" s="210"/>
      <c r="AF99" s="210"/>
      <c r="AG99" s="210"/>
      <c r="AH99" s="210"/>
      <c r="AI99" s="210"/>
      <c r="AJ99"/>
      <c r="AK99"/>
      <c r="AL99"/>
      <c r="AM99"/>
      <c r="AN99"/>
      <c r="AO99"/>
      <c r="AP99"/>
      <c r="AQ99"/>
      <c r="AR99"/>
      <c r="AS99"/>
      <c r="AT99"/>
      <c r="AU99"/>
    </row>
    <row r="100" spans="1:47" s="408" customFormat="1" ht="16.5" customHeight="1">
      <c r="A100" s="210"/>
      <c r="B100" s="210"/>
      <c r="C100" s="210"/>
      <c r="D100" s="210"/>
      <c r="E100" s="404"/>
      <c r="G100" s="210"/>
      <c r="H100" s="210"/>
      <c r="I100" s="210"/>
      <c r="J100" s="210"/>
      <c r="K100" s="210"/>
      <c r="L100" s="210"/>
      <c r="M100" s="210"/>
      <c r="N100" s="210"/>
      <c r="O100" s="210"/>
      <c r="P100" s="210"/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  <c r="AA100" s="210"/>
      <c r="AB100" s="210"/>
      <c r="AC100" s="210"/>
      <c r="AD100" s="210"/>
      <c r="AE100" s="210"/>
      <c r="AF100" s="210"/>
      <c r="AG100" s="210"/>
      <c r="AH100" s="210"/>
      <c r="AI100" s="210"/>
      <c r="AJ100"/>
      <c r="AK100"/>
      <c r="AL100"/>
      <c r="AM100"/>
      <c r="AN100"/>
      <c r="AO100"/>
      <c r="AP100"/>
      <c r="AQ100"/>
      <c r="AR100"/>
      <c r="AS100"/>
      <c r="AT100"/>
      <c r="AU100"/>
    </row>
    <row r="101" spans="1:47" s="408" customFormat="1" ht="16.5" customHeight="1">
      <c r="A101" s="210"/>
      <c r="B101" s="210"/>
      <c r="C101" s="210"/>
      <c r="D101" s="210"/>
      <c r="E101" s="404"/>
      <c r="G101" s="210"/>
      <c r="H101" s="210"/>
      <c r="I101" s="210"/>
      <c r="J101" s="210"/>
      <c r="K101" s="210"/>
      <c r="L101" s="210"/>
      <c r="M101" s="210"/>
      <c r="N101" s="210"/>
      <c r="O101" s="210"/>
      <c r="P101" s="210"/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  <c r="AA101" s="210"/>
      <c r="AB101" s="210"/>
      <c r="AC101" s="210"/>
      <c r="AD101" s="210"/>
      <c r="AE101" s="210"/>
      <c r="AF101" s="210"/>
      <c r="AG101" s="210"/>
      <c r="AH101" s="210"/>
      <c r="AI101" s="210"/>
      <c r="AJ101"/>
      <c r="AK101"/>
      <c r="AL101"/>
      <c r="AM101"/>
      <c r="AN101"/>
      <c r="AO101"/>
      <c r="AP101"/>
      <c r="AQ101"/>
      <c r="AR101"/>
      <c r="AS101"/>
      <c r="AT101"/>
      <c r="AU101"/>
    </row>
    <row r="102" spans="1:47" s="408" customFormat="1" ht="16.5" customHeight="1">
      <c r="A102" s="210"/>
      <c r="B102" s="210"/>
      <c r="C102" s="210"/>
      <c r="D102" s="210"/>
      <c r="E102" s="404"/>
      <c r="G102" s="210"/>
      <c r="H102" s="210"/>
      <c r="I102" s="210"/>
      <c r="J102" s="210"/>
      <c r="K102" s="210"/>
      <c r="L102" s="210"/>
      <c r="M102" s="210"/>
      <c r="N102" s="210"/>
      <c r="O102" s="210"/>
      <c r="P102" s="210"/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  <c r="AA102" s="210"/>
      <c r="AB102" s="210"/>
      <c r="AC102" s="210"/>
      <c r="AD102" s="210"/>
      <c r="AE102" s="210"/>
      <c r="AF102" s="210"/>
      <c r="AG102" s="210"/>
      <c r="AH102" s="210"/>
      <c r="AI102" s="210"/>
      <c r="AJ102"/>
      <c r="AK102"/>
      <c r="AL102"/>
      <c r="AM102"/>
      <c r="AN102"/>
      <c r="AO102"/>
      <c r="AP102"/>
      <c r="AQ102"/>
      <c r="AR102"/>
      <c r="AS102"/>
      <c r="AT102"/>
      <c r="AU102"/>
    </row>
    <row r="103" spans="1:47" s="408" customFormat="1" ht="16.5" customHeight="1">
      <c r="A103" s="210"/>
      <c r="B103" s="210"/>
      <c r="C103" s="210"/>
      <c r="D103" s="210"/>
      <c r="E103" s="404"/>
      <c r="G103" s="210"/>
      <c r="H103" s="210"/>
      <c r="I103" s="210"/>
      <c r="J103" s="210"/>
      <c r="K103" s="210"/>
      <c r="L103" s="210"/>
      <c r="M103" s="210"/>
      <c r="N103" s="210"/>
      <c r="O103" s="210"/>
      <c r="P103" s="210"/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  <c r="AA103" s="210"/>
      <c r="AB103" s="210"/>
      <c r="AC103" s="210"/>
      <c r="AD103" s="210"/>
      <c r="AE103" s="210"/>
      <c r="AF103" s="210"/>
      <c r="AG103" s="210"/>
      <c r="AH103" s="210"/>
      <c r="AI103" s="210"/>
      <c r="AJ103"/>
      <c r="AK103"/>
      <c r="AL103"/>
      <c r="AM103"/>
      <c r="AN103"/>
      <c r="AO103"/>
      <c r="AP103"/>
      <c r="AQ103"/>
      <c r="AR103"/>
      <c r="AS103"/>
      <c r="AT103"/>
      <c r="AU103"/>
    </row>
    <row r="104" spans="1:47" s="408" customFormat="1" ht="16.5" customHeight="1">
      <c r="A104" s="210"/>
      <c r="B104" s="210"/>
      <c r="C104" s="210"/>
      <c r="D104" s="210"/>
      <c r="E104" s="404"/>
      <c r="G104" s="210"/>
      <c r="H104" s="210"/>
      <c r="I104" s="210"/>
      <c r="J104" s="210"/>
      <c r="K104" s="210"/>
      <c r="L104" s="210"/>
      <c r="M104" s="210"/>
      <c r="N104" s="210"/>
      <c r="O104" s="210"/>
      <c r="P104" s="210"/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  <c r="AA104" s="210"/>
      <c r="AB104" s="210"/>
      <c r="AC104" s="210"/>
      <c r="AD104" s="210"/>
      <c r="AE104" s="210"/>
      <c r="AF104" s="210"/>
      <c r="AG104" s="210"/>
      <c r="AH104" s="210"/>
      <c r="AI104" s="210"/>
      <c r="AJ104"/>
      <c r="AK104"/>
      <c r="AL104"/>
      <c r="AM104"/>
      <c r="AN104"/>
      <c r="AO104"/>
      <c r="AP104"/>
      <c r="AQ104"/>
      <c r="AR104"/>
      <c r="AS104"/>
      <c r="AT104"/>
      <c r="AU104"/>
    </row>
    <row r="105" spans="1:47" s="408" customFormat="1" ht="16.5" customHeight="1">
      <c r="A105" s="210"/>
      <c r="B105" s="210"/>
      <c r="C105" s="210"/>
      <c r="D105" s="210"/>
      <c r="E105" s="404"/>
      <c r="G105" s="210"/>
      <c r="H105" s="210"/>
      <c r="I105" s="210"/>
      <c r="J105" s="210"/>
      <c r="K105" s="210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0"/>
      <c r="AG105" s="210"/>
      <c r="AH105" s="210"/>
      <c r="AI105" s="210"/>
      <c r="AJ105"/>
      <c r="AK105"/>
      <c r="AL105"/>
      <c r="AM105"/>
      <c r="AN105"/>
      <c r="AO105"/>
      <c r="AP105"/>
      <c r="AQ105"/>
      <c r="AR105"/>
      <c r="AS105"/>
      <c r="AT105"/>
      <c r="AU105"/>
    </row>
    <row r="106" spans="1:47" s="408" customFormat="1" ht="16.5" customHeight="1">
      <c r="A106" s="210"/>
      <c r="B106" s="210"/>
      <c r="C106" s="210"/>
      <c r="D106" s="210"/>
      <c r="E106" s="404"/>
      <c r="G106" s="210"/>
      <c r="H106" s="210"/>
      <c r="I106" s="210"/>
      <c r="J106" s="210"/>
      <c r="K106" s="210"/>
      <c r="L106" s="210"/>
      <c r="M106" s="210"/>
      <c r="N106" s="210"/>
      <c r="O106" s="210"/>
      <c r="P106" s="210"/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  <c r="AA106" s="210"/>
      <c r="AB106" s="210"/>
      <c r="AC106" s="210"/>
      <c r="AD106" s="210"/>
      <c r="AE106" s="210"/>
      <c r="AF106" s="210"/>
      <c r="AG106" s="210"/>
      <c r="AH106" s="210"/>
      <c r="AI106" s="210"/>
      <c r="AJ106"/>
      <c r="AK106"/>
      <c r="AL106"/>
      <c r="AM106"/>
      <c r="AN106"/>
      <c r="AO106"/>
      <c r="AP106"/>
      <c r="AQ106"/>
      <c r="AR106"/>
      <c r="AS106"/>
      <c r="AT106"/>
      <c r="AU106"/>
    </row>
    <row r="107" spans="1:47" s="408" customFormat="1" ht="16.5" customHeight="1">
      <c r="A107" s="210"/>
      <c r="B107" s="210"/>
      <c r="C107" s="210"/>
      <c r="D107" s="210"/>
      <c r="E107" s="404"/>
      <c r="G107" s="210"/>
      <c r="H107" s="210"/>
      <c r="I107" s="210"/>
      <c r="J107" s="210"/>
      <c r="K107" s="210"/>
      <c r="L107" s="210"/>
      <c r="M107" s="210"/>
      <c r="N107" s="210"/>
      <c r="O107" s="210"/>
      <c r="P107" s="210"/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  <c r="AA107" s="210"/>
      <c r="AB107" s="210"/>
      <c r="AC107" s="210"/>
      <c r="AD107" s="210"/>
      <c r="AE107" s="210"/>
      <c r="AF107" s="210"/>
      <c r="AG107" s="210"/>
      <c r="AH107" s="210"/>
      <c r="AI107" s="210"/>
      <c r="AJ107"/>
      <c r="AK107"/>
      <c r="AL107"/>
      <c r="AM107"/>
      <c r="AN107"/>
      <c r="AO107"/>
      <c r="AP107"/>
      <c r="AQ107"/>
      <c r="AR107"/>
      <c r="AS107"/>
      <c r="AT107"/>
      <c r="AU107"/>
    </row>
    <row r="108" spans="1:47" s="408" customFormat="1" ht="16.5" customHeight="1">
      <c r="A108" s="210"/>
      <c r="B108" s="210"/>
      <c r="C108" s="210"/>
      <c r="D108" s="210"/>
      <c r="E108" s="404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  <c r="AA108" s="210"/>
      <c r="AB108" s="210"/>
      <c r="AC108" s="210"/>
      <c r="AD108" s="210"/>
      <c r="AE108" s="210"/>
      <c r="AF108" s="210"/>
      <c r="AG108" s="210"/>
      <c r="AH108" s="210"/>
      <c r="AI108" s="210"/>
      <c r="AJ108"/>
      <c r="AK108"/>
      <c r="AL108"/>
      <c r="AM108"/>
      <c r="AN108"/>
      <c r="AO108"/>
      <c r="AP108"/>
      <c r="AQ108"/>
      <c r="AR108"/>
      <c r="AS108"/>
      <c r="AT108"/>
      <c r="AU108"/>
    </row>
    <row r="109" spans="1:47" s="408" customFormat="1" ht="16.5" customHeight="1">
      <c r="A109" s="210"/>
      <c r="B109" s="210"/>
      <c r="C109" s="210"/>
      <c r="D109" s="210"/>
      <c r="E109" s="404"/>
      <c r="G109" s="210"/>
      <c r="H109" s="210"/>
      <c r="I109" s="210"/>
      <c r="J109" s="210"/>
      <c r="K109" s="210"/>
      <c r="L109" s="210"/>
      <c r="M109" s="210"/>
      <c r="N109" s="210"/>
      <c r="O109" s="210"/>
      <c r="P109" s="210"/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  <c r="AA109" s="210"/>
      <c r="AB109" s="210"/>
      <c r="AC109" s="210"/>
      <c r="AD109" s="210"/>
      <c r="AE109" s="210"/>
      <c r="AF109" s="210"/>
      <c r="AG109" s="210"/>
      <c r="AH109" s="210"/>
      <c r="AI109" s="210"/>
      <c r="AJ109"/>
      <c r="AK109"/>
      <c r="AL109"/>
      <c r="AM109"/>
      <c r="AN109"/>
      <c r="AO109"/>
      <c r="AP109"/>
      <c r="AQ109"/>
      <c r="AR109"/>
      <c r="AS109"/>
      <c r="AT109"/>
      <c r="AU109"/>
    </row>
    <row r="110" spans="1:47" s="408" customFormat="1" ht="16.5" customHeight="1">
      <c r="A110" s="210"/>
      <c r="B110" s="210"/>
      <c r="C110" s="210"/>
      <c r="D110" s="210"/>
      <c r="E110" s="404"/>
      <c r="G110" s="210"/>
      <c r="H110" s="210"/>
      <c r="I110" s="210"/>
      <c r="J110" s="210"/>
      <c r="K110" s="210"/>
      <c r="L110" s="210"/>
      <c r="M110" s="210"/>
      <c r="N110" s="210"/>
      <c r="O110" s="210"/>
      <c r="P110" s="210"/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  <c r="AA110" s="210"/>
      <c r="AB110" s="210"/>
      <c r="AC110" s="210"/>
      <c r="AD110" s="210"/>
      <c r="AE110" s="210"/>
      <c r="AF110" s="210"/>
      <c r="AG110" s="210"/>
      <c r="AH110" s="210"/>
      <c r="AI110" s="210"/>
      <c r="AJ110"/>
      <c r="AK110"/>
      <c r="AL110"/>
      <c r="AM110"/>
      <c r="AN110"/>
      <c r="AO110"/>
      <c r="AP110"/>
      <c r="AQ110"/>
      <c r="AR110"/>
      <c r="AS110"/>
      <c r="AT110"/>
      <c r="AU110"/>
    </row>
    <row r="111" spans="1:47" s="408" customFormat="1" ht="16.5" customHeight="1">
      <c r="A111" s="210"/>
      <c r="B111" s="210"/>
      <c r="C111" s="210"/>
      <c r="D111" s="210"/>
      <c r="E111" s="404"/>
      <c r="G111" s="210"/>
      <c r="H111" s="210"/>
      <c r="I111" s="210"/>
      <c r="J111" s="210"/>
      <c r="K111" s="210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  <c r="AA111" s="210"/>
      <c r="AB111" s="210"/>
      <c r="AC111" s="210"/>
      <c r="AD111" s="210"/>
      <c r="AE111" s="210"/>
      <c r="AF111" s="210"/>
      <c r="AG111" s="210"/>
      <c r="AH111" s="210"/>
      <c r="AI111" s="210"/>
      <c r="AJ111"/>
      <c r="AK111"/>
      <c r="AL111"/>
      <c r="AM111"/>
      <c r="AN111"/>
      <c r="AO111"/>
      <c r="AP111"/>
      <c r="AQ111"/>
      <c r="AR111"/>
      <c r="AS111"/>
      <c r="AT111"/>
      <c r="AU111"/>
    </row>
    <row r="112" spans="1:47" s="408" customFormat="1" ht="16.5" customHeight="1">
      <c r="A112" s="210"/>
      <c r="B112" s="210"/>
      <c r="C112" s="210"/>
      <c r="D112" s="210"/>
      <c r="E112" s="404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  <c r="AA112" s="210"/>
      <c r="AB112" s="210"/>
      <c r="AC112" s="210"/>
      <c r="AD112" s="210"/>
      <c r="AE112" s="210"/>
      <c r="AF112" s="210"/>
      <c r="AG112" s="210"/>
      <c r="AH112" s="210"/>
      <c r="AI112" s="210"/>
      <c r="AJ112"/>
      <c r="AK112"/>
      <c r="AL112"/>
      <c r="AM112"/>
      <c r="AN112"/>
      <c r="AO112"/>
      <c r="AP112"/>
      <c r="AQ112"/>
      <c r="AR112"/>
      <c r="AS112"/>
      <c r="AT112"/>
      <c r="AU112"/>
    </row>
    <row r="113" spans="1:47" s="408" customFormat="1" ht="16.5" customHeight="1">
      <c r="A113" s="210"/>
      <c r="B113" s="210"/>
      <c r="C113" s="210"/>
      <c r="D113" s="210"/>
      <c r="E113" s="404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  <c r="AA113" s="210"/>
      <c r="AB113" s="210"/>
      <c r="AC113" s="210"/>
      <c r="AD113" s="210"/>
      <c r="AE113" s="210"/>
      <c r="AF113" s="210"/>
      <c r="AG113" s="210"/>
      <c r="AH113" s="210"/>
      <c r="AI113" s="210"/>
      <c r="AJ113"/>
      <c r="AK113"/>
      <c r="AL113"/>
      <c r="AM113"/>
      <c r="AN113"/>
      <c r="AO113"/>
      <c r="AP113"/>
      <c r="AQ113"/>
      <c r="AR113"/>
      <c r="AS113"/>
      <c r="AT113"/>
      <c r="AU113"/>
    </row>
    <row r="114" spans="1:47" s="408" customFormat="1" ht="16.5" customHeight="1">
      <c r="A114" s="210"/>
      <c r="B114" s="210"/>
      <c r="C114" s="210"/>
      <c r="D114" s="210"/>
      <c r="E114" s="404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  <c r="AA114" s="210"/>
      <c r="AB114" s="210"/>
      <c r="AC114" s="210"/>
      <c r="AD114" s="210"/>
      <c r="AE114" s="210"/>
      <c r="AF114" s="210"/>
      <c r="AG114" s="210"/>
      <c r="AH114" s="210"/>
      <c r="AI114" s="210"/>
      <c r="AJ114"/>
      <c r="AK114"/>
      <c r="AL114"/>
      <c r="AM114"/>
      <c r="AN114"/>
      <c r="AO114"/>
      <c r="AP114"/>
      <c r="AQ114"/>
      <c r="AR114"/>
      <c r="AS114"/>
      <c r="AT114"/>
      <c r="AU114"/>
    </row>
    <row r="115" spans="1:47" s="408" customFormat="1" ht="16.5" customHeight="1">
      <c r="A115" s="210"/>
      <c r="B115" s="210"/>
      <c r="C115" s="210"/>
      <c r="D115" s="210"/>
      <c r="E115" s="404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  <c r="AA115" s="210"/>
      <c r="AB115" s="210"/>
      <c r="AC115" s="210"/>
      <c r="AD115" s="210"/>
      <c r="AE115" s="210"/>
      <c r="AF115" s="210"/>
      <c r="AG115" s="210"/>
      <c r="AH115" s="210"/>
      <c r="AI115" s="210"/>
      <c r="AJ115"/>
      <c r="AK115"/>
      <c r="AL115"/>
      <c r="AM115"/>
      <c r="AN115"/>
      <c r="AO115"/>
      <c r="AP115"/>
      <c r="AQ115"/>
      <c r="AR115"/>
      <c r="AS115"/>
      <c r="AT115"/>
      <c r="AU115"/>
    </row>
    <row r="116" spans="1:47" s="408" customFormat="1" ht="16.5" customHeight="1">
      <c r="A116" s="210"/>
      <c r="B116" s="210"/>
      <c r="C116" s="210"/>
      <c r="D116" s="210"/>
      <c r="E116" s="404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  <c r="AA116" s="210"/>
      <c r="AB116" s="210"/>
      <c r="AC116" s="210"/>
      <c r="AD116" s="210"/>
      <c r="AE116" s="210"/>
      <c r="AF116" s="210"/>
      <c r="AG116" s="210"/>
      <c r="AH116" s="210"/>
      <c r="AI116" s="210"/>
      <c r="AJ116"/>
      <c r="AK116"/>
      <c r="AL116"/>
      <c r="AM116"/>
      <c r="AN116"/>
      <c r="AO116"/>
      <c r="AP116"/>
      <c r="AQ116"/>
      <c r="AR116"/>
      <c r="AS116"/>
      <c r="AT116"/>
      <c r="AU116"/>
    </row>
    <row r="117" spans="1:47" s="408" customFormat="1" ht="16.5" customHeight="1">
      <c r="A117" s="210"/>
      <c r="B117" s="210"/>
      <c r="C117" s="210"/>
      <c r="D117" s="210"/>
      <c r="E117" s="404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  <c r="AA117" s="210"/>
      <c r="AB117" s="210"/>
      <c r="AC117" s="210"/>
      <c r="AD117" s="210"/>
      <c r="AE117" s="210"/>
      <c r="AF117" s="210"/>
      <c r="AG117" s="210"/>
      <c r="AH117" s="210"/>
      <c r="AI117" s="210"/>
      <c r="AJ117"/>
      <c r="AK117"/>
      <c r="AL117"/>
      <c r="AM117"/>
      <c r="AN117"/>
      <c r="AO117"/>
      <c r="AP117"/>
      <c r="AQ117"/>
      <c r="AR117"/>
      <c r="AS117"/>
      <c r="AT117"/>
      <c r="AU117"/>
    </row>
    <row r="118" spans="1:47" s="408" customFormat="1" ht="16.5" customHeight="1">
      <c r="A118" s="210"/>
      <c r="B118" s="210"/>
      <c r="C118" s="210"/>
      <c r="D118" s="210"/>
      <c r="E118" s="404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  <c r="AA118" s="210"/>
      <c r="AB118" s="210"/>
      <c r="AC118" s="210"/>
      <c r="AD118" s="210"/>
      <c r="AE118" s="210"/>
      <c r="AF118" s="210"/>
      <c r="AG118" s="210"/>
      <c r="AH118" s="210"/>
      <c r="AI118" s="210"/>
      <c r="AJ118"/>
      <c r="AK118"/>
      <c r="AL118"/>
      <c r="AM118"/>
      <c r="AN118"/>
      <c r="AO118"/>
      <c r="AP118"/>
      <c r="AQ118"/>
      <c r="AR118"/>
      <c r="AS118"/>
      <c r="AT118"/>
      <c r="AU118"/>
    </row>
    <row r="119" spans="1:47" s="408" customFormat="1" ht="16.5" customHeight="1">
      <c r="A119" s="210"/>
      <c r="B119" s="210"/>
      <c r="C119" s="210"/>
      <c r="D119" s="210"/>
      <c r="E119" s="404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  <c r="AA119" s="210"/>
      <c r="AB119" s="210"/>
      <c r="AC119" s="210"/>
      <c r="AD119" s="210"/>
      <c r="AE119" s="210"/>
      <c r="AF119" s="210"/>
      <c r="AG119" s="210"/>
      <c r="AH119" s="210"/>
      <c r="AI119" s="210"/>
      <c r="AJ119"/>
      <c r="AK119"/>
      <c r="AL119"/>
      <c r="AM119"/>
      <c r="AN119"/>
      <c r="AO119"/>
      <c r="AP119"/>
      <c r="AQ119"/>
      <c r="AR119"/>
      <c r="AS119"/>
      <c r="AT119"/>
      <c r="AU119"/>
    </row>
    <row r="120" spans="1:47" s="408" customFormat="1" ht="16.5" customHeight="1">
      <c r="A120" s="210"/>
      <c r="B120" s="210"/>
      <c r="C120" s="210"/>
      <c r="D120" s="210"/>
      <c r="E120" s="404"/>
      <c r="G120" s="210"/>
      <c r="H120" s="210"/>
      <c r="I120" s="210"/>
      <c r="J120" s="210"/>
      <c r="K120" s="210"/>
      <c r="L120" s="210"/>
      <c r="M120" s="210"/>
      <c r="N120" s="210"/>
      <c r="O120" s="210"/>
      <c r="P120" s="210"/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  <c r="AA120" s="210"/>
      <c r="AB120" s="210"/>
      <c r="AC120" s="210"/>
      <c r="AD120" s="210"/>
      <c r="AE120" s="210"/>
      <c r="AF120" s="210"/>
      <c r="AG120" s="210"/>
      <c r="AH120" s="210"/>
      <c r="AI120" s="210"/>
      <c r="AJ120"/>
      <c r="AK120"/>
      <c r="AL120"/>
      <c r="AM120"/>
      <c r="AN120"/>
      <c r="AO120"/>
      <c r="AP120"/>
      <c r="AQ120"/>
      <c r="AR120"/>
      <c r="AS120"/>
      <c r="AT120"/>
      <c r="AU120"/>
    </row>
    <row r="121" spans="1:47" s="408" customFormat="1" ht="16.5" customHeight="1">
      <c r="A121" s="210"/>
      <c r="B121" s="210"/>
      <c r="C121" s="210"/>
      <c r="D121" s="210"/>
      <c r="E121" s="404"/>
      <c r="G121" s="210"/>
      <c r="H121" s="210"/>
      <c r="I121" s="210"/>
      <c r="J121" s="210"/>
      <c r="K121" s="210"/>
      <c r="L121" s="210"/>
      <c r="M121" s="210"/>
      <c r="N121" s="210"/>
      <c r="O121" s="210"/>
      <c r="P121" s="210"/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  <c r="AA121" s="210"/>
      <c r="AB121" s="210"/>
      <c r="AC121" s="210"/>
      <c r="AD121" s="210"/>
      <c r="AE121" s="210"/>
      <c r="AF121" s="210"/>
      <c r="AG121" s="210"/>
      <c r="AH121" s="210"/>
      <c r="AI121" s="210"/>
      <c r="AJ121"/>
      <c r="AK121"/>
      <c r="AL121"/>
      <c r="AM121"/>
      <c r="AN121"/>
      <c r="AO121"/>
      <c r="AP121"/>
      <c r="AQ121"/>
      <c r="AR121"/>
      <c r="AS121"/>
      <c r="AT121"/>
      <c r="AU121"/>
    </row>
    <row r="122" spans="1:47" s="408" customFormat="1" ht="16.5" customHeight="1">
      <c r="A122" s="210"/>
      <c r="B122" s="210"/>
      <c r="C122" s="210"/>
      <c r="D122" s="210"/>
      <c r="E122" s="404"/>
      <c r="G122" s="210"/>
      <c r="H122" s="210"/>
      <c r="I122" s="210"/>
      <c r="J122" s="210"/>
      <c r="K122" s="210"/>
      <c r="L122" s="210"/>
      <c r="M122" s="210"/>
      <c r="N122" s="210"/>
      <c r="O122" s="210"/>
      <c r="P122" s="210"/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  <c r="AA122" s="210"/>
      <c r="AB122" s="210"/>
      <c r="AC122" s="210"/>
      <c r="AD122" s="210"/>
      <c r="AE122" s="210"/>
      <c r="AF122" s="210"/>
      <c r="AG122" s="210"/>
      <c r="AH122" s="210"/>
      <c r="AI122" s="210"/>
      <c r="AJ122"/>
      <c r="AK122"/>
      <c r="AL122"/>
      <c r="AM122"/>
      <c r="AN122"/>
      <c r="AO122"/>
      <c r="AP122"/>
      <c r="AQ122"/>
      <c r="AR122"/>
      <c r="AS122"/>
      <c r="AT122"/>
      <c r="AU122"/>
    </row>
    <row r="123" spans="1:47" s="408" customFormat="1" ht="16.5" customHeight="1">
      <c r="A123" s="210"/>
      <c r="B123" s="210"/>
      <c r="C123" s="210"/>
      <c r="D123" s="210"/>
      <c r="E123" s="404"/>
      <c r="G123" s="210"/>
      <c r="H123" s="210"/>
      <c r="I123" s="210"/>
      <c r="J123" s="210"/>
      <c r="K123" s="210"/>
      <c r="L123" s="210"/>
      <c r="M123" s="210"/>
      <c r="N123" s="210"/>
      <c r="O123" s="210"/>
      <c r="P123" s="210"/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  <c r="AA123" s="210"/>
      <c r="AB123" s="210"/>
      <c r="AC123" s="210"/>
      <c r="AD123" s="210"/>
      <c r="AE123" s="210"/>
      <c r="AF123" s="210"/>
      <c r="AG123" s="210"/>
      <c r="AH123" s="210"/>
      <c r="AI123" s="210"/>
      <c r="AJ123"/>
      <c r="AK123"/>
      <c r="AL123"/>
      <c r="AM123"/>
      <c r="AN123"/>
      <c r="AO123"/>
      <c r="AP123"/>
      <c r="AQ123"/>
      <c r="AR123"/>
      <c r="AS123"/>
      <c r="AT123"/>
      <c r="AU123"/>
    </row>
    <row r="124" spans="1:47" s="408" customFormat="1" ht="16.5" customHeight="1">
      <c r="A124" s="210"/>
      <c r="B124" s="210"/>
      <c r="C124" s="210"/>
      <c r="D124" s="210"/>
      <c r="E124" s="404"/>
      <c r="G124" s="210"/>
      <c r="H124" s="210"/>
      <c r="I124" s="210"/>
      <c r="J124" s="210"/>
      <c r="K124" s="210"/>
      <c r="L124" s="210"/>
      <c r="M124" s="210"/>
      <c r="N124" s="210"/>
      <c r="O124" s="210"/>
      <c r="P124" s="210"/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  <c r="AA124" s="210"/>
      <c r="AB124" s="210"/>
      <c r="AC124" s="210"/>
      <c r="AD124" s="210"/>
      <c r="AE124" s="210"/>
      <c r="AF124" s="210"/>
      <c r="AG124" s="210"/>
      <c r="AH124" s="210"/>
      <c r="AI124" s="210"/>
      <c r="AJ124"/>
      <c r="AK124"/>
      <c r="AL124"/>
      <c r="AM124"/>
      <c r="AN124"/>
      <c r="AO124"/>
      <c r="AP124"/>
      <c r="AQ124"/>
      <c r="AR124"/>
      <c r="AS124"/>
      <c r="AT124"/>
      <c r="AU124"/>
    </row>
    <row r="125" spans="1:47" s="408" customFormat="1" ht="16.5" customHeight="1">
      <c r="A125" s="210"/>
      <c r="B125" s="210"/>
      <c r="C125" s="210"/>
      <c r="D125" s="210"/>
      <c r="E125" s="404"/>
      <c r="G125" s="210"/>
      <c r="H125" s="210"/>
      <c r="I125" s="210"/>
      <c r="J125" s="210"/>
      <c r="K125" s="210"/>
      <c r="L125" s="210"/>
      <c r="M125" s="210"/>
      <c r="N125" s="210"/>
      <c r="O125" s="210"/>
      <c r="P125" s="210"/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  <c r="AA125" s="210"/>
      <c r="AB125" s="210"/>
      <c r="AC125" s="210"/>
      <c r="AD125" s="210"/>
      <c r="AE125" s="210"/>
      <c r="AF125" s="210"/>
      <c r="AG125" s="210"/>
      <c r="AH125" s="210"/>
      <c r="AI125" s="210"/>
      <c r="AJ125"/>
      <c r="AK125"/>
      <c r="AL125"/>
      <c r="AM125"/>
      <c r="AN125"/>
      <c r="AO125"/>
      <c r="AP125"/>
      <c r="AQ125"/>
      <c r="AR125"/>
      <c r="AS125"/>
      <c r="AT125"/>
      <c r="AU125"/>
    </row>
    <row r="126" spans="1:47" s="408" customFormat="1" ht="16.5" customHeight="1">
      <c r="A126" s="210"/>
      <c r="B126" s="210"/>
      <c r="C126" s="210"/>
      <c r="D126" s="210"/>
      <c r="E126" s="404"/>
      <c r="G126" s="210"/>
      <c r="H126" s="210"/>
      <c r="I126" s="210"/>
      <c r="J126" s="210"/>
      <c r="K126" s="210"/>
      <c r="L126" s="210"/>
      <c r="M126" s="210"/>
      <c r="N126" s="210"/>
      <c r="O126" s="210"/>
      <c r="P126" s="210"/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  <c r="AA126" s="210"/>
      <c r="AB126" s="210"/>
      <c r="AC126" s="210"/>
      <c r="AD126" s="210"/>
      <c r="AE126" s="210"/>
      <c r="AF126" s="210"/>
      <c r="AG126" s="210"/>
      <c r="AH126" s="210"/>
      <c r="AI126" s="210"/>
      <c r="AJ126"/>
      <c r="AK126"/>
      <c r="AL126"/>
      <c r="AM126"/>
      <c r="AN126"/>
      <c r="AO126"/>
      <c r="AP126"/>
      <c r="AQ126"/>
      <c r="AR126"/>
      <c r="AS126"/>
      <c r="AT126"/>
      <c r="AU126"/>
    </row>
    <row r="127" spans="1:47" s="408" customFormat="1" ht="16.5" customHeight="1">
      <c r="A127" s="210"/>
      <c r="B127" s="210"/>
      <c r="C127" s="210"/>
      <c r="D127" s="210"/>
      <c r="E127" s="404"/>
      <c r="G127" s="210"/>
      <c r="H127" s="210"/>
      <c r="I127" s="210"/>
      <c r="J127" s="210"/>
      <c r="K127" s="210"/>
      <c r="L127" s="210"/>
      <c r="M127" s="210"/>
      <c r="N127" s="210"/>
      <c r="O127" s="210"/>
      <c r="P127" s="210"/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  <c r="AA127" s="210"/>
      <c r="AB127" s="210"/>
      <c r="AC127" s="210"/>
      <c r="AD127" s="210"/>
      <c r="AE127" s="210"/>
      <c r="AF127" s="210"/>
      <c r="AG127" s="210"/>
      <c r="AH127" s="210"/>
      <c r="AI127" s="210"/>
      <c r="AJ127"/>
      <c r="AK127"/>
      <c r="AL127"/>
      <c r="AM127"/>
      <c r="AN127"/>
      <c r="AO127"/>
      <c r="AP127"/>
      <c r="AQ127"/>
      <c r="AR127"/>
      <c r="AS127"/>
      <c r="AT127"/>
      <c r="AU127"/>
    </row>
    <row r="128" spans="1:47" s="408" customFormat="1" ht="16.5" customHeight="1">
      <c r="A128" s="210"/>
      <c r="B128" s="210"/>
      <c r="C128" s="210"/>
      <c r="D128" s="210"/>
      <c r="E128" s="404"/>
      <c r="G128" s="210"/>
      <c r="H128" s="210"/>
      <c r="I128" s="210"/>
      <c r="J128" s="210"/>
      <c r="K128" s="210"/>
      <c r="L128" s="210"/>
      <c r="M128" s="210"/>
      <c r="N128" s="210"/>
      <c r="O128" s="210"/>
      <c r="P128" s="210"/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  <c r="AA128" s="210"/>
      <c r="AB128" s="210"/>
      <c r="AC128" s="210"/>
      <c r="AD128" s="210"/>
      <c r="AE128" s="210"/>
      <c r="AF128" s="210"/>
      <c r="AG128" s="210"/>
      <c r="AH128" s="210"/>
      <c r="AI128" s="210"/>
      <c r="AJ128"/>
      <c r="AK128"/>
      <c r="AL128"/>
      <c r="AM128"/>
      <c r="AN128"/>
      <c r="AO128"/>
      <c r="AP128"/>
      <c r="AQ128"/>
      <c r="AR128"/>
      <c r="AS128"/>
      <c r="AT128"/>
      <c r="AU128"/>
    </row>
    <row r="129" spans="1:47" s="408" customFormat="1" ht="16.5" customHeight="1">
      <c r="A129" s="210"/>
      <c r="B129" s="210"/>
      <c r="C129" s="210"/>
      <c r="D129" s="210"/>
      <c r="E129" s="404"/>
      <c r="G129" s="210"/>
      <c r="H129" s="210"/>
      <c r="I129" s="210"/>
      <c r="J129" s="210"/>
      <c r="K129" s="210"/>
      <c r="L129" s="210"/>
      <c r="M129" s="210"/>
      <c r="N129" s="210"/>
      <c r="O129" s="210"/>
      <c r="P129" s="210"/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  <c r="AA129" s="210"/>
      <c r="AB129" s="210"/>
      <c r="AC129" s="210"/>
      <c r="AD129" s="210"/>
      <c r="AE129" s="210"/>
      <c r="AF129" s="210"/>
      <c r="AG129" s="210"/>
      <c r="AH129" s="210"/>
      <c r="AI129" s="210"/>
      <c r="AJ129"/>
      <c r="AK129"/>
      <c r="AL129"/>
      <c r="AM129"/>
      <c r="AN129"/>
      <c r="AO129"/>
      <c r="AP129"/>
      <c r="AQ129"/>
      <c r="AR129"/>
      <c r="AS129"/>
      <c r="AT129"/>
      <c r="AU129"/>
    </row>
    <row r="130" spans="1:47" s="408" customFormat="1" ht="16.5" customHeight="1">
      <c r="A130" s="210"/>
      <c r="B130" s="210"/>
      <c r="C130" s="210"/>
      <c r="D130" s="210"/>
      <c r="E130" s="404"/>
      <c r="G130" s="210"/>
      <c r="H130" s="210"/>
      <c r="I130" s="210"/>
      <c r="J130" s="210"/>
      <c r="K130" s="210"/>
      <c r="L130" s="210"/>
      <c r="M130" s="210"/>
      <c r="N130" s="210"/>
      <c r="O130" s="210"/>
      <c r="P130" s="210"/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  <c r="AA130" s="210"/>
      <c r="AB130" s="210"/>
      <c r="AC130" s="210"/>
      <c r="AD130" s="210"/>
      <c r="AE130" s="210"/>
      <c r="AF130" s="210"/>
      <c r="AG130" s="210"/>
      <c r="AH130" s="210"/>
      <c r="AI130" s="210"/>
      <c r="AJ130"/>
      <c r="AK130"/>
      <c r="AL130"/>
      <c r="AM130"/>
      <c r="AN130"/>
      <c r="AO130"/>
      <c r="AP130"/>
      <c r="AQ130"/>
      <c r="AR130"/>
      <c r="AS130"/>
      <c r="AT130"/>
      <c r="AU130"/>
    </row>
    <row r="131" spans="1:47" s="408" customFormat="1" ht="16.5" customHeight="1">
      <c r="A131" s="210"/>
      <c r="B131" s="210"/>
      <c r="C131" s="210"/>
      <c r="D131" s="210"/>
      <c r="E131" s="404"/>
      <c r="G131" s="210"/>
      <c r="H131" s="210"/>
      <c r="I131" s="210"/>
      <c r="J131" s="210"/>
      <c r="K131" s="210"/>
      <c r="L131" s="210"/>
      <c r="M131" s="210"/>
      <c r="N131" s="210"/>
      <c r="O131" s="210"/>
      <c r="P131" s="210"/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  <c r="AA131" s="210"/>
      <c r="AB131" s="210"/>
      <c r="AC131" s="210"/>
      <c r="AD131" s="210"/>
      <c r="AE131" s="210"/>
      <c r="AF131" s="210"/>
      <c r="AG131" s="210"/>
      <c r="AH131" s="210"/>
      <c r="AI131" s="210"/>
      <c r="AJ131"/>
      <c r="AK131"/>
      <c r="AL131"/>
      <c r="AM131"/>
      <c r="AN131"/>
      <c r="AO131"/>
      <c r="AP131"/>
      <c r="AQ131"/>
      <c r="AR131"/>
      <c r="AS131"/>
      <c r="AT131"/>
      <c r="AU131"/>
    </row>
    <row r="132" spans="1:47" s="408" customFormat="1" ht="16.5" customHeight="1">
      <c r="A132" s="210"/>
      <c r="B132" s="210"/>
      <c r="C132" s="210"/>
      <c r="D132" s="210"/>
      <c r="E132" s="404"/>
      <c r="G132" s="210"/>
      <c r="H132" s="210"/>
      <c r="I132" s="210"/>
      <c r="J132" s="210"/>
      <c r="K132" s="210"/>
      <c r="L132" s="210"/>
      <c r="M132" s="210"/>
      <c r="N132" s="210"/>
      <c r="O132" s="210"/>
      <c r="P132" s="210"/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  <c r="AA132" s="210"/>
      <c r="AB132" s="210"/>
      <c r="AC132" s="210"/>
      <c r="AD132" s="210"/>
      <c r="AE132" s="210"/>
      <c r="AF132" s="210"/>
      <c r="AG132" s="210"/>
      <c r="AH132" s="210"/>
      <c r="AI132" s="210"/>
      <c r="AJ132"/>
      <c r="AK132"/>
      <c r="AL132"/>
      <c r="AM132"/>
      <c r="AN132"/>
      <c r="AO132"/>
      <c r="AP132"/>
      <c r="AQ132"/>
      <c r="AR132"/>
      <c r="AS132"/>
      <c r="AT132"/>
      <c r="AU132"/>
    </row>
    <row r="133" spans="1:47" s="408" customFormat="1" ht="16.5" customHeight="1">
      <c r="A133" s="210"/>
      <c r="B133" s="210"/>
      <c r="C133" s="210"/>
      <c r="D133" s="210"/>
      <c r="E133" s="404"/>
      <c r="G133" s="210"/>
      <c r="H133" s="210"/>
      <c r="I133" s="210"/>
      <c r="J133" s="210"/>
      <c r="K133" s="210"/>
      <c r="L133" s="210"/>
      <c r="M133" s="210"/>
      <c r="N133" s="210"/>
      <c r="O133" s="210"/>
      <c r="P133" s="210"/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  <c r="AA133" s="210"/>
      <c r="AB133" s="210"/>
      <c r="AC133" s="210"/>
      <c r="AD133" s="210"/>
      <c r="AE133" s="210"/>
      <c r="AF133" s="210"/>
      <c r="AG133" s="210"/>
      <c r="AH133" s="210"/>
      <c r="AI133" s="210"/>
      <c r="AJ133"/>
      <c r="AK133"/>
      <c r="AL133"/>
      <c r="AM133"/>
      <c r="AN133"/>
      <c r="AO133"/>
      <c r="AP133"/>
      <c r="AQ133"/>
      <c r="AR133"/>
      <c r="AS133"/>
      <c r="AT133"/>
      <c r="AU133"/>
    </row>
    <row r="134" spans="1:47" s="408" customFormat="1" ht="16.5" customHeight="1">
      <c r="A134" s="210"/>
      <c r="B134" s="210"/>
      <c r="C134" s="210"/>
      <c r="D134" s="210"/>
      <c r="E134" s="404"/>
      <c r="G134" s="210"/>
      <c r="H134" s="210"/>
      <c r="I134" s="210"/>
      <c r="J134" s="210"/>
      <c r="K134" s="210"/>
      <c r="L134" s="210"/>
      <c r="M134" s="210"/>
      <c r="N134" s="210"/>
      <c r="O134" s="210"/>
      <c r="P134" s="210"/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  <c r="AA134" s="210"/>
      <c r="AB134" s="210"/>
      <c r="AC134" s="210"/>
      <c r="AD134" s="210"/>
      <c r="AE134" s="210"/>
      <c r="AF134" s="210"/>
      <c r="AG134" s="210"/>
      <c r="AH134" s="210"/>
      <c r="AI134" s="210"/>
      <c r="AJ134"/>
      <c r="AK134"/>
      <c r="AL134"/>
      <c r="AM134"/>
      <c r="AN134"/>
      <c r="AO134"/>
      <c r="AP134"/>
      <c r="AQ134"/>
      <c r="AR134"/>
      <c r="AS134"/>
      <c r="AT134"/>
      <c r="AU134"/>
    </row>
    <row r="135" spans="1:47" s="408" customFormat="1" ht="16.5" customHeight="1">
      <c r="A135" s="210"/>
      <c r="B135" s="210"/>
      <c r="C135" s="210"/>
      <c r="D135" s="210"/>
      <c r="E135" s="404"/>
      <c r="G135" s="210"/>
      <c r="H135" s="210"/>
      <c r="I135" s="210"/>
      <c r="J135" s="210"/>
      <c r="K135" s="210"/>
      <c r="L135" s="210"/>
      <c r="M135" s="210"/>
      <c r="N135" s="210"/>
      <c r="O135" s="210"/>
      <c r="P135" s="210"/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  <c r="AA135" s="210"/>
      <c r="AB135" s="210"/>
      <c r="AC135" s="210"/>
      <c r="AD135" s="210"/>
      <c r="AE135" s="210"/>
      <c r="AF135" s="210"/>
      <c r="AG135" s="210"/>
      <c r="AH135" s="210"/>
      <c r="AI135" s="210"/>
      <c r="AJ135"/>
      <c r="AK135"/>
      <c r="AL135"/>
      <c r="AM135"/>
      <c r="AN135"/>
      <c r="AO135"/>
      <c r="AP135"/>
      <c r="AQ135"/>
      <c r="AR135"/>
      <c r="AS135"/>
      <c r="AT135"/>
      <c r="AU135"/>
    </row>
    <row r="136" spans="1:47" s="408" customFormat="1" ht="16.5" customHeight="1">
      <c r="A136" s="210"/>
      <c r="B136" s="210"/>
      <c r="C136" s="210"/>
      <c r="D136" s="210"/>
      <c r="E136" s="404"/>
      <c r="G136" s="210"/>
      <c r="H136" s="210"/>
      <c r="I136" s="210"/>
      <c r="J136" s="210"/>
      <c r="K136" s="210"/>
      <c r="L136" s="210"/>
      <c r="M136" s="210"/>
      <c r="N136" s="210"/>
      <c r="O136" s="210"/>
      <c r="P136" s="210"/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  <c r="AA136" s="210"/>
      <c r="AB136" s="210"/>
      <c r="AC136" s="210"/>
      <c r="AD136" s="210"/>
      <c r="AE136" s="210"/>
      <c r="AF136" s="210"/>
      <c r="AG136" s="210"/>
      <c r="AH136" s="210"/>
      <c r="AI136" s="210"/>
      <c r="AJ136"/>
      <c r="AK136"/>
      <c r="AL136"/>
      <c r="AM136"/>
      <c r="AN136"/>
      <c r="AO136"/>
      <c r="AP136"/>
      <c r="AQ136"/>
      <c r="AR136"/>
      <c r="AS136"/>
      <c r="AT136"/>
      <c r="AU136"/>
    </row>
    <row r="137" spans="1:47" s="408" customFormat="1" ht="16.5" customHeight="1">
      <c r="A137" s="210"/>
      <c r="B137" s="210"/>
      <c r="C137" s="210"/>
      <c r="D137" s="210"/>
      <c r="E137" s="404"/>
      <c r="G137" s="210"/>
      <c r="H137" s="210"/>
      <c r="I137" s="210"/>
      <c r="J137" s="210"/>
      <c r="K137" s="210"/>
      <c r="L137" s="210"/>
      <c r="M137" s="210"/>
      <c r="N137" s="210"/>
      <c r="O137" s="210"/>
      <c r="P137" s="210"/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  <c r="AA137" s="210"/>
      <c r="AB137" s="210"/>
      <c r="AC137" s="210"/>
      <c r="AD137" s="210"/>
      <c r="AE137" s="210"/>
      <c r="AF137" s="210"/>
      <c r="AG137" s="210"/>
      <c r="AH137" s="210"/>
      <c r="AI137" s="210"/>
      <c r="AJ137"/>
      <c r="AK137"/>
      <c r="AL137"/>
      <c r="AM137"/>
      <c r="AN137"/>
      <c r="AO137"/>
      <c r="AP137"/>
      <c r="AQ137"/>
      <c r="AR137"/>
      <c r="AS137"/>
      <c r="AT137"/>
      <c r="AU137"/>
    </row>
    <row r="138" spans="1:47" s="408" customFormat="1" ht="16.5" customHeight="1">
      <c r="A138" s="210"/>
      <c r="B138" s="210"/>
      <c r="C138" s="210"/>
      <c r="D138" s="210"/>
      <c r="E138" s="404"/>
      <c r="G138" s="210"/>
      <c r="H138" s="210"/>
      <c r="I138" s="210"/>
      <c r="J138" s="210"/>
      <c r="K138" s="210"/>
      <c r="L138" s="210"/>
      <c r="M138" s="210"/>
      <c r="N138" s="210"/>
      <c r="O138" s="210"/>
      <c r="P138" s="210"/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  <c r="AA138" s="210"/>
      <c r="AB138" s="210"/>
      <c r="AC138" s="210"/>
      <c r="AD138" s="210"/>
      <c r="AE138" s="210"/>
      <c r="AF138" s="210"/>
      <c r="AG138" s="210"/>
      <c r="AH138" s="210"/>
      <c r="AI138" s="210"/>
      <c r="AJ138"/>
      <c r="AK138"/>
      <c r="AL138"/>
      <c r="AM138"/>
      <c r="AN138"/>
      <c r="AO138"/>
      <c r="AP138"/>
      <c r="AQ138"/>
      <c r="AR138"/>
      <c r="AS138"/>
      <c r="AT138"/>
      <c r="AU138"/>
    </row>
    <row r="139" spans="1:47" s="408" customFormat="1" ht="16.5" customHeight="1">
      <c r="A139" s="210"/>
      <c r="B139" s="210"/>
      <c r="C139" s="210"/>
      <c r="D139" s="210"/>
      <c r="E139" s="404"/>
      <c r="G139" s="210"/>
      <c r="H139" s="210"/>
      <c r="I139" s="210"/>
      <c r="J139" s="210"/>
      <c r="K139" s="210"/>
      <c r="L139" s="210"/>
      <c r="M139" s="210"/>
      <c r="N139" s="210"/>
      <c r="O139" s="210"/>
      <c r="P139" s="210"/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  <c r="AA139" s="210"/>
      <c r="AB139" s="210"/>
      <c r="AC139" s="210"/>
      <c r="AD139" s="210"/>
      <c r="AE139" s="210"/>
      <c r="AF139" s="210"/>
      <c r="AG139" s="210"/>
      <c r="AH139" s="210"/>
      <c r="AI139" s="210"/>
      <c r="AJ139"/>
      <c r="AK139"/>
      <c r="AL139"/>
      <c r="AM139"/>
      <c r="AN139"/>
      <c r="AO139"/>
      <c r="AP139"/>
      <c r="AQ139"/>
      <c r="AR139"/>
      <c r="AS139"/>
      <c r="AT139"/>
      <c r="AU139"/>
    </row>
    <row r="140" spans="1:47" s="408" customFormat="1" ht="16.5" customHeight="1">
      <c r="A140" s="210"/>
      <c r="B140" s="210"/>
      <c r="C140" s="210"/>
      <c r="D140" s="210"/>
      <c r="E140" s="404"/>
      <c r="G140" s="210"/>
      <c r="H140" s="210"/>
      <c r="I140" s="210"/>
      <c r="J140" s="210"/>
      <c r="K140" s="210"/>
      <c r="L140" s="210"/>
      <c r="M140" s="210"/>
      <c r="N140" s="210"/>
      <c r="O140" s="210"/>
      <c r="P140" s="210"/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  <c r="AA140" s="210"/>
      <c r="AB140" s="210"/>
      <c r="AC140" s="210"/>
      <c r="AD140" s="210"/>
      <c r="AE140" s="210"/>
      <c r="AF140" s="210"/>
      <c r="AG140" s="210"/>
      <c r="AH140" s="210"/>
      <c r="AI140" s="210"/>
      <c r="AJ140"/>
      <c r="AK140"/>
      <c r="AL140"/>
      <c r="AM140"/>
      <c r="AN140"/>
      <c r="AO140"/>
      <c r="AP140"/>
      <c r="AQ140"/>
      <c r="AR140"/>
      <c r="AS140"/>
      <c r="AT140"/>
      <c r="AU140"/>
    </row>
    <row r="141" spans="1:47" s="408" customFormat="1" ht="16.5" customHeight="1">
      <c r="A141" s="210"/>
      <c r="B141" s="210"/>
      <c r="C141" s="210"/>
      <c r="D141" s="210"/>
      <c r="E141" s="404"/>
      <c r="G141" s="210"/>
      <c r="H141" s="210"/>
      <c r="I141" s="210"/>
      <c r="J141" s="210"/>
      <c r="K141" s="210"/>
      <c r="L141" s="210"/>
      <c r="M141" s="210"/>
      <c r="N141" s="210"/>
      <c r="O141" s="210"/>
      <c r="P141" s="210"/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  <c r="AA141" s="210"/>
      <c r="AB141" s="210"/>
      <c r="AC141" s="210"/>
      <c r="AD141" s="210"/>
      <c r="AE141" s="210"/>
      <c r="AF141" s="210"/>
      <c r="AG141" s="210"/>
      <c r="AH141" s="210"/>
      <c r="AI141" s="210"/>
      <c r="AJ141"/>
      <c r="AK141"/>
      <c r="AL141"/>
      <c r="AM141"/>
      <c r="AN141"/>
      <c r="AO141"/>
      <c r="AP141"/>
      <c r="AQ141"/>
      <c r="AR141"/>
      <c r="AS141"/>
      <c r="AT141"/>
      <c r="AU141"/>
    </row>
    <row r="142" spans="1:47" s="408" customFormat="1" ht="16.5" customHeight="1">
      <c r="A142" s="210"/>
      <c r="B142" s="210"/>
      <c r="C142" s="210"/>
      <c r="D142" s="210"/>
      <c r="E142" s="404"/>
      <c r="G142" s="210"/>
      <c r="H142" s="210"/>
      <c r="I142" s="210"/>
      <c r="J142" s="210"/>
      <c r="K142" s="210"/>
      <c r="L142" s="210"/>
      <c r="M142" s="210"/>
      <c r="N142" s="210"/>
      <c r="O142" s="210"/>
      <c r="P142" s="210"/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  <c r="AA142" s="210"/>
      <c r="AB142" s="210"/>
      <c r="AC142" s="210"/>
      <c r="AD142" s="210"/>
      <c r="AE142" s="210"/>
      <c r="AF142" s="210"/>
      <c r="AG142" s="210"/>
      <c r="AH142" s="210"/>
      <c r="AI142" s="210"/>
      <c r="AJ142"/>
      <c r="AK142"/>
      <c r="AL142"/>
      <c r="AM142"/>
      <c r="AN142"/>
      <c r="AO142"/>
      <c r="AP142"/>
      <c r="AQ142"/>
      <c r="AR142"/>
      <c r="AS142"/>
      <c r="AT142"/>
      <c r="AU142"/>
    </row>
    <row r="143" spans="1:47" s="408" customFormat="1" ht="16.5" customHeight="1">
      <c r="A143" s="210"/>
      <c r="B143" s="210"/>
      <c r="C143" s="210"/>
      <c r="D143" s="210"/>
      <c r="E143" s="404"/>
      <c r="G143" s="210"/>
      <c r="H143" s="210"/>
      <c r="I143" s="210"/>
      <c r="J143" s="210"/>
      <c r="K143" s="210"/>
      <c r="L143" s="210"/>
      <c r="M143" s="210"/>
      <c r="N143" s="210"/>
      <c r="O143" s="210"/>
      <c r="P143" s="210"/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  <c r="AA143" s="210"/>
      <c r="AB143" s="210"/>
      <c r="AC143" s="210"/>
      <c r="AD143" s="210"/>
      <c r="AE143" s="210"/>
      <c r="AF143" s="210"/>
      <c r="AG143" s="210"/>
      <c r="AH143" s="210"/>
      <c r="AI143" s="210"/>
      <c r="AJ143"/>
      <c r="AK143"/>
      <c r="AL143"/>
      <c r="AM143"/>
      <c r="AN143"/>
      <c r="AO143"/>
      <c r="AP143"/>
      <c r="AQ143"/>
      <c r="AR143"/>
      <c r="AS143"/>
      <c r="AT143"/>
      <c r="AU143"/>
    </row>
    <row r="144" spans="1:47" s="408" customFormat="1" ht="16.5" customHeight="1">
      <c r="A144" s="210"/>
      <c r="B144" s="210"/>
      <c r="C144" s="210"/>
      <c r="D144" s="210"/>
      <c r="E144" s="404"/>
      <c r="G144" s="210"/>
      <c r="H144" s="210"/>
      <c r="I144" s="210"/>
      <c r="J144" s="210"/>
      <c r="K144" s="210"/>
      <c r="L144" s="210"/>
      <c r="M144" s="210"/>
      <c r="N144" s="210"/>
      <c r="O144" s="210"/>
      <c r="P144" s="210"/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  <c r="AA144" s="210"/>
      <c r="AB144" s="210"/>
      <c r="AC144" s="210"/>
      <c r="AD144" s="210"/>
      <c r="AE144" s="210"/>
      <c r="AF144" s="210"/>
      <c r="AG144" s="210"/>
      <c r="AH144" s="210"/>
      <c r="AI144" s="210"/>
      <c r="AJ144"/>
      <c r="AK144"/>
      <c r="AL144"/>
      <c r="AM144"/>
      <c r="AN144"/>
      <c r="AO144"/>
      <c r="AP144"/>
      <c r="AQ144"/>
      <c r="AR144"/>
      <c r="AS144"/>
      <c r="AT144"/>
      <c r="AU144"/>
    </row>
    <row r="145" spans="1:47" s="408" customFormat="1" ht="16.5" customHeight="1">
      <c r="A145" s="210"/>
      <c r="B145" s="210"/>
      <c r="C145" s="210"/>
      <c r="D145" s="210"/>
      <c r="E145" s="404"/>
      <c r="G145" s="210"/>
      <c r="H145" s="210"/>
      <c r="I145" s="210"/>
      <c r="J145" s="210"/>
      <c r="K145" s="210"/>
      <c r="L145" s="210"/>
      <c r="M145" s="210"/>
      <c r="N145" s="210"/>
      <c r="O145" s="210"/>
      <c r="P145" s="210"/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  <c r="AA145" s="210"/>
      <c r="AB145" s="210"/>
      <c r="AC145" s="210"/>
      <c r="AD145" s="210"/>
      <c r="AE145" s="210"/>
      <c r="AF145" s="210"/>
      <c r="AG145" s="210"/>
      <c r="AH145" s="210"/>
      <c r="AI145" s="210"/>
      <c r="AJ145"/>
      <c r="AK145"/>
      <c r="AL145"/>
      <c r="AM145"/>
      <c r="AN145"/>
      <c r="AO145"/>
      <c r="AP145"/>
      <c r="AQ145"/>
      <c r="AR145"/>
      <c r="AS145"/>
      <c r="AT145"/>
      <c r="AU145"/>
    </row>
    <row r="146" spans="1:47" s="408" customFormat="1" ht="16.5" customHeight="1">
      <c r="A146" s="210"/>
      <c r="B146" s="210"/>
      <c r="C146" s="210"/>
      <c r="D146" s="210"/>
      <c r="E146" s="404"/>
      <c r="G146" s="210"/>
      <c r="H146" s="210"/>
      <c r="I146" s="210"/>
      <c r="J146" s="210"/>
      <c r="K146" s="210"/>
      <c r="L146" s="210"/>
      <c r="M146" s="210"/>
      <c r="N146" s="210"/>
      <c r="O146" s="210"/>
      <c r="P146" s="210"/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  <c r="AA146" s="210"/>
      <c r="AB146" s="210"/>
      <c r="AC146" s="210"/>
      <c r="AD146" s="210"/>
      <c r="AE146" s="210"/>
      <c r="AF146" s="210"/>
      <c r="AG146" s="210"/>
      <c r="AH146" s="210"/>
      <c r="AI146" s="210"/>
      <c r="AJ146"/>
      <c r="AK146"/>
      <c r="AL146"/>
      <c r="AM146"/>
      <c r="AN146"/>
      <c r="AO146"/>
      <c r="AP146"/>
      <c r="AQ146"/>
      <c r="AR146"/>
      <c r="AS146"/>
      <c r="AT146"/>
      <c r="AU146"/>
    </row>
    <row r="147" spans="1:47" s="408" customFormat="1" ht="16.5" customHeight="1">
      <c r="A147" s="210"/>
      <c r="B147" s="210"/>
      <c r="C147" s="210"/>
      <c r="D147" s="210"/>
      <c r="E147" s="404"/>
      <c r="G147" s="210"/>
      <c r="H147" s="210"/>
      <c r="I147" s="210"/>
      <c r="J147" s="210"/>
      <c r="K147" s="210"/>
      <c r="L147" s="210"/>
      <c r="M147" s="210"/>
      <c r="N147" s="210"/>
      <c r="O147" s="210"/>
      <c r="P147" s="210"/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  <c r="AA147" s="210"/>
      <c r="AB147" s="210"/>
      <c r="AC147" s="210"/>
      <c r="AD147" s="210"/>
      <c r="AE147" s="210"/>
      <c r="AF147" s="210"/>
      <c r="AG147" s="210"/>
      <c r="AH147" s="210"/>
      <c r="AI147" s="210"/>
      <c r="AJ147"/>
      <c r="AK147"/>
      <c r="AL147"/>
      <c r="AM147"/>
      <c r="AN147"/>
      <c r="AO147"/>
      <c r="AP147"/>
      <c r="AQ147"/>
      <c r="AR147"/>
      <c r="AS147"/>
      <c r="AT147"/>
      <c r="AU147"/>
    </row>
    <row r="148" spans="1:47" s="408" customFormat="1" ht="16.5" customHeight="1">
      <c r="A148" s="210"/>
      <c r="B148" s="210"/>
      <c r="C148" s="210"/>
      <c r="D148" s="210"/>
      <c r="E148" s="404"/>
      <c r="G148" s="210"/>
      <c r="H148" s="210"/>
      <c r="I148" s="210"/>
      <c r="J148" s="210"/>
      <c r="K148" s="210"/>
      <c r="L148" s="210"/>
      <c r="M148" s="210"/>
      <c r="N148" s="210"/>
      <c r="O148" s="210"/>
      <c r="P148" s="210"/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  <c r="AA148" s="210"/>
      <c r="AB148" s="210"/>
      <c r="AC148" s="210"/>
      <c r="AD148" s="210"/>
      <c r="AE148" s="210"/>
      <c r="AF148" s="210"/>
      <c r="AG148" s="210"/>
      <c r="AH148" s="210"/>
      <c r="AI148" s="210"/>
      <c r="AJ148"/>
      <c r="AK148"/>
      <c r="AL148"/>
      <c r="AM148"/>
      <c r="AN148"/>
      <c r="AO148"/>
      <c r="AP148"/>
      <c r="AQ148"/>
      <c r="AR148"/>
      <c r="AS148"/>
      <c r="AT148"/>
      <c r="AU148"/>
    </row>
    <row r="149" spans="1:47" s="408" customFormat="1" ht="16.5" customHeight="1">
      <c r="A149" s="210"/>
      <c r="B149" s="210"/>
      <c r="C149" s="210"/>
      <c r="D149" s="210"/>
      <c r="E149" s="404"/>
      <c r="G149" s="210"/>
      <c r="H149" s="210"/>
      <c r="I149" s="210"/>
      <c r="J149" s="210"/>
      <c r="K149" s="210"/>
      <c r="L149" s="210"/>
      <c r="M149" s="210"/>
      <c r="N149" s="210"/>
      <c r="O149" s="210"/>
      <c r="P149" s="210"/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  <c r="AA149" s="210"/>
      <c r="AB149" s="210"/>
      <c r="AC149" s="210"/>
      <c r="AD149" s="210"/>
      <c r="AE149" s="210"/>
      <c r="AF149" s="210"/>
      <c r="AG149" s="210"/>
      <c r="AH149" s="210"/>
      <c r="AI149" s="210"/>
      <c r="AJ149"/>
      <c r="AK149"/>
      <c r="AL149"/>
      <c r="AM149"/>
      <c r="AN149"/>
      <c r="AO149"/>
      <c r="AP149"/>
      <c r="AQ149"/>
      <c r="AR149"/>
      <c r="AS149"/>
      <c r="AT149"/>
      <c r="AU149"/>
    </row>
    <row r="150" spans="1:47" s="408" customFormat="1" ht="16.5" customHeight="1">
      <c r="A150" s="210"/>
      <c r="B150" s="210"/>
      <c r="C150" s="210"/>
      <c r="D150" s="210"/>
      <c r="E150" s="404"/>
      <c r="G150" s="210"/>
      <c r="H150" s="210"/>
      <c r="I150" s="210"/>
      <c r="J150" s="210"/>
      <c r="K150" s="210"/>
      <c r="L150" s="210"/>
      <c r="M150" s="210"/>
      <c r="N150" s="210"/>
      <c r="O150" s="210"/>
      <c r="P150" s="210"/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  <c r="AA150" s="210"/>
      <c r="AB150" s="210"/>
      <c r="AC150" s="210"/>
      <c r="AD150" s="210"/>
      <c r="AE150" s="210"/>
      <c r="AF150" s="210"/>
      <c r="AG150" s="210"/>
      <c r="AH150" s="210"/>
      <c r="AI150" s="210"/>
      <c r="AJ150"/>
      <c r="AK150"/>
      <c r="AL150"/>
      <c r="AM150"/>
      <c r="AN150"/>
      <c r="AO150"/>
      <c r="AP150"/>
      <c r="AQ150"/>
      <c r="AR150"/>
      <c r="AS150"/>
      <c r="AT150"/>
      <c r="AU150"/>
    </row>
    <row r="151" spans="1:47" s="408" customFormat="1" ht="16.5" customHeight="1">
      <c r="A151" s="210"/>
      <c r="B151" s="210"/>
      <c r="C151" s="210"/>
      <c r="D151" s="210"/>
      <c r="E151" s="404"/>
      <c r="G151" s="210"/>
      <c r="H151" s="210"/>
      <c r="I151" s="210"/>
      <c r="J151" s="210"/>
      <c r="K151" s="210"/>
      <c r="L151" s="210"/>
      <c r="M151" s="210"/>
      <c r="N151" s="210"/>
      <c r="O151" s="210"/>
      <c r="P151" s="210"/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  <c r="AA151" s="210"/>
      <c r="AB151" s="210"/>
      <c r="AC151" s="210"/>
      <c r="AD151" s="210"/>
      <c r="AE151" s="210"/>
      <c r="AF151" s="210"/>
      <c r="AG151" s="210"/>
      <c r="AH151" s="210"/>
      <c r="AI151" s="210"/>
      <c r="AJ151"/>
      <c r="AK151"/>
      <c r="AL151"/>
      <c r="AM151"/>
      <c r="AN151"/>
      <c r="AO151"/>
      <c r="AP151"/>
      <c r="AQ151"/>
      <c r="AR151"/>
      <c r="AS151"/>
      <c r="AT151"/>
      <c r="AU151"/>
    </row>
    <row r="152" spans="1:47" s="408" customFormat="1" ht="16.5" customHeight="1">
      <c r="A152" s="210"/>
      <c r="B152" s="210"/>
      <c r="C152" s="210"/>
      <c r="D152" s="210"/>
      <c r="E152" s="404"/>
      <c r="G152" s="210"/>
      <c r="H152" s="210"/>
      <c r="I152" s="210"/>
      <c r="J152" s="210"/>
      <c r="K152" s="210"/>
      <c r="L152" s="210"/>
      <c r="M152" s="210"/>
      <c r="N152" s="210"/>
      <c r="O152" s="210"/>
      <c r="P152" s="210"/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  <c r="AA152" s="210"/>
      <c r="AB152" s="210"/>
      <c r="AC152" s="210"/>
      <c r="AD152" s="210"/>
      <c r="AE152" s="210"/>
      <c r="AF152" s="210"/>
      <c r="AG152" s="210"/>
      <c r="AH152" s="210"/>
      <c r="AI152" s="210"/>
      <c r="AJ152"/>
      <c r="AK152"/>
      <c r="AL152"/>
      <c r="AM152"/>
      <c r="AN152"/>
      <c r="AO152"/>
      <c r="AP152"/>
      <c r="AQ152"/>
      <c r="AR152"/>
      <c r="AS152"/>
      <c r="AT152"/>
      <c r="AU152"/>
    </row>
    <row r="153" spans="1:47" s="408" customFormat="1" ht="16.5" customHeight="1">
      <c r="A153" s="210"/>
      <c r="B153" s="210"/>
      <c r="C153" s="210"/>
      <c r="D153" s="210"/>
      <c r="E153" s="404"/>
      <c r="G153" s="210"/>
      <c r="H153" s="210"/>
      <c r="I153" s="210"/>
      <c r="J153" s="210"/>
      <c r="K153" s="210"/>
      <c r="L153" s="210"/>
      <c r="M153" s="210"/>
      <c r="N153" s="210"/>
      <c r="O153" s="210"/>
      <c r="P153" s="210"/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  <c r="AA153" s="210"/>
      <c r="AB153" s="210"/>
      <c r="AC153" s="210"/>
      <c r="AD153" s="210"/>
      <c r="AE153" s="210"/>
      <c r="AF153" s="210"/>
      <c r="AG153" s="210"/>
      <c r="AH153" s="210"/>
      <c r="AI153" s="210"/>
      <c r="AJ153"/>
      <c r="AK153"/>
      <c r="AL153"/>
      <c r="AM153"/>
      <c r="AN153"/>
      <c r="AO153"/>
      <c r="AP153"/>
      <c r="AQ153"/>
      <c r="AR153"/>
      <c r="AS153"/>
      <c r="AT153"/>
      <c r="AU153"/>
    </row>
    <row r="154" spans="1:47" s="408" customFormat="1" ht="16.5" customHeight="1">
      <c r="A154" s="210"/>
      <c r="B154" s="210"/>
      <c r="C154" s="210"/>
      <c r="D154" s="210"/>
      <c r="E154" s="404"/>
      <c r="G154" s="210"/>
      <c r="H154" s="210"/>
      <c r="I154" s="210"/>
      <c r="J154" s="210"/>
      <c r="K154" s="210"/>
      <c r="L154" s="210"/>
      <c r="M154" s="210"/>
      <c r="N154" s="210"/>
      <c r="O154" s="210"/>
      <c r="P154" s="210"/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  <c r="AA154" s="210"/>
      <c r="AB154" s="210"/>
      <c r="AC154" s="210"/>
      <c r="AD154" s="210"/>
      <c r="AE154" s="210"/>
      <c r="AF154" s="210"/>
      <c r="AG154" s="210"/>
      <c r="AH154" s="210"/>
      <c r="AI154" s="210"/>
      <c r="AJ154"/>
      <c r="AK154"/>
      <c r="AL154"/>
      <c r="AM154"/>
      <c r="AN154"/>
      <c r="AO154"/>
      <c r="AP154"/>
      <c r="AQ154"/>
      <c r="AR154"/>
      <c r="AS154"/>
      <c r="AT154"/>
      <c r="AU154"/>
    </row>
    <row r="155" spans="1:47" s="408" customFormat="1" ht="16.5" customHeight="1">
      <c r="A155" s="210"/>
      <c r="B155" s="210"/>
      <c r="C155" s="210"/>
      <c r="D155" s="210"/>
      <c r="E155" s="404"/>
      <c r="G155" s="210"/>
      <c r="H155" s="210"/>
      <c r="I155" s="210"/>
      <c r="J155" s="210"/>
      <c r="K155" s="210"/>
      <c r="L155" s="210"/>
      <c r="M155" s="210"/>
      <c r="N155" s="210"/>
      <c r="O155" s="210"/>
      <c r="P155" s="210"/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  <c r="AA155" s="210"/>
      <c r="AB155" s="210"/>
      <c r="AC155" s="210"/>
      <c r="AD155" s="210"/>
      <c r="AE155" s="210"/>
      <c r="AF155" s="210"/>
      <c r="AG155" s="210"/>
      <c r="AH155" s="210"/>
      <c r="AI155" s="210"/>
      <c r="AJ155"/>
      <c r="AK155"/>
      <c r="AL155"/>
      <c r="AM155"/>
      <c r="AN155"/>
      <c r="AO155"/>
      <c r="AP155"/>
      <c r="AQ155"/>
      <c r="AR155"/>
      <c r="AS155"/>
      <c r="AT155"/>
      <c r="AU155"/>
    </row>
    <row r="156" spans="1:47" s="408" customFormat="1" ht="16.5" customHeight="1">
      <c r="A156" s="210"/>
      <c r="B156" s="210"/>
      <c r="C156" s="210"/>
      <c r="D156" s="210"/>
      <c r="E156" s="404"/>
      <c r="G156" s="210"/>
      <c r="H156" s="210"/>
      <c r="I156" s="210"/>
      <c r="J156" s="210"/>
      <c r="K156" s="210"/>
      <c r="L156" s="210"/>
      <c r="M156" s="210"/>
      <c r="N156" s="210"/>
      <c r="O156" s="210"/>
      <c r="P156" s="210"/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  <c r="AA156" s="210"/>
      <c r="AB156" s="210"/>
      <c r="AC156" s="210"/>
      <c r="AD156" s="210"/>
      <c r="AE156" s="210"/>
      <c r="AF156" s="210"/>
      <c r="AG156" s="210"/>
      <c r="AH156" s="210"/>
      <c r="AI156" s="210"/>
      <c r="AJ156"/>
      <c r="AK156"/>
      <c r="AL156"/>
      <c r="AM156"/>
      <c r="AN156"/>
      <c r="AO156"/>
      <c r="AP156"/>
      <c r="AQ156"/>
      <c r="AR156"/>
      <c r="AS156"/>
      <c r="AT156"/>
      <c r="AU156"/>
    </row>
    <row r="157" spans="1:47" s="408" customFormat="1" ht="16.5" customHeight="1">
      <c r="A157" s="210"/>
      <c r="B157" s="210"/>
      <c r="C157" s="210"/>
      <c r="D157" s="210"/>
      <c r="E157" s="404"/>
      <c r="G157" s="210"/>
      <c r="H157" s="210"/>
      <c r="I157" s="210"/>
      <c r="J157" s="210"/>
      <c r="K157" s="210"/>
      <c r="L157" s="210"/>
      <c r="M157" s="210"/>
      <c r="N157" s="210"/>
      <c r="O157" s="210"/>
      <c r="P157" s="210"/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0"/>
      <c r="AG157" s="210"/>
      <c r="AH157" s="210"/>
      <c r="AI157" s="210"/>
      <c r="AJ157"/>
      <c r="AK157"/>
      <c r="AL157"/>
      <c r="AM157"/>
      <c r="AN157"/>
      <c r="AO157"/>
      <c r="AP157"/>
      <c r="AQ157"/>
      <c r="AR157"/>
      <c r="AS157"/>
      <c r="AT157"/>
      <c r="AU157"/>
    </row>
    <row r="158" spans="1:47" s="408" customFormat="1" ht="16.5" customHeight="1">
      <c r="A158" s="210"/>
      <c r="B158" s="210"/>
      <c r="C158" s="210"/>
      <c r="D158" s="210"/>
      <c r="E158" s="404"/>
      <c r="G158" s="210"/>
      <c r="H158" s="210"/>
      <c r="I158" s="210"/>
      <c r="J158" s="210"/>
      <c r="K158" s="210"/>
      <c r="L158" s="210"/>
      <c r="M158" s="210"/>
      <c r="N158" s="210"/>
      <c r="O158" s="210"/>
      <c r="P158" s="210"/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  <c r="AA158" s="210"/>
      <c r="AB158" s="210"/>
      <c r="AC158" s="210"/>
      <c r="AD158" s="210"/>
      <c r="AE158" s="210"/>
      <c r="AF158" s="210"/>
      <c r="AG158" s="210"/>
      <c r="AH158" s="210"/>
      <c r="AI158" s="210"/>
      <c r="AJ158"/>
      <c r="AK158"/>
      <c r="AL158"/>
      <c r="AM158"/>
      <c r="AN158"/>
      <c r="AO158"/>
      <c r="AP158"/>
      <c r="AQ158"/>
      <c r="AR158"/>
      <c r="AS158"/>
      <c r="AT158"/>
      <c r="AU158"/>
    </row>
    <row r="159" spans="1:47" s="408" customFormat="1" ht="16.5" customHeight="1">
      <c r="A159" s="210"/>
      <c r="B159" s="210"/>
      <c r="C159" s="210"/>
      <c r="D159" s="210"/>
      <c r="E159" s="404"/>
      <c r="G159" s="210"/>
      <c r="H159" s="210"/>
      <c r="I159" s="210"/>
      <c r="J159" s="210"/>
      <c r="K159" s="210"/>
      <c r="L159" s="210"/>
      <c r="M159" s="210"/>
      <c r="N159" s="210"/>
      <c r="O159" s="210"/>
      <c r="P159" s="210"/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  <c r="AA159" s="210"/>
      <c r="AB159" s="210"/>
      <c r="AC159" s="210"/>
      <c r="AD159" s="210"/>
      <c r="AE159" s="210"/>
      <c r="AF159" s="210"/>
      <c r="AG159" s="210"/>
      <c r="AH159" s="210"/>
      <c r="AI159" s="210"/>
      <c r="AJ159"/>
      <c r="AK159"/>
      <c r="AL159"/>
      <c r="AM159"/>
      <c r="AN159"/>
      <c r="AO159"/>
      <c r="AP159"/>
      <c r="AQ159"/>
      <c r="AR159"/>
      <c r="AS159"/>
      <c r="AT159"/>
      <c r="AU159"/>
    </row>
    <row r="160" spans="1:47" s="408" customFormat="1" ht="16.5" customHeight="1">
      <c r="A160" s="210"/>
      <c r="B160" s="210"/>
      <c r="C160" s="210"/>
      <c r="D160" s="210"/>
      <c r="E160" s="404"/>
      <c r="G160" s="210"/>
      <c r="H160" s="210"/>
      <c r="I160" s="210"/>
      <c r="J160" s="210"/>
      <c r="K160" s="210"/>
      <c r="L160" s="210"/>
      <c r="M160" s="210"/>
      <c r="N160" s="210"/>
      <c r="O160" s="210"/>
      <c r="P160" s="210"/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  <c r="AA160" s="210"/>
      <c r="AB160" s="210"/>
      <c r="AC160" s="210"/>
      <c r="AD160" s="210"/>
      <c r="AE160" s="210"/>
      <c r="AF160" s="210"/>
      <c r="AG160" s="210"/>
      <c r="AH160" s="210"/>
      <c r="AI160" s="210"/>
      <c r="AJ160"/>
      <c r="AK160"/>
      <c r="AL160"/>
      <c r="AM160"/>
      <c r="AN160"/>
      <c r="AO160"/>
      <c r="AP160"/>
      <c r="AQ160"/>
      <c r="AR160"/>
      <c r="AS160"/>
      <c r="AT160"/>
      <c r="AU160"/>
    </row>
    <row r="161" spans="1:47" s="408" customFormat="1" ht="16.5" customHeight="1">
      <c r="A161" s="210"/>
      <c r="B161" s="210"/>
      <c r="C161" s="210"/>
      <c r="D161" s="210"/>
      <c r="E161" s="404"/>
      <c r="G161" s="210"/>
      <c r="H161" s="210"/>
      <c r="I161" s="210"/>
      <c r="J161" s="210"/>
      <c r="K161" s="210"/>
      <c r="L161" s="210"/>
      <c r="M161" s="210"/>
      <c r="N161" s="210"/>
      <c r="O161" s="210"/>
      <c r="P161" s="210"/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  <c r="AA161" s="210"/>
      <c r="AB161" s="210"/>
      <c r="AC161" s="210"/>
      <c r="AD161" s="210"/>
      <c r="AE161" s="210"/>
      <c r="AF161" s="210"/>
      <c r="AG161" s="210"/>
      <c r="AH161" s="210"/>
      <c r="AI161" s="210"/>
      <c r="AJ161"/>
      <c r="AK161"/>
      <c r="AL161"/>
      <c r="AM161"/>
      <c r="AN161"/>
      <c r="AO161"/>
      <c r="AP161"/>
      <c r="AQ161"/>
      <c r="AR161"/>
      <c r="AS161"/>
      <c r="AT161"/>
      <c r="AU161"/>
    </row>
    <row r="162" spans="1:47" s="408" customFormat="1" ht="16.5" customHeight="1">
      <c r="A162" s="210"/>
      <c r="B162" s="210"/>
      <c r="C162" s="210"/>
      <c r="D162" s="210"/>
      <c r="E162" s="404"/>
      <c r="G162" s="210"/>
      <c r="H162" s="210"/>
      <c r="I162" s="210"/>
      <c r="J162" s="210"/>
      <c r="K162" s="210"/>
      <c r="L162" s="210"/>
      <c r="M162" s="210"/>
      <c r="N162" s="210"/>
      <c r="O162" s="210"/>
      <c r="P162" s="210"/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  <c r="AA162" s="210"/>
      <c r="AB162" s="210"/>
      <c r="AC162" s="210"/>
      <c r="AD162" s="210"/>
      <c r="AE162" s="210"/>
      <c r="AF162" s="210"/>
      <c r="AG162" s="210"/>
      <c r="AH162" s="210"/>
      <c r="AI162" s="210"/>
      <c r="AJ162"/>
      <c r="AK162"/>
      <c r="AL162"/>
      <c r="AM162"/>
      <c r="AN162"/>
      <c r="AO162"/>
      <c r="AP162"/>
      <c r="AQ162"/>
      <c r="AR162"/>
      <c r="AS162"/>
      <c r="AT162"/>
      <c r="AU162"/>
    </row>
    <row r="163" spans="1:47" s="408" customFormat="1" ht="16.5" customHeight="1">
      <c r="A163" s="210"/>
      <c r="B163" s="210"/>
      <c r="C163" s="210"/>
      <c r="D163" s="210"/>
      <c r="E163" s="404"/>
      <c r="G163" s="210"/>
      <c r="H163" s="210"/>
      <c r="I163" s="210"/>
      <c r="J163" s="210"/>
      <c r="K163" s="210"/>
      <c r="L163" s="210"/>
      <c r="M163" s="210"/>
      <c r="N163" s="210"/>
      <c r="O163" s="210"/>
      <c r="P163" s="210"/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  <c r="AA163" s="210"/>
      <c r="AB163" s="210"/>
      <c r="AC163" s="210"/>
      <c r="AD163" s="210"/>
      <c r="AE163" s="210"/>
      <c r="AF163" s="210"/>
      <c r="AG163" s="210"/>
      <c r="AH163" s="210"/>
      <c r="AI163" s="210"/>
      <c r="AJ163"/>
      <c r="AK163"/>
      <c r="AL163"/>
      <c r="AM163"/>
      <c r="AN163"/>
      <c r="AO163"/>
      <c r="AP163"/>
      <c r="AQ163"/>
      <c r="AR163"/>
      <c r="AS163"/>
      <c r="AT163"/>
      <c r="AU163"/>
    </row>
    <row r="164" spans="1:47" s="408" customFormat="1" ht="16.5" customHeight="1">
      <c r="A164" s="210"/>
      <c r="B164" s="210"/>
      <c r="C164" s="210"/>
      <c r="D164" s="210"/>
      <c r="E164" s="404"/>
      <c r="G164" s="210"/>
      <c r="H164" s="210"/>
      <c r="I164" s="210"/>
      <c r="J164" s="210"/>
      <c r="K164" s="210"/>
      <c r="L164" s="210"/>
      <c r="M164" s="210"/>
      <c r="N164" s="210"/>
      <c r="O164" s="210"/>
      <c r="P164" s="210"/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  <c r="AA164" s="210"/>
      <c r="AB164" s="210"/>
      <c r="AC164" s="210"/>
      <c r="AD164" s="210"/>
      <c r="AE164" s="210"/>
      <c r="AF164" s="210"/>
      <c r="AG164" s="210"/>
      <c r="AH164" s="210"/>
      <c r="AI164" s="210"/>
      <c r="AJ164"/>
      <c r="AK164"/>
      <c r="AL164"/>
      <c r="AM164"/>
      <c r="AN164"/>
      <c r="AO164"/>
      <c r="AP164"/>
      <c r="AQ164"/>
      <c r="AR164"/>
      <c r="AS164"/>
      <c r="AT164"/>
      <c r="AU164"/>
    </row>
    <row r="165" spans="1:47" s="408" customFormat="1" ht="16.5" customHeight="1">
      <c r="A165" s="210"/>
      <c r="B165" s="210"/>
      <c r="C165" s="210"/>
      <c r="D165" s="210"/>
      <c r="E165" s="404"/>
      <c r="G165" s="210"/>
      <c r="H165" s="210"/>
      <c r="I165" s="210"/>
      <c r="J165" s="210"/>
      <c r="K165" s="210"/>
      <c r="L165" s="210"/>
      <c r="M165" s="210"/>
      <c r="N165" s="210"/>
      <c r="O165" s="210"/>
      <c r="P165" s="210"/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  <c r="AA165" s="210"/>
      <c r="AB165" s="210"/>
      <c r="AC165" s="210"/>
      <c r="AD165" s="210"/>
      <c r="AE165" s="210"/>
      <c r="AF165" s="210"/>
      <c r="AG165" s="210"/>
      <c r="AH165" s="210"/>
      <c r="AI165" s="210"/>
      <c r="AJ165"/>
      <c r="AK165"/>
      <c r="AL165"/>
      <c r="AM165"/>
      <c r="AN165"/>
      <c r="AO165"/>
      <c r="AP165"/>
      <c r="AQ165"/>
      <c r="AR165"/>
      <c r="AS165"/>
      <c r="AT165"/>
      <c r="AU165"/>
    </row>
    <row r="166" spans="1:47" s="408" customFormat="1" ht="16.5" customHeight="1">
      <c r="A166" s="210"/>
      <c r="B166" s="210"/>
      <c r="C166" s="210"/>
      <c r="D166" s="210"/>
      <c r="E166" s="404"/>
      <c r="G166" s="210"/>
      <c r="H166" s="210"/>
      <c r="I166" s="210"/>
      <c r="J166" s="210"/>
      <c r="K166" s="210"/>
      <c r="L166" s="210"/>
      <c r="M166" s="210"/>
      <c r="N166" s="210"/>
      <c r="O166" s="210"/>
      <c r="P166" s="210"/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  <c r="AA166" s="210"/>
      <c r="AB166" s="210"/>
      <c r="AC166" s="210"/>
      <c r="AD166" s="210"/>
      <c r="AE166" s="210"/>
      <c r="AF166" s="210"/>
      <c r="AG166" s="210"/>
      <c r="AH166" s="210"/>
      <c r="AI166" s="210"/>
      <c r="AJ166"/>
      <c r="AK166"/>
      <c r="AL166"/>
      <c r="AM166"/>
      <c r="AN166"/>
      <c r="AO166"/>
      <c r="AP166"/>
      <c r="AQ166"/>
      <c r="AR166"/>
      <c r="AS166"/>
      <c r="AT166"/>
      <c r="AU166"/>
    </row>
    <row r="167" spans="1:47" s="408" customFormat="1" ht="16.5" customHeight="1">
      <c r="A167" s="210"/>
      <c r="B167" s="210"/>
      <c r="C167" s="210"/>
      <c r="D167" s="210"/>
      <c r="E167" s="404"/>
      <c r="G167" s="210"/>
      <c r="H167" s="210"/>
      <c r="I167" s="210"/>
      <c r="J167" s="210"/>
      <c r="K167" s="210"/>
      <c r="L167" s="210"/>
      <c r="M167" s="210"/>
      <c r="N167" s="210"/>
      <c r="O167" s="210"/>
      <c r="P167" s="210"/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  <c r="AA167" s="210"/>
      <c r="AB167" s="210"/>
      <c r="AC167" s="210"/>
      <c r="AD167" s="210"/>
      <c r="AE167" s="210"/>
      <c r="AF167" s="210"/>
      <c r="AG167" s="210"/>
      <c r="AH167" s="210"/>
      <c r="AI167" s="210"/>
      <c r="AJ167"/>
      <c r="AK167"/>
      <c r="AL167"/>
      <c r="AM167"/>
      <c r="AN167"/>
      <c r="AO167"/>
      <c r="AP167"/>
      <c r="AQ167"/>
      <c r="AR167"/>
      <c r="AS167"/>
      <c r="AT167"/>
      <c r="AU167"/>
    </row>
    <row r="168" spans="1:47" s="408" customFormat="1" ht="16.5" customHeight="1">
      <c r="A168" s="210"/>
      <c r="B168" s="210"/>
      <c r="C168" s="210"/>
      <c r="D168" s="210"/>
      <c r="E168" s="404"/>
      <c r="G168" s="210"/>
      <c r="H168" s="210"/>
      <c r="I168" s="210"/>
      <c r="J168" s="210"/>
      <c r="K168" s="210"/>
      <c r="L168" s="210"/>
      <c r="M168" s="210"/>
      <c r="N168" s="210"/>
      <c r="O168" s="210"/>
      <c r="P168" s="210"/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  <c r="AA168" s="210"/>
      <c r="AB168" s="210"/>
      <c r="AC168" s="210"/>
      <c r="AD168" s="210"/>
      <c r="AE168" s="210"/>
      <c r="AF168" s="210"/>
      <c r="AG168" s="210"/>
      <c r="AH168" s="210"/>
      <c r="AI168" s="210"/>
      <c r="AJ168"/>
      <c r="AK168"/>
      <c r="AL168"/>
      <c r="AM168"/>
      <c r="AN168"/>
      <c r="AO168"/>
      <c r="AP168"/>
      <c r="AQ168"/>
      <c r="AR168"/>
      <c r="AS168"/>
      <c r="AT168"/>
      <c r="AU168"/>
    </row>
    <row r="169" spans="1:47" s="408" customFormat="1" ht="16.5" customHeight="1">
      <c r="A169" s="210"/>
      <c r="B169" s="210"/>
      <c r="C169" s="210"/>
      <c r="D169" s="210"/>
      <c r="E169" s="404"/>
      <c r="G169" s="210"/>
      <c r="H169" s="210"/>
      <c r="I169" s="210"/>
      <c r="J169" s="210"/>
      <c r="K169" s="210"/>
      <c r="L169" s="210"/>
      <c r="M169" s="210"/>
      <c r="N169" s="210"/>
      <c r="O169" s="210"/>
      <c r="P169" s="210"/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  <c r="AA169" s="210"/>
      <c r="AB169" s="210"/>
      <c r="AC169" s="210"/>
      <c r="AD169" s="210"/>
      <c r="AE169" s="210"/>
      <c r="AF169" s="210"/>
      <c r="AG169" s="210"/>
      <c r="AH169" s="210"/>
      <c r="AI169" s="210"/>
      <c r="AJ169"/>
      <c r="AK169"/>
      <c r="AL169"/>
      <c r="AM169"/>
      <c r="AN169"/>
      <c r="AO169"/>
      <c r="AP169"/>
      <c r="AQ169"/>
      <c r="AR169"/>
      <c r="AS169"/>
      <c r="AT169"/>
      <c r="AU169"/>
    </row>
    <row r="170" spans="1:47" s="408" customFormat="1" ht="16.5" customHeight="1">
      <c r="A170" s="210"/>
      <c r="B170" s="210"/>
      <c r="C170" s="210"/>
      <c r="D170" s="210"/>
      <c r="E170" s="404"/>
      <c r="G170" s="210"/>
      <c r="H170" s="210"/>
      <c r="I170" s="210"/>
      <c r="J170" s="210"/>
      <c r="K170" s="210"/>
      <c r="L170" s="210"/>
      <c r="M170" s="210"/>
      <c r="N170" s="210"/>
      <c r="O170" s="210"/>
      <c r="P170" s="210"/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  <c r="AA170" s="210"/>
      <c r="AB170" s="210"/>
      <c r="AC170" s="210"/>
      <c r="AD170" s="210"/>
      <c r="AE170" s="210"/>
      <c r="AF170" s="210"/>
      <c r="AG170" s="210"/>
      <c r="AH170" s="210"/>
      <c r="AI170" s="210"/>
      <c r="AJ170"/>
      <c r="AK170"/>
      <c r="AL170"/>
      <c r="AM170"/>
      <c r="AN170"/>
      <c r="AO170"/>
      <c r="AP170"/>
      <c r="AQ170"/>
      <c r="AR170"/>
      <c r="AS170"/>
      <c r="AT170"/>
      <c r="AU170"/>
    </row>
    <row r="171" spans="1:47" s="408" customFormat="1" ht="16.5" customHeight="1">
      <c r="A171" s="210"/>
      <c r="B171" s="210"/>
      <c r="C171" s="210"/>
      <c r="D171" s="210"/>
      <c r="E171" s="404"/>
      <c r="G171" s="210"/>
      <c r="H171" s="210"/>
      <c r="I171" s="210"/>
      <c r="J171" s="210"/>
      <c r="K171" s="210"/>
      <c r="L171" s="210"/>
      <c r="M171" s="210"/>
      <c r="N171" s="210"/>
      <c r="O171" s="210"/>
      <c r="P171" s="210"/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  <c r="AA171" s="210"/>
      <c r="AB171" s="210"/>
      <c r="AC171" s="210"/>
      <c r="AD171" s="210"/>
      <c r="AE171" s="210"/>
      <c r="AF171" s="210"/>
      <c r="AG171" s="210"/>
      <c r="AH171" s="210"/>
      <c r="AI171" s="210"/>
      <c r="AJ171"/>
      <c r="AK171"/>
      <c r="AL171"/>
      <c r="AM171"/>
      <c r="AN171"/>
      <c r="AO171"/>
      <c r="AP171"/>
      <c r="AQ171"/>
      <c r="AR171"/>
      <c r="AS171"/>
      <c r="AT171"/>
      <c r="AU171"/>
    </row>
    <row r="172" spans="1:47" s="408" customFormat="1" ht="16.5" customHeight="1">
      <c r="A172" s="210"/>
      <c r="B172" s="210"/>
      <c r="C172" s="210"/>
      <c r="D172" s="210"/>
      <c r="E172" s="404"/>
      <c r="G172" s="210"/>
      <c r="H172" s="210"/>
      <c r="I172" s="210"/>
      <c r="J172" s="210"/>
      <c r="K172" s="210"/>
      <c r="L172" s="210"/>
      <c r="M172" s="210"/>
      <c r="N172" s="210"/>
      <c r="O172" s="210"/>
      <c r="P172" s="210"/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  <c r="AA172" s="210"/>
      <c r="AB172" s="210"/>
      <c r="AC172" s="210"/>
      <c r="AD172" s="210"/>
      <c r="AE172" s="210"/>
      <c r="AF172" s="210"/>
      <c r="AG172" s="210"/>
      <c r="AH172" s="210"/>
      <c r="AI172" s="210"/>
      <c r="AJ172"/>
      <c r="AK172"/>
      <c r="AL172"/>
      <c r="AM172"/>
      <c r="AN172"/>
      <c r="AO172"/>
      <c r="AP172"/>
      <c r="AQ172"/>
      <c r="AR172"/>
      <c r="AS172"/>
      <c r="AT172"/>
      <c r="AU17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5376-3376-4E60-A790-79458EC6BA8E}">
  <dimension ref="A1:AU176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4" sqref="A4"/>
      <selection pane="bottomRight" activeCell="E9" sqref="E9"/>
    </sheetView>
  </sheetViews>
  <sheetFormatPr defaultColWidth="8.875" defaultRowHeight="16.5" customHeight="1"/>
  <cols>
    <col min="1" max="1" width="3.375" customWidth="1"/>
    <col min="2" max="2" width="5.375" customWidth="1"/>
    <col min="3" max="3" width="8.375" customWidth="1"/>
    <col min="4" max="4" width="12.375" customWidth="1"/>
    <col min="5" max="5" width="9.875" style="406" bestFit="1" customWidth="1"/>
    <col min="6" max="6" width="7.375" customWidth="1"/>
    <col min="7" max="7" width="8.375" bestFit="1" customWidth="1"/>
    <col min="8" max="8" width="8.875" bestFit="1" customWidth="1"/>
    <col min="9" max="9" width="4.375" customWidth="1"/>
    <col min="10" max="10" width="7.375" customWidth="1"/>
    <col min="11" max="11" width="4.375" style="210" customWidth="1"/>
    <col min="12" max="12" width="7.375" customWidth="1"/>
    <col min="13" max="13" width="4.375" style="210" customWidth="1"/>
    <col min="14" max="14" width="7.375" customWidth="1"/>
    <col min="15" max="15" width="4.375" style="210" customWidth="1"/>
    <col min="16" max="16" width="7.375" customWidth="1"/>
    <col min="17" max="17" width="4.375" style="210" customWidth="1"/>
    <col min="18" max="18" width="7.375" customWidth="1"/>
    <col min="19" max="19" width="4.375" style="210" customWidth="1"/>
    <col min="20" max="20" width="7.375" customWidth="1"/>
    <col min="21" max="21" width="4.375" style="210" customWidth="1"/>
    <col min="22" max="22" width="7.375" customWidth="1"/>
    <col min="23" max="23" width="4.375" style="210" customWidth="1"/>
    <col min="24" max="24" width="7.375" customWidth="1"/>
    <col min="25" max="25" width="4.375" style="210" customWidth="1"/>
    <col min="26" max="26" width="7.375" customWidth="1"/>
    <col min="27" max="27" width="4.375" style="210" customWidth="1"/>
    <col min="28" max="28" width="10.375" customWidth="1"/>
    <col min="29" max="29" width="4.375" style="210" customWidth="1"/>
    <col min="30" max="30" width="7.375" customWidth="1"/>
    <col min="31" max="31" width="4.375" style="210" customWidth="1"/>
    <col min="32" max="32" width="7.375" customWidth="1"/>
    <col min="33" max="33" width="4.375" style="210" customWidth="1"/>
    <col min="34" max="34" width="7.375" customWidth="1"/>
    <col min="35" max="35" width="4.375" style="210" customWidth="1"/>
    <col min="36" max="36" width="7.375" customWidth="1"/>
    <col min="37" max="37" width="4.375" style="210" customWidth="1"/>
    <col min="38" max="38" width="7.375" customWidth="1"/>
    <col min="39" max="39" width="4.375" style="210" customWidth="1"/>
    <col min="40" max="40" width="7.375" customWidth="1"/>
    <col min="41" max="41" width="4.375" style="210" customWidth="1"/>
    <col min="42" max="42" width="7.375" customWidth="1"/>
    <col min="43" max="43" width="4.375" style="210" customWidth="1"/>
    <col min="44" max="44" width="7.375" customWidth="1"/>
    <col min="45" max="45" width="4.375" style="210" customWidth="1"/>
    <col min="46" max="46" width="7.375" customWidth="1"/>
    <col min="47" max="47" width="4.375" style="210" customWidth="1"/>
  </cols>
  <sheetData>
    <row r="1" spans="1:47" ht="16.5" customHeight="1" thickBot="1">
      <c r="A1" s="357"/>
      <c r="B1" s="358" t="s">
        <v>279</v>
      </c>
      <c r="C1" s="359"/>
      <c r="D1" s="360"/>
      <c r="E1" s="361"/>
      <c r="F1" s="360"/>
      <c r="G1" s="360"/>
      <c r="H1" s="360"/>
      <c r="I1" s="360"/>
      <c r="J1" s="359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0"/>
      <c r="W1" s="360"/>
      <c r="X1" s="360"/>
      <c r="Y1" s="360"/>
      <c r="Z1" s="357"/>
      <c r="AA1" s="362"/>
      <c r="AB1" s="357"/>
      <c r="AC1" s="362"/>
      <c r="AD1" s="357"/>
      <c r="AE1" s="362"/>
      <c r="AF1" s="357"/>
      <c r="AG1" s="362"/>
      <c r="AH1" s="357"/>
      <c r="AI1" s="362"/>
      <c r="AJ1" s="357"/>
      <c r="AK1" s="362"/>
      <c r="AL1" s="357"/>
      <c r="AM1" s="362"/>
      <c r="AN1" s="357"/>
      <c r="AO1" s="362"/>
      <c r="AP1" s="357"/>
      <c r="AQ1" s="362"/>
      <c r="AR1" s="357"/>
      <c r="AS1" s="362"/>
      <c r="AT1" s="357"/>
      <c r="AU1" s="362"/>
    </row>
    <row r="2" spans="1:47" ht="16.5" customHeight="1" thickBot="1">
      <c r="A2" s="362"/>
      <c r="B2" s="363" t="s">
        <v>280</v>
      </c>
      <c r="C2" s="364" t="s">
        <v>281</v>
      </c>
      <c r="D2" s="364" t="s">
        <v>282</v>
      </c>
      <c r="E2" s="365" t="s">
        <v>283</v>
      </c>
      <c r="F2" s="365" t="s">
        <v>284</v>
      </c>
      <c r="G2" s="365" t="s">
        <v>11</v>
      </c>
      <c r="H2" s="366" t="s">
        <v>285</v>
      </c>
      <c r="I2" s="367" t="s">
        <v>286</v>
      </c>
      <c r="J2" s="366" t="s">
        <v>287</v>
      </c>
      <c r="K2" s="367" t="s">
        <v>286</v>
      </c>
      <c r="L2" s="366" t="s">
        <v>288</v>
      </c>
      <c r="M2" s="367" t="s">
        <v>286</v>
      </c>
      <c r="N2" s="366" t="s">
        <v>289</v>
      </c>
      <c r="O2" s="367" t="s">
        <v>286</v>
      </c>
      <c r="P2" s="366" t="s">
        <v>290</v>
      </c>
      <c r="Q2" s="367" t="s">
        <v>286</v>
      </c>
      <c r="R2" s="366" t="s">
        <v>291</v>
      </c>
      <c r="S2" s="367" t="s">
        <v>286</v>
      </c>
      <c r="T2" s="366" t="s">
        <v>292</v>
      </c>
      <c r="U2" s="367" t="s">
        <v>286</v>
      </c>
      <c r="V2" s="366" t="s">
        <v>293</v>
      </c>
      <c r="W2" s="367" t="s">
        <v>286</v>
      </c>
      <c r="X2" s="366" t="s">
        <v>19</v>
      </c>
      <c r="Y2" s="367" t="s">
        <v>286</v>
      </c>
      <c r="Z2" s="366" t="s">
        <v>294</v>
      </c>
      <c r="AA2" s="367" t="s">
        <v>286</v>
      </c>
      <c r="AB2" s="366" t="s">
        <v>295</v>
      </c>
      <c r="AC2" s="367" t="s">
        <v>286</v>
      </c>
      <c r="AD2" s="366" t="s">
        <v>296</v>
      </c>
      <c r="AE2" s="367" t="s">
        <v>286</v>
      </c>
      <c r="AF2" s="366" t="s">
        <v>297</v>
      </c>
      <c r="AG2" s="367" t="s">
        <v>286</v>
      </c>
      <c r="AH2" s="366" t="s">
        <v>298</v>
      </c>
      <c r="AI2" s="367" t="s">
        <v>286</v>
      </c>
      <c r="AJ2" s="366" t="s">
        <v>299</v>
      </c>
      <c r="AK2" s="367" t="s">
        <v>286</v>
      </c>
      <c r="AL2" s="366" t="s">
        <v>300</v>
      </c>
      <c r="AM2" s="367" t="s">
        <v>286</v>
      </c>
      <c r="AN2" s="366" t="s">
        <v>301</v>
      </c>
      <c r="AO2" s="367" t="s">
        <v>286</v>
      </c>
      <c r="AP2" s="366" t="s">
        <v>302</v>
      </c>
      <c r="AQ2" s="367" t="s">
        <v>286</v>
      </c>
      <c r="AR2" s="366" t="s">
        <v>303</v>
      </c>
      <c r="AS2" s="367" t="s">
        <v>286</v>
      </c>
      <c r="AT2" s="366" t="s">
        <v>304</v>
      </c>
      <c r="AU2" s="367" t="s">
        <v>286</v>
      </c>
    </row>
    <row r="3" spans="1:47" ht="16.5" customHeight="1">
      <c r="A3" s="357"/>
      <c r="B3" s="368">
        <v>1</v>
      </c>
      <c r="C3" s="369" t="s">
        <v>43</v>
      </c>
      <c r="D3" s="370" t="s">
        <v>123</v>
      </c>
      <c r="E3" s="371">
        <v>40179</v>
      </c>
      <c r="F3" s="371">
        <v>4.38</v>
      </c>
      <c r="G3" s="371">
        <v>1.6419999999999999</v>
      </c>
      <c r="H3" s="372">
        <v>31.08</v>
      </c>
      <c r="I3" s="373">
        <v>0.59</v>
      </c>
      <c r="J3" s="372">
        <v>24.5</v>
      </c>
      <c r="K3" s="373">
        <v>0.47</v>
      </c>
      <c r="L3" s="372">
        <v>28.7</v>
      </c>
      <c r="M3" s="373">
        <v>1.1000000000000001</v>
      </c>
      <c r="N3" s="372">
        <v>23.8</v>
      </c>
      <c r="O3" s="373">
        <v>1.1000000000000001</v>
      </c>
      <c r="P3" s="372">
        <v>346.61</v>
      </c>
      <c r="Q3" s="373">
        <v>5.76</v>
      </c>
      <c r="R3" s="372">
        <v>75.400000000000006</v>
      </c>
      <c r="S3" s="373">
        <v>0.2</v>
      </c>
      <c r="T3" s="372">
        <v>73.13</v>
      </c>
      <c r="U3" s="373">
        <v>2.36</v>
      </c>
      <c r="V3" s="372">
        <v>69.656999999999996</v>
      </c>
      <c r="W3" s="373">
        <v>1.4</v>
      </c>
      <c r="X3" s="372">
        <v>39.25</v>
      </c>
      <c r="Y3" s="373">
        <v>1.06</v>
      </c>
      <c r="Z3" s="372">
        <v>7.67</v>
      </c>
      <c r="AA3" s="373">
        <v>0.08</v>
      </c>
      <c r="AB3" s="372">
        <v>12.5</v>
      </c>
      <c r="AC3" s="373">
        <v>0.1</v>
      </c>
      <c r="AD3" s="372">
        <v>4.83</v>
      </c>
      <c r="AE3" s="373">
        <v>0.02</v>
      </c>
      <c r="AF3" s="372">
        <v>4.3600000000000003</v>
      </c>
      <c r="AG3" s="373">
        <v>0.12</v>
      </c>
      <c r="AH3" s="372">
        <v>0.3</v>
      </c>
      <c r="AI3" s="373">
        <v>0.01</v>
      </c>
      <c r="AJ3" s="372">
        <v>0</v>
      </c>
      <c r="AK3" s="373">
        <v>0</v>
      </c>
      <c r="AL3" s="372">
        <v>1.22</v>
      </c>
      <c r="AM3" s="373">
        <v>0.01</v>
      </c>
      <c r="AN3" s="372">
        <v>0</v>
      </c>
      <c r="AO3" s="373">
        <v>0</v>
      </c>
      <c r="AP3" s="372">
        <v>0.16</v>
      </c>
      <c r="AQ3" s="373">
        <v>0</v>
      </c>
      <c r="AR3" s="372">
        <v>0</v>
      </c>
      <c r="AS3" s="373">
        <v>0</v>
      </c>
      <c r="AT3" s="372">
        <v>1.72</v>
      </c>
      <c r="AU3" s="373">
        <v>0.06</v>
      </c>
    </row>
    <row r="4" spans="1:47" ht="16.5" customHeight="1">
      <c r="A4" s="357"/>
      <c r="B4" s="368">
        <v>2</v>
      </c>
      <c r="C4" s="369" t="s">
        <v>48</v>
      </c>
      <c r="D4" s="374" t="s">
        <v>305</v>
      </c>
      <c r="E4" s="375">
        <v>48333</v>
      </c>
      <c r="F4" s="375">
        <v>5.18</v>
      </c>
      <c r="G4" s="375">
        <v>0.39400000000000002</v>
      </c>
      <c r="H4" s="376">
        <v>18.850000000000001</v>
      </c>
      <c r="I4" s="377">
        <v>0.45</v>
      </c>
      <c r="J4" s="376">
        <v>12.93</v>
      </c>
      <c r="K4" s="377">
        <v>0.52</v>
      </c>
      <c r="L4" s="376">
        <v>16.399999999999999</v>
      </c>
      <c r="M4" s="377">
        <v>0.8</v>
      </c>
      <c r="N4" s="376">
        <v>13.2</v>
      </c>
      <c r="O4" s="377">
        <v>0.8</v>
      </c>
      <c r="P4" s="376">
        <v>23.69</v>
      </c>
      <c r="Q4" s="377">
        <v>2.68</v>
      </c>
      <c r="R4" s="376">
        <v>3.5</v>
      </c>
      <c r="S4" s="377">
        <v>0.4</v>
      </c>
      <c r="T4" s="376">
        <v>2.65</v>
      </c>
      <c r="U4" s="377">
        <v>0.16</v>
      </c>
      <c r="V4" s="376">
        <v>5.0709999999999997</v>
      </c>
      <c r="W4" s="377">
        <v>0.224</v>
      </c>
      <c r="X4" s="376">
        <v>1.4</v>
      </c>
      <c r="Y4" s="377">
        <v>0</v>
      </c>
      <c r="Z4" s="376">
        <v>1.39</v>
      </c>
      <c r="AA4" s="377">
        <v>0</v>
      </c>
      <c r="AB4" s="376">
        <v>1.42</v>
      </c>
      <c r="AC4" s="377">
        <v>0.02</v>
      </c>
      <c r="AD4" s="376">
        <v>0.03</v>
      </c>
      <c r="AE4" s="377">
        <v>0.02</v>
      </c>
      <c r="AF4" s="376">
        <v>0.86</v>
      </c>
      <c r="AG4" s="377">
        <v>0.01</v>
      </c>
      <c r="AH4" s="376">
        <v>0.24</v>
      </c>
      <c r="AI4" s="377">
        <v>0</v>
      </c>
      <c r="AJ4" s="376">
        <v>0.03</v>
      </c>
      <c r="AK4" s="377">
        <v>0.01</v>
      </c>
      <c r="AL4" s="376">
        <v>0.18</v>
      </c>
      <c r="AM4" s="377">
        <v>0</v>
      </c>
      <c r="AN4" s="376">
        <v>0.04</v>
      </c>
      <c r="AO4" s="377">
        <v>0</v>
      </c>
      <c r="AP4" s="376">
        <v>0.03</v>
      </c>
      <c r="AQ4" s="377">
        <v>0</v>
      </c>
      <c r="AR4" s="376">
        <v>0</v>
      </c>
      <c r="AS4" s="377">
        <v>0</v>
      </c>
      <c r="AT4" s="376">
        <v>0</v>
      </c>
      <c r="AU4" s="377">
        <v>0</v>
      </c>
    </row>
    <row r="5" spans="1:47" ht="16.5" customHeight="1">
      <c r="A5" s="357"/>
      <c r="B5" s="378"/>
      <c r="C5" s="379" t="s">
        <v>306</v>
      </c>
      <c r="D5" s="374" t="s">
        <v>227</v>
      </c>
      <c r="E5" s="375">
        <v>45386</v>
      </c>
      <c r="F5" s="375">
        <v>6.71</v>
      </c>
      <c r="G5" s="375">
        <v>2.306</v>
      </c>
      <c r="H5" s="376">
        <v>34.93</v>
      </c>
      <c r="I5" s="377">
        <v>0.85</v>
      </c>
      <c r="J5" s="376">
        <v>24.82</v>
      </c>
      <c r="K5" s="377">
        <v>0.49</v>
      </c>
      <c r="L5" s="376">
        <v>30.1</v>
      </c>
      <c r="M5" s="377">
        <v>3.2</v>
      </c>
      <c r="N5" s="376">
        <v>24.6</v>
      </c>
      <c r="O5" s="377">
        <v>4.7</v>
      </c>
      <c r="P5" s="376">
        <v>20.79</v>
      </c>
      <c r="Q5" s="377">
        <v>1.47</v>
      </c>
      <c r="R5" s="376">
        <v>2.5</v>
      </c>
      <c r="S5" s="377">
        <v>0.1</v>
      </c>
      <c r="T5" s="376">
        <v>4.78</v>
      </c>
      <c r="U5" s="377">
        <v>0.33</v>
      </c>
      <c r="V5" s="376">
        <v>20.151</v>
      </c>
      <c r="W5" s="377">
        <v>5.1920000000000002</v>
      </c>
      <c r="X5" s="376">
        <v>2.4300000000000002</v>
      </c>
      <c r="Y5" s="377">
        <v>0.32</v>
      </c>
      <c r="Z5" s="376">
        <v>1.1599999999999999</v>
      </c>
      <c r="AA5" s="377">
        <v>0.01</v>
      </c>
      <c r="AB5" s="376">
        <v>1.1599999999999999</v>
      </c>
      <c r="AC5" s="377">
        <v>0.01</v>
      </c>
      <c r="AD5" s="376">
        <v>0</v>
      </c>
      <c r="AE5" s="377">
        <v>0</v>
      </c>
      <c r="AF5" s="376">
        <v>0.63</v>
      </c>
      <c r="AG5" s="377">
        <v>0.01</v>
      </c>
      <c r="AH5" s="376">
        <v>0.21</v>
      </c>
      <c r="AI5" s="377">
        <v>0</v>
      </c>
      <c r="AJ5" s="376">
        <v>0.08</v>
      </c>
      <c r="AK5" s="377">
        <v>0</v>
      </c>
      <c r="AL5" s="376">
        <v>7.0000000000000007E-2</v>
      </c>
      <c r="AM5" s="377">
        <v>0</v>
      </c>
      <c r="AN5" s="376">
        <v>0.14000000000000001</v>
      </c>
      <c r="AO5" s="377">
        <v>0</v>
      </c>
      <c r="AP5" s="376">
        <v>0.02</v>
      </c>
      <c r="AQ5" s="377">
        <v>0</v>
      </c>
      <c r="AR5" s="376">
        <v>0.02</v>
      </c>
      <c r="AS5" s="377">
        <v>0</v>
      </c>
      <c r="AT5" s="376">
        <v>0</v>
      </c>
      <c r="AU5" s="377">
        <v>0</v>
      </c>
    </row>
    <row r="6" spans="1:47" ht="16.5" customHeight="1">
      <c r="A6" s="357"/>
      <c r="B6" s="378"/>
      <c r="C6" s="379" t="s">
        <v>306</v>
      </c>
      <c r="D6" s="374" t="s">
        <v>192</v>
      </c>
      <c r="E6" s="375">
        <v>31266</v>
      </c>
      <c r="F6" s="375">
        <v>3.66</v>
      </c>
      <c r="G6" s="375" t="s">
        <v>46</v>
      </c>
      <c r="H6" s="376">
        <v>81.819999999999993</v>
      </c>
      <c r="I6" s="377">
        <v>0.97</v>
      </c>
      <c r="J6" s="376">
        <v>69.63</v>
      </c>
      <c r="K6" s="377">
        <v>0.8</v>
      </c>
      <c r="L6" s="376">
        <v>40.799999999999997</v>
      </c>
      <c r="M6" s="377">
        <v>0.8</v>
      </c>
      <c r="N6" s="376">
        <v>37</v>
      </c>
      <c r="O6" s="377">
        <v>0.6</v>
      </c>
      <c r="P6" s="376">
        <v>112.92</v>
      </c>
      <c r="Q6" s="377">
        <v>1.84</v>
      </c>
      <c r="R6" s="376">
        <v>67.5</v>
      </c>
      <c r="S6" s="377">
        <v>6.4</v>
      </c>
      <c r="T6" s="376">
        <v>20.190000000000001</v>
      </c>
      <c r="U6" s="377">
        <v>1.86</v>
      </c>
      <c r="V6" s="376">
        <v>21.789000000000001</v>
      </c>
      <c r="W6" s="377">
        <v>1.681</v>
      </c>
      <c r="X6" s="376">
        <v>7.42</v>
      </c>
      <c r="Y6" s="377">
        <v>0.39</v>
      </c>
      <c r="Z6" s="376">
        <v>7.0000000000000007E-2</v>
      </c>
      <c r="AA6" s="377">
        <v>0</v>
      </c>
      <c r="AB6" s="376">
        <v>0.18</v>
      </c>
      <c r="AC6" s="377">
        <v>0</v>
      </c>
      <c r="AD6" s="376">
        <v>0.11</v>
      </c>
      <c r="AE6" s="377">
        <v>0.01</v>
      </c>
      <c r="AF6" s="376">
        <v>7.0000000000000007E-2</v>
      </c>
      <c r="AG6" s="377">
        <v>0</v>
      </c>
      <c r="AH6" s="376">
        <v>0</v>
      </c>
      <c r="AI6" s="377">
        <v>0</v>
      </c>
      <c r="AJ6" s="376">
        <v>0</v>
      </c>
      <c r="AK6" s="377">
        <v>0</v>
      </c>
      <c r="AL6" s="376">
        <v>0</v>
      </c>
      <c r="AM6" s="377">
        <v>0</v>
      </c>
      <c r="AN6" s="376">
        <v>0</v>
      </c>
      <c r="AO6" s="377">
        <v>0</v>
      </c>
      <c r="AP6" s="376">
        <v>0</v>
      </c>
      <c r="AQ6" s="377">
        <v>0</v>
      </c>
      <c r="AR6" s="376">
        <v>0</v>
      </c>
      <c r="AS6" s="377">
        <v>0</v>
      </c>
      <c r="AT6" s="376">
        <v>0</v>
      </c>
      <c r="AU6" s="377">
        <v>0</v>
      </c>
    </row>
    <row r="7" spans="1:47" ht="16.5" customHeight="1">
      <c r="A7" s="357"/>
      <c r="B7" s="378"/>
      <c r="C7" s="379"/>
      <c r="D7" s="380" t="s">
        <v>307</v>
      </c>
      <c r="E7" s="381"/>
      <c r="F7" s="381">
        <v>4.2414333598191361</v>
      </c>
      <c r="G7" s="381" t="s">
        <v>46</v>
      </c>
      <c r="H7" s="382">
        <v>40.44160619274313</v>
      </c>
      <c r="I7" s="383"/>
      <c r="J7" s="382">
        <v>31.431594111293357</v>
      </c>
      <c r="K7" s="383"/>
      <c r="L7" s="382">
        <v>27.478758250990115</v>
      </c>
      <c r="M7" s="383"/>
      <c r="N7" s="382">
        <v>23.293460815297838</v>
      </c>
      <c r="O7" s="383"/>
      <c r="P7" s="382">
        <v>44.958518462215466</v>
      </c>
      <c r="Q7" s="383"/>
      <c r="R7" s="382">
        <v>19.146981637796536</v>
      </c>
      <c r="S7" s="383"/>
      <c r="T7" s="382">
        <v>7.8112419090290839</v>
      </c>
      <c r="U7" s="383"/>
      <c r="V7" s="382">
        <v>14.72916592391087</v>
      </c>
      <c r="W7" s="383"/>
      <c r="X7" s="382">
        <v>3.2799767972156659</v>
      </c>
      <c r="Y7" s="383"/>
      <c r="Z7" s="382">
        <v>0.97627115253830443</v>
      </c>
      <c r="AA7" s="383"/>
      <c r="AB7" s="382">
        <v>1.0153898467816138</v>
      </c>
      <c r="AC7" s="383"/>
      <c r="AD7" s="382">
        <v>3.9118694243309195E-2</v>
      </c>
      <c r="AE7" s="383"/>
      <c r="AF7" s="382">
        <v>0.57885490258831052</v>
      </c>
      <c r="AG7" s="383"/>
      <c r="AH7" s="382">
        <v>0.16906812817538105</v>
      </c>
      <c r="AI7" s="383"/>
      <c r="AJ7" s="382">
        <v>4.0651838220586468E-2</v>
      </c>
      <c r="AK7" s="383"/>
      <c r="AL7" s="382">
        <v>9.5027083249990013E-2</v>
      </c>
      <c r="AM7" s="383"/>
      <c r="AN7" s="382">
        <v>6.6306836820418449E-2</v>
      </c>
      <c r="AO7" s="383"/>
      <c r="AP7" s="382">
        <v>1.8863943673240791E-2</v>
      </c>
      <c r="AQ7" s="383"/>
      <c r="AR7" s="382">
        <v>7.2626315157818941E-3</v>
      </c>
      <c r="AS7" s="383"/>
      <c r="AT7" s="382">
        <v>0</v>
      </c>
      <c r="AU7" s="383"/>
    </row>
    <row r="8" spans="1:47" ht="16.5" customHeight="1">
      <c r="A8" s="357"/>
      <c r="B8" s="368">
        <v>3</v>
      </c>
      <c r="C8" s="369" t="s">
        <v>50</v>
      </c>
      <c r="D8" s="374" t="s">
        <v>141</v>
      </c>
      <c r="E8" s="375">
        <v>326166</v>
      </c>
      <c r="F8" s="375">
        <v>5.71</v>
      </c>
      <c r="G8" s="375" t="s">
        <v>46</v>
      </c>
      <c r="H8" s="376">
        <v>37.03</v>
      </c>
      <c r="I8" s="377">
        <v>1.27</v>
      </c>
      <c r="J8" s="376">
        <v>29.12</v>
      </c>
      <c r="K8" s="377">
        <v>1.1100000000000001</v>
      </c>
      <c r="L8" s="376">
        <v>36.6</v>
      </c>
      <c r="M8" s="377">
        <v>1.6</v>
      </c>
      <c r="N8" s="376">
        <v>29.9</v>
      </c>
      <c r="O8" s="377">
        <v>1.3</v>
      </c>
      <c r="P8" s="376">
        <v>53.29</v>
      </c>
      <c r="Q8" s="377">
        <v>39.75</v>
      </c>
      <c r="R8" s="376">
        <v>0.3</v>
      </c>
      <c r="S8" s="377">
        <v>0</v>
      </c>
      <c r="T8" s="376">
        <v>8.68</v>
      </c>
      <c r="U8" s="377">
        <v>0.33</v>
      </c>
      <c r="V8" s="376">
        <v>12.287000000000001</v>
      </c>
      <c r="W8" s="377">
        <v>0.23300000000000001</v>
      </c>
      <c r="X8" s="376">
        <v>4.43</v>
      </c>
      <c r="Y8" s="377">
        <v>0.25</v>
      </c>
      <c r="Z8" s="376">
        <v>0.75</v>
      </c>
      <c r="AA8" s="377">
        <v>0</v>
      </c>
      <c r="AB8" s="376">
        <v>0.75</v>
      </c>
      <c r="AC8" s="377">
        <v>0</v>
      </c>
      <c r="AD8" s="376">
        <v>0</v>
      </c>
      <c r="AE8" s="377">
        <v>0</v>
      </c>
      <c r="AF8" s="376">
        <v>0.52</v>
      </c>
      <c r="AG8" s="377">
        <v>0</v>
      </c>
      <c r="AH8" s="376">
        <v>0.1</v>
      </c>
      <c r="AI8" s="377">
        <v>0</v>
      </c>
      <c r="AJ8" s="376">
        <v>0.03</v>
      </c>
      <c r="AK8" s="377">
        <v>0</v>
      </c>
      <c r="AL8" s="376">
        <v>0.05</v>
      </c>
      <c r="AM8" s="377">
        <v>0</v>
      </c>
      <c r="AN8" s="376">
        <v>0.04</v>
      </c>
      <c r="AO8" s="377">
        <v>0</v>
      </c>
      <c r="AP8" s="376">
        <v>0.01</v>
      </c>
      <c r="AQ8" s="377">
        <v>0</v>
      </c>
      <c r="AR8" s="376">
        <v>0</v>
      </c>
      <c r="AS8" s="377">
        <v>0</v>
      </c>
      <c r="AT8" s="376">
        <v>0</v>
      </c>
      <c r="AU8" s="377">
        <v>0</v>
      </c>
    </row>
    <row r="9" spans="1:47" ht="16.5" customHeight="1">
      <c r="A9" s="357"/>
      <c r="B9" s="368">
        <v>4</v>
      </c>
      <c r="C9" s="369" t="s">
        <v>54</v>
      </c>
      <c r="D9" s="374" t="s">
        <v>149</v>
      </c>
      <c r="E9" s="375">
        <v>559071</v>
      </c>
      <c r="F9" s="375">
        <v>4.4400000000000004</v>
      </c>
      <c r="G9" s="375" t="s">
        <v>46</v>
      </c>
      <c r="H9" s="376">
        <v>44.85</v>
      </c>
      <c r="I9" s="377">
        <v>2</v>
      </c>
      <c r="J9" s="376">
        <v>34.07</v>
      </c>
      <c r="K9" s="377">
        <v>1.56</v>
      </c>
      <c r="L9" s="376">
        <v>38.9</v>
      </c>
      <c r="M9" s="377">
        <v>4.3</v>
      </c>
      <c r="N9" s="376">
        <v>31.1</v>
      </c>
      <c r="O9" s="377">
        <v>3.7</v>
      </c>
      <c r="P9" s="376">
        <v>49.9</v>
      </c>
      <c r="Q9" s="377">
        <v>1.38</v>
      </c>
      <c r="R9" s="376">
        <v>8.8000000000000007</v>
      </c>
      <c r="S9" s="377">
        <v>0.6</v>
      </c>
      <c r="T9" s="376">
        <v>10.84</v>
      </c>
      <c r="U9" s="377">
        <v>0.27</v>
      </c>
      <c r="V9" s="376">
        <v>14.122999999999999</v>
      </c>
      <c r="W9" s="377">
        <v>0.98</v>
      </c>
      <c r="X9" s="376">
        <v>4.43</v>
      </c>
      <c r="Y9" s="377">
        <v>0.39</v>
      </c>
      <c r="Z9" s="376">
        <v>0.01</v>
      </c>
      <c r="AA9" s="377">
        <v>0</v>
      </c>
      <c r="AB9" s="376">
        <v>0.03</v>
      </c>
      <c r="AC9" s="377">
        <v>0.02</v>
      </c>
      <c r="AD9" s="376">
        <v>0.02</v>
      </c>
      <c r="AE9" s="377">
        <v>0.02</v>
      </c>
      <c r="AF9" s="376">
        <v>0.01</v>
      </c>
      <c r="AG9" s="377">
        <v>0</v>
      </c>
      <c r="AH9" s="376">
        <v>0</v>
      </c>
      <c r="AI9" s="377">
        <v>0</v>
      </c>
      <c r="AJ9" s="376">
        <v>0</v>
      </c>
      <c r="AK9" s="377">
        <v>0</v>
      </c>
      <c r="AL9" s="376">
        <v>0</v>
      </c>
      <c r="AM9" s="377">
        <v>0</v>
      </c>
      <c r="AN9" s="376">
        <v>0</v>
      </c>
      <c r="AO9" s="377">
        <v>0</v>
      </c>
      <c r="AP9" s="376">
        <v>0</v>
      </c>
      <c r="AQ9" s="377">
        <v>0</v>
      </c>
      <c r="AR9" s="376">
        <v>0</v>
      </c>
      <c r="AS9" s="377">
        <v>0</v>
      </c>
      <c r="AT9" s="376">
        <v>0</v>
      </c>
      <c r="AU9" s="377">
        <v>0</v>
      </c>
    </row>
    <row r="10" spans="1:47" ht="16.5" customHeight="1">
      <c r="A10" s="357"/>
      <c r="B10" s="368">
        <v>5</v>
      </c>
      <c r="C10" s="369" t="s">
        <v>55</v>
      </c>
      <c r="D10" s="374" t="s">
        <v>305</v>
      </c>
      <c r="E10" s="375">
        <v>376217</v>
      </c>
      <c r="F10" s="375">
        <v>5.82</v>
      </c>
      <c r="G10" s="375">
        <v>0.495</v>
      </c>
      <c r="H10" s="376">
        <v>41.23</v>
      </c>
      <c r="I10" s="377">
        <v>0.24</v>
      </c>
      <c r="J10" s="376">
        <v>28.97</v>
      </c>
      <c r="K10" s="377">
        <v>0.28000000000000003</v>
      </c>
      <c r="L10" s="376">
        <v>39.299999999999997</v>
      </c>
      <c r="M10" s="377">
        <v>3.5</v>
      </c>
      <c r="N10" s="376">
        <v>26.2</v>
      </c>
      <c r="O10" s="377">
        <v>1.7</v>
      </c>
      <c r="P10" s="376">
        <v>49.56</v>
      </c>
      <c r="Q10" s="377">
        <v>7.29</v>
      </c>
      <c r="R10" s="376">
        <v>1.1000000000000001</v>
      </c>
      <c r="S10" s="377">
        <v>0</v>
      </c>
      <c r="T10" s="376">
        <v>9.1999999999999993</v>
      </c>
      <c r="U10" s="377">
        <v>0.45</v>
      </c>
      <c r="V10" s="376">
        <v>14.532</v>
      </c>
      <c r="W10" s="377">
        <v>0.56999999999999995</v>
      </c>
      <c r="X10" s="376">
        <v>2.57</v>
      </c>
      <c r="Y10" s="377">
        <v>0.25</v>
      </c>
      <c r="Z10" s="376">
        <v>0.95</v>
      </c>
      <c r="AA10" s="377">
        <v>0</v>
      </c>
      <c r="AB10" s="376">
        <v>0.95</v>
      </c>
      <c r="AC10" s="377">
        <v>0</v>
      </c>
      <c r="AD10" s="376">
        <v>0</v>
      </c>
      <c r="AE10" s="377">
        <v>0</v>
      </c>
      <c r="AF10" s="376">
        <v>0.56999999999999995</v>
      </c>
      <c r="AG10" s="377">
        <v>0</v>
      </c>
      <c r="AH10" s="376">
        <v>0.23</v>
      </c>
      <c r="AI10" s="377">
        <v>0</v>
      </c>
      <c r="AJ10" s="376">
        <v>0.04</v>
      </c>
      <c r="AK10" s="377">
        <v>0.01</v>
      </c>
      <c r="AL10" s="376">
        <v>0.04</v>
      </c>
      <c r="AM10" s="377">
        <v>0</v>
      </c>
      <c r="AN10" s="376">
        <v>0.06</v>
      </c>
      <c r="AO10" s="377">
        <v>0</v>
      </c>
      <c r="AP10" s="376">
        <v>0.01</v>
      </c>
      <c r="AQ10" s="377">
        <v>0</v>
      </c>
      <c r="AR10" s="376">
        <v>0</v>
      </c>
      <c r="AS10" s="377">
        <v>0</v>
      </c>
      <c r="AT10" s="376">
        <v>0</v>
      </c>
      <c r="AU10" s="377">
        <v>0</v>
      </c>
    </row>
    <row r="11" spans="1:47" ht="16.5" customHeight="1">
      <c r="A11" s="357"/>
      <c r="B11" s="378"/>
      <c r="C11" s="379" t="s">
        <v>306</v>
      </c>
      <c r="D11" s="374" t="s">
        <v>227</v>
      </c>
      <c r="E11" s="375">
        <v>214734</v>
      </c>
      <c r="F11" s="375">
        <v>6.47</v>
      </c>
      <c r="G11" s="375">
        <v>0.3891</v>
      </c>
      <c r="H11" s="376">
        <v>39.979999999999997</v>
      </c>
      <c r="I11" s="377">
        <v>0.12</v>
      </c>
      <c r="J11" s="376">
        <v>26.55</v>
      </c>
      <c r="K11" s="377">
        <v>7.0000000000000007E-2</v>
      </c>
      <c r="L11" s="376">
        <v>37.4</v>
      </c>
      <c r="M11" s="377">
        <v>4.2</v>
      </c>
      <c r="N11" s="376">
        <v>25.9</v>
      </c>
      <c r="O11" s="377">
        <v>2.6</v>
      </c>
      <c r="P11" s="376">
        <v>51.22</v>
      </c>
      <c r="Q11" s="377">
        <v>20.97</v>
      </c>
      <c r="R11" s="376">
        <v>0</v>
      </c>
      <c r="S11" s="377">
        <v>0</v>
      </c>
      <c r="T11" s="376">
        <v>16.82</v>
      </c>
      <c r="U11" s="377">
        <v>0.5</v>
      </c>
      <c r="V11" s="376">
        <v>17.108000000000001</v>
      </c>
      <c r="W11" s="377">
        <v>3.4449999999999998</v>
      </c>
      <c r="X11" s="376">
        <v>0.4</v>
      </c>
      <c r="Y11" s="377">
        <v>7.0000000000000007E-2</v>
      </c>
      <c r="Z11" s="376">
        <v>0.01</v>
      </c>
      <c r="AA11" s="377">
        <v>0</v>
      </c>
      <c r="AB11" s="376">
        <v>0.09</v>
      </c>
      <c r="AC11" s="377">
        <v>0.11</v>
      </c>
      <c r="AD11" s="376">
        <v>0.16</v>
      </c>
      <c r="AE11" s="377">
        <v>0</v>
      </c>
      <c r="AF11" s="376">
        <v>0.01</v>
      </c>
      <c r="AG11" s="377">
        <v>0</v>
      </c>
      <c r="AH11" s="376">
        <v>0</v>
      </c>
      <c r="AI11" s="377">
        <v>0</v>
      </c>
      <c r="AJ11" s="376">
        <v>0</v>
      </c>
      <c r="AK11" s="377">
        <v>0</v>
      </c>
      <c r="AL11" s="376">
        <v>0</v>
      </c>
      <c r="AM11" s="377">
        <v>0</v>
      </c>
      <c r="AN11" s="376">
        <v>0</v>
      </c>
      <c r="AO11" s="377">
        <v>0</v>
      </c>
      <c r="AP11" s="376">
        <v>0</v>
      </c>
      <c r="AQ11" s="377">
        <v>0</v>
      </c>
      <c r="AR11" s="376">
        <v>0</v>
      </c>
      <c r="AS11" s="377">
        <v>0</v>
      </c>
      <c r="AT11" s="376">
        <v>0</v>
      </c>
      <c r="AU11" s="377">
        <v>0</v>
      </c>
    </row>
    <row r="12" spans="1:47" ht="16.5" customHeight="1">
      <c r="A12" s="357"/>
      <c r="B12" s="378"/>
      <c r="C12" s="379"/>
      <c r="D12" s="380" t="s">
        <v>308</v>
      </c>
      <c r="E12" s="381"/>
      <c r="F12" s="381">
        <v>5.9638887223756143</v>
      </c>
      <c r="G12" s="382">
        <v>0.45651909278434255</v>
      </c>
      <c r="H12" s="382">
        <v>40.775787214168346</v>
      </c>
      <c r="I12" s="383"/>
      <c r="J12" s="382">
        <v>28.090644046629926</v>
      </c>
      <c r="K12" s="383"/>
      <c r="L12" s="382">
        <v>38.609596565535888</v>
      </c>
      <c r="M12" s="383"/>
      <c r="N12" s="382">
        <v>26.090988931400403</v>
      </c>
      <c r="O12" s="383"/>
      <c r="P12" s="382">
        <v>50.163194579584435</v>
      </c>
      <c r="Q12" s="383"/>
      <c r="R12" s="382">
        <v>0.70029274846814715</v>
      </c>
      <c r="S12" s="383"/>
      <c r="T12" s="382">
        <v>11.968881142429744</v>
      </c>
      <c r="U12" s="383"/>
      <c r="V12" s="382">
        <v>15.468041709041866</v>
      </c>
      <c r="W12" s="383"/>
      <c r="X12" s="382">
        <v>1.7814866037962538</v>
      </c>
      <c r="Y12" s="383"/>
      <c r="Z12" s="382">
        <v>0.60843198505459839</v>
      </c>
      <c r="AA12" s="383"/>
      <c r="AB12" s="382">
        <v>0.63750160334782402</v>
      </c>
      <c r="AC12" s="383"/>
      <c r="AD12" s="382">
        <v>5.8139236586451336E-2</v>
      </c>
      <c r="AE12" s="383"/>
      <c r="AF12" s="382">
        <v>0.36651267194742032</v>
      </c>
      <c r="AG12" s="383"/>
      <c r="AH12" s="382">
        <v>0.14642484740697623</v>
      </c>
      <c r="AI12" s="383"/>
      <c r="AJ12" s="382">
        <v>2.5465190853387169E-2</v>
      </c>
      <c r="AK12" s="383"/>
      <c r="AL12" s="382">
        <v>2.5465190853387169E-2</v>
      </c>
      <c r="AM12" s="383"/>
      <c r="AN12" s="382">
        <v>3.8197786280080755E-2</v>
      </c>
      <c r="AO12" s="383"/>
      <c r="AP12" s="382">
        <v>6.3662977133467922E-3</v>
      </c>
      <c r="AQ12" s="383"/>
      <c r="AR12" s="382">
        <v>0</v>
      </c>
      <c r="AS12" s="383"/>
      <c r="AT12" s="382">
        <v>0</v>
      </c>
      <c r="AU12" s="383"/>
    </row>
    <row r="13" spans="1:47" ht="16.5" customHeight="1">
      <c r="A13" s="357"/>
      <c r="B13" s="368">
        <v>6</v>
      </c>
      <c r="C13" s="369" t="s">
        <v>56</v>
      </c>
      <c r="D13" s="374" t="s">
        <v>163</v>
      </c>
      <c r="E13" s="375">
        <v>14645</v>
      </c>
      <c r="F13" s="375">
        <v>6.6</v>
      </c>
      <c r="G13" s="375">
        <v>5.7925000000000004</v>
      </c>
      <c r="H13" s="376">
        <v>27.22</v>
      </c>
      <c r="I13" s="377">
        <v>0.54</v>
      </c>
      <c r="J13" s="376">
        <v>19.23</v>
      </c>
      <c r="K13" s="377">
        <v>0.47</v>
      </c>
      <c r="L13" s="376">
        <v>23</v>
      </c>
      <c r="M13" s="377">
        <v>0.4</v>
      </c>
      <c r="N13" s="376">
        <v>18.399999999999999</v>
      </c>
      <c r="O13" s="377">
        <v>0.2</v>
      </c>
      <c r="P13" s="376">
        <v>44.32</v>
      </c>
      <c r="Q13" s="377">
        <v>1.1499999999999999</v>
      </c>
      <c r="R13" s="376">
        <v>15.1</v>
      </c>
      <c r="S13" s="377">
        <v>0.6</v>
      </c>
      <c r="T13" s="376">
        <v>6.11</v>
      </c>
      <c r="U13" s="377">
        <v>0.57999999999999996</v>
      </c>
      <c r="V13" s="376">
        <v>8.8480000000000008</v>
      </c>
      <c r="W13" s="377">
        <v>1.121</v>
      </c>
      <c r="X13" s="376">
        <v>2</v>
      </c>
      <c r="Y13" s="377">
        <v>7.0000000000000007E-2</v>
      </c>
      <c r="Z13" s="376">
        <v>0.38</v>
      </c>
      <c r="AA13" s="377">
        <v>0</v>
      </c>
      <c r="AB13" s="376">
        <v>0.38</v>
      </c>
      <c r="AC13" s="377">
        <v>0.01</v>
      </c>
      <c r="AD13" s="376">
        <v>0.01</v>
      </c>
      <c r="AE13" s="377">
        <v>0.01</v>
      </c>
      <c r="AF13" s="376">
        <v>0.19</v>
      </c>
      <c r="AG13" s="377">
        <v>0</v>
      </c>
      <c r="AH13" s="376">
        <v>7.0000000000000007E-2</v>
      </c>
      <c r="AI13" s="377">
        <v>0</v>
      </c>
      <c r="AJ13" s="376">
        <v>0.02</v>
      </c>
      <c r="AK13" s="377">
        <v>0</v>
      </c>
      <c r="AL13" s="376">
        <v>0.04</v>
      </c>
      <c r="AM13" s="377">
        <v>0</v>
      </c>
      <c r="AN13" s="376">
        <v>0.02</v>
      </c>
      <c r="AO13" s="377">
        <v>0</v>
      </c>
      <c r="AP13" s="376">
        <v>0.02</v>
      </c>
      <c r="AQ13" s="377">
        <v>0</v>
      </c>
      <c r="AR13" s="376">
        <v>0</v>
      </c>
      <c r="AS13" s="377">
        <v>0</v>
      </c>
      <c r="AT13" s="376">
        <v>0.01</v>
      </c>
      <c r="AU13" s="377">
        <v>0</v>
      </c>
    </row>
    <row r="14" spans="1:47" ht="16.5" customHeight="1">
      <c r="A14" s="357"/>
      <c r="B14" s="368">
        <v>7</v>
      </c>
      <c r="C14" s="369" t="s">
        <v>57</v>
      </c>
      <c r="D14" s="374" t="s">
        <v>309</v>
      </c>
      <c r="E14" s="375">
        <v>472558</v>
      </c>
      <c r="F14" s="375">
        <v>6.65</v>
      </c>
      <c r="G14" s="375">
        <v>0.85599999999999998</v>
      </c>
      <c r="H14" s="376">
        <v>26.18</v>
      </c>
      <c r="I14" s="377">
        <v>0.73</v>
      </c>
      <c r="J14" s="376">
        <v>15.95</v>
      </c>
      <c r="K14" s="377">
        <v>0.59</v>
      </c>
      <c r="L14" s="376">
        <v>25.9</v>
      </c>
      <c r="M14" s="377">
        <v>0.1</v>
      </c>
      <c r="N14" s="376">
        <v>15.9</v>
      </c>
      <c r="O14" s="377">
        <v>0.2</v>
      </c>
      <c r="P14" s="376">
        <v>20.72</v>
      </c>
      <c r="Q14" s="377">
        <v>3.74</v>
      </c>
      <c r="R14" s="376">
        <v>0.2</v>
      </c>
      <c r="S14" s="377">
        <v>0</v>
      </c>
      <c r="T14" s="376">
        <v>6.1</v>
      </c>
      <c r="U14" s="377">
        <v>0.09</v>
      </c>
      <c r="V14" s="376">
        <v>7.9359999999999999</v>
      </c>
      <c r="W14" s="377">
        <v>0.26100000000000001</v>
      </c>
      <c r="X14" s="376">
        <v>2.2000000000000002</v>
      </c>
      <c r="Y14" s="377">
        <v>7.0000000000000007E-2</v>
      </c>
      <c r="Z14" s="376">
        <v>7.0000000000000007E-2</v>
      </c>
      <c r="AA14" s="377">
        <v>0</v>
      </c>
      <c r="AB14" s="376">
        <v>7.0000000000000007E-2</v>
      </c>
      <c r="AC14" s="377">
        <v>0</v>
      </c>
      <c r="AD14" s="376">
        <v>0</v>
      </c>
      <c r="AE14" s="377">
        <v>0</v>
      </c>
      <c r="AF14" s="376">
        <v>7.0000000000000007E-2</v>
      </c>
      <c r="AG14" s="377">
        <v>0</v>
      </c>
      <c r="AH14" s="376">
        <v>0</v>
      </c>
      <c r="AI14" s="377">
        <v>0</v>
      </c>
      <c r="AJ14" s="376">
        <v>0</v>
      </c>
      <c r="AK14" s="377">
        <v>0</v>
      </c>
      <c r="AL14" s="376">
        <v>0</v>
      </c>
      <c r="AM14" s="377">
        <v>0</v>
      </c>
      <c r="AN14" s="376">
        <v>0</v>
      </c>
      <c r="AO14" s="377">
        <v>0</v>
      </c>
      <c r="AP14" s="376">
        <v>0</v>
      </c>
      <c r="AQ14" s="377">
        <v>0</v>
      </c>
      <c r="AR14" s="376">
        <v>0</v>
      </c>
      <c r="AS14" s="377">
        <v>0</v>
      </c>
      <c r="AT14" s="376">
        <v>0</v>
      </c>
      <c r="AU14" s="377">
        <v>0</v>
      </c>
    </row>
    <row r="15" spans="1:47" ht="16.5" customHeight="1">
      <c r="A15" s="357"/>
      <c r="B15" s="368">
        <v>8</v>
      </c>
      <c r="C15" s="369" t="s">
        <v>58</v>
      </c>
      <c r="D15" s="374" t="s">
        <v>141</v>
      </c>
      <c r="E15" s="375">
        <v>546356</v>
      </c>
      <c r="F15" s="375">
        <v>6.49</v>
      </c>
      <c r="G15" s="375">
        <v>0.79400000000000004</v>
      </c>
      <c r="H15" s="376">
        <v>29.87</v>
      </c>
      <c r="I15" s="377">
        <v>1.1299999999999999</v>
      </c>
      <c r="J15" s="376">
        <v>19.22</v>
      </c>
      <c r="K15" s="377">
        <v>0.68</v>
      </c>
      <c r="L15" s="376">
        <v>29.7</v>
      </c>
      <c r="M15" s="377">
        <v>1.3</v>
      </c>
      <c r="N15" s="376">
        <v>19.2</v>
      </c>
      <c r="O15" s="377">
        <v>0.8</v>
      </c>
      <c r="P15" s="376">
        <v>20.25</v>
      </c>
      <c r="Q15" s="377">
        <v>1.85</v>
      </c>
      <c r="R15" s="376">
        <v>0.2</v>
      </c>
      <c r="S15" s="377">
        <v>0.1</v>
      </c>
      <c r="T15" s="376">
        <v>9.2100000000000009</v>
      </c>
      <c r="U15" s="377">
        <v>0.67</v>
      </c>
      <c r="V15" s="376">
        <v>7.3490000000000002</v>
      </c>
      <c r="W15" s="377">
        <v>2.1379999999999999</v>
      </c>
      <c r="X15" s="376">
        <v>1.18</v>
      </c>
      <c r="Y15" s="377">
        <v>0.53</v>
      </c>
      <c r="Z15" s="376">
        <v>0</v>
      </c>
      <c r="AA15" s="377">
        <v>0.01</v>
      </c>
      <c r="AB15" s="376">
        <v>0.03</v>
      </c>
      <c r="AC15" s="377">
        <v>0.04</v>
      </c>
      <c r="AD15" s="376">
        <v>0.05</v>
      </c>
      <c r="AE15" s="377">
        <v>0</v>
      </c>
      <c r="AF15" s="376">
        <v>0.01</v>
      </c>
      <c r="AG15" s="377">
        <v>0</v>
      </c>
      <c r="AH15" s="376">
        <v>0</v>
      </c>
      <c r="AI15" s="377">
        <v>0</v>
      </c>
      <c r="AJ15" s="376">
        <v>0</v>
      </c>
      <c r="AK15" s="377">
        <v>0</v>
      </c>
      <c r="AL15" s="376">
        <v>0</v>
      </c>
      <c r="AM15" s="377">
        <v>0</v>
      </c>
      <c r="AN15" s="376">
        <v>0</v>
      </c>
      <c r="AO15" s="377">
        <v>0</v>
      </c>
      <c r="AP15" s="376">
        <v>0</v>
      </c>
      <c r="AQ15" s="377">
        <v>0</v>
      </c>
      <c r="AR15" s="376">
        <v>0</v>
      </c>
      <c r="AS15" s="377">
        <v>0</v>
      </c>
      <c r="AT15" s="376">
        <v>0</v>
      </c>
      <c r="AU15" s="377">
        <v>0</v>
      </c>
    </row>
    <row r="16" spans="1:47" ht="16.5" customHeight="1">
      <c r="A16" s="357"/>
      <c r="B16" s="378"/>
      <c r="C16" s="379" t="s">
        <v>306</v>
      </c>
      <c r="D16" s="374" t="s">
        <v>192</v>
      </c>
      <c r="E16" s="375">
        <v>147781</v>
      </c>
      <c r="F16" s="375">
        <v>3.79</v>
      </c>
      <c r="G16" s="375" t="s">
        <v>46</v>
      </c>
      <c r="H16" s="376">
        <v>48.77</v>
      </c>
      <c r="I16" s="377">
        <v>1.7</v>
      </c>
      <c r="J16" s="376">
        <v>42.45</v>
      </c>
      <c r="K16" s="377">
        <v>1.58</v>
      </c>
      <c r="L16" s="376">
        <v>39</v>
      </c>
      <c r="M16" s="377">
        <v>0.6</v>
      </c>
      <c r="N16" s="376">
        <v>36.299999999999997</v>
      </c>
      <c r="O16" s="377">
        <v>0.8</v>
      </c>
      <c r="P16" s="376">
        <v>92.75</v>
      </c>
      <c r="Q16" s="377">
        <v>2.66</v>
      </c>
      <c r="R16" s="376">
        <v>43.8</v>
      </c>
      <c r="S16" s="377">
        <v>4.5999999999999996</v>
      </c>
      <c r="T16" s="376">
        <v>22.59</v>
      </c>
      <c r="U16" s="377">
        <v>0.44</v>
      </c>
      <c r="V16" s="376">
        <v>11.555</v>
      </c>
      <c r="W16" s="377">
        <v>9.2999999999999999E-2</v>
      </c>
      <c r="X16" s="376">
        <v>16.899999999999999</v>
      </c>
      <c r="Y16" s="377">
        <v>7.78</v>
      </c>
      <c r="Z16" s="376">
        <v>0.2</v>
      </c>
      <c r="AA16" s="377">
        <v>0</v>
      </c>
      <c r="AB16" s="376">
        <v>0.42</v>
      </c>
      <c r="AC16" s="377">
        <v>0.01</v>
      </c>
      <c r="AD16" s="376">
        <v>0.22</v>
      </c>
      <c r="AE16" s="377">
        <v>0.01</v>
      </c>
      <c r="AF16" s="376">
        <v>0.18</v>
      </c>
      <c r="AG16" s="377">
        <v>0.01</v>
      </c>
      <c r="AH16" s="376">
        <v>0</v>
      </c>
      <c r="AI16" s="377">
        <v>0</v>
      </c>
      <c r="AJ16" s="376">
        <v>0</v>
      </c>
      <c r="AK16" s="377">
        <v>0</v>
      </c>
      <c r="AL16" s="376">
        <v>0.02</v>
      </c>
      <c r="AM16" s="377">
        <v>0</v>
      </c>
      <c r="AN16" s="376">
        <v>0</v>
      </c>
      <c r="AO16" s="377">
        <v>0</v>
      </c>
      <c r="AP16" s="376">
        <v>0</v>
      </c>
      <c r="AQ16" s="377">
        <v>0</v>
      </c>
      <c r="AR16" s="376">
        <v>0</v>
      </c>
      <c r="AS16" s="377">
        <v>0</v>
      </c>
      <c r="AT16" s="376">
        <v>0</v>
      </c>
      <c r="AU16" s="377">
        <v>0</v>
      </c>
    </row>
    <row r="17" spans="1:47" ht="16.5" customHeight="1">
      <c r="A17" s="357"/>
      <c r="B17" s="378"/>
      <c r="C17" s="379"/>
      <c r="D17" s="380" t="s">
        <v>310</v>
      </c>
      <c r="E17" s="381"/>
      <c r="F17" s="381">
        <v>4.4586347284557855</v>
      </c>
      <c r="G17" s="381" t="s">
        <v>46</v>
      </c>
      <c r="H17" s="382">
        <v>33.893789107913854</v>
      </c>
      <c r="I17" s="383"/>
      <c r="J17" s="382">
        <v>24.165641321525865</v>
      </c>
      <c r="K17" s="383"/>
      <c r="L17" s="382">
        <v>31.679959719767133</v>
      </c>
      <c r="M17" s="383"/>
      <c r="N17" s="382">
        <v>22.840571097636346</v>
      </c>
      <c r="O17" s="383"/>
      <c r="P17" s="382">
        <v>35.685169858399711</v>
      </c>
      <c r="Q17" s="383"/>
      <c r="R17" s="382">
        <v>9.482391804499688</v>
      </c>
      <c r="S17" s="383"/>
      <c r="T17" s="382">
        <v>12.058587209729492</v>
      </c>
      <c r="U17" s="383"/>
      <c r="V17" s="382">
        <v>8.2444527506817824</v>
      </c>
      <c r="W17" s="383"/>
      <c r="X17" s="382">
        <v>4.5267706230902549</v>
      </c>
      <c r="Y17" s="383"/>
      <c r="Z17" s="382">
        <v>4.2579778919723338E-2</v>
      </c>
      <c r="AA17" s="383"/>
      <c r="AB17" s="382">
        <v>0.11303056889346051</v>
      </c>
      <c r="AC17" s="383"/>
      <c r="AD17" s="382">
        <v>8.6192812081764839E-2</v>
      </c>
      <c r="AE17" s="383"/>
      <c r="AF17" s="382">
        <v>4.6192812081764838E-2</v>
      </c>
      <c r="AG17" s="383"/>
      <c r="AH17" s="382">
        <v>0</v>
      </c>
      <c r="AI17" s="383"/>
      <c r="AJ17" s="382">
        <v>0</v>
      </c>
      <c r="AK17" s="383"/>
      <c r="AL17" s="382">
        <v>4.2579778919723341E-3</v>
      </c>
      <c r="AM17" s="383"/>
      <c r="AN17" s="382">
        <v>0</v>
      </c>
      <c r="AO17" s="383"/>
      <c r="AP17" s="382">
        <v>0</v>
      </c>
      <c r="AQ17" s="383"/>
      <c r="AR17" s="382">
        <v>0</v>
      </c>
      <c r="AS17" s="383"/>
      <c r="AT17" s="382">
        <v>0</v>
      </c>
      <c r="AU17" s="383"/>
    </row>
    <row r="18" spans="1:47" ht="16.5" customHeight="1">
      <c r="A18" s="357"/>
      <c r="B18" s="368">
        <v>9</v>
      </c>
      <c r="C18" s="369" t="s">
        <v>59</v>
      </c>
      <c r="D18" s="374" t="s">
        <v>123</v>
      </c>
      <c r="E18" s="375">
        <v>72778</v>
      </c>
      <c r="F18" s="375">
        <v>4.1399999999999997</v>
      </c>
      <c r="G18" s="375" t="s">
        <v>46</v>
      </c>
      <c r="H18" s="376">
        <v>24.53</v>
      </c>
      <c r="I18" s="377">
        <v>0.05</v>
      </c>
      <c r="J18" s="376">
        <v>21.75</v>
      </c>
      <c r="K18" s="377">
        <v>7.0000000000000007E-2</v>
      </c>
      <c r="L18" s="376">
        <v>18.600000000000001</v>
      </c>
      <c r="M18" s="377">
        <v>0.6</v>
      </c>
      <c r="N18" s="376">
        <v>17.7</v>
      </c>
      <c r="O18" s="377">
        <v>0.8</v>
      </c>
      <c r="P18" s="376">
        <v>43.49</v>
      </c>
      <c r="Q18" s="377">
        <v>2.93</v>
      </c>
      <c r="R18" s="376">
        <v>15.6</v>
      </c>
      <c r="S18" s="377">
        <v>0.2</v>
      </c>
      <c r="T18" s="376">
        <v>18.399999999999999</v>
      </c>
      <c r="U18" s="377">
        <v>1.53</v>
      </c>
      <c r="V18" s="376">
        <v>7.6849999999999996</v>
      </c>
      <c r="W18" s="377">
        <v>0.14899999999999999</v>
      </c>
      <c r="X18" s="376">
        <v>3.83</v>
      </c>
      <c r="Y18" s="377">
        <v>0.11</v>
      </c>
      <c r="Z18" s="376">
        <v>2.4900000000000002</v>
      </c>
      <c r="AA18" s="377">
        <v>0.14000000000000001</v>
      </c>
      <c r="AB18" s="376">
        <v>5.63</v>
      </c>
      <c r="AC18" s="377">
        <v>0.28000000000000003</v>
      </c>
      <c r="AD18" s="376">
        <v>3.14</v>
      </c>
      <c r="AE18" s="377">
        <v>0.14000000000000001</v>
      </c>
      <c r="AF18" s="376">
        <v>2.39</v>
      </c>
      <c r="AG18" s="377">
        <v>0.01</v>
      </c>
      <c r="AH18" s="376">
        <v>0.2</v>
      </c>
      <c r="AI18" s="377">
        <v>0</v>
      </c>
      <c r="AJ18" s="376">
        <v>0</v>
      </c>
      <c r="AK18" s="377">
        <v>0</v>
      </c>
      <c r="AL18" s="376">
        <v>0</v>
      </c>
      <c r="AM18" s="377">
        <v>0</v>
      </c>
      <c r="AN18" s="376">
        <v>0</v>
      </c>
      <c r="AO18" s="377">
        <v>0</v>
      </c>
      <c r="AP18" s="376">
        <v>0</v>
      </c>
      <c r="AQ18" s="377">
        <v>0</v>
      </c>
      <c r="AR18" s="376">
        <v>0</v>
      </c>
      <c r="AS18" s="377">
        <v>0</v>
      </c>
      <c r="AT18" s="376">
        <v>0</v>
      </c>
      <c r="AU18" s="377">
        <v>0</v>
      </c>
    </row>
    <row r="19" spans="1:47" ht="16.5" customHeight="1">
      <c r="A19" s="357"/>
      <c r="B19" s="368">
        <v>10</v>
      </c>
      <c r="C19" s="369" t="s">
        <v>60</v>
      </c>
      <c r="D19" s="374" t="s">
        <v>305</v>
      </c>
      <c r="E19" s="375">
        <v>38863</v>
      </c>
      <c r="F19" s="375">
        <v>6.77</v>
      </c>
      <c r="G19" s="375">
        <v>1.4139999999999999</v>
      </c>
      <c r="H19" s="376">
        <v>27.95</v>
      </c>
      <c r="I19" s="377">
        <v>0.54</v>
      </c>
      <c r="J19" s="376">
        <v>16.25</v>
      </c>
      <c r="K19" s="377">
        <v>0.31</v>
      </c>
      <c r="L19" s="376">
        <v>29.2</v>
      </c>
      <c r="M19" s="377">
        <v>0.4</v>
      </c>
      <c r="N19" s="376">
        <v>17.5</v>
      </c>
      <c r="O19" s="377">
        <v>0.3</v>
      </c>
      <c r="P19" s="376">
        <v>17.760000000000002</v>
      </c>
      <c r="Q19" s="377">
        <v>1.45</v>
      </c>
      <c r="R19" s="376">
        <v>0.2</v>
      </c>
      <c r="S19" s="377">
        <v>0</v>
      </c>
      <c r="T19" s="376">
        <v>4.79</v>
      </c>
      <c r="U19" s="377">
        <v>0.15</v>
      </c>
      <c r="V19" s="376">
        <v>7.0979999999999999</v>
      </c>
      <c r="W19" s="377">
        <v>1.9330000000000001</v>
      </c>
      <c r="X19" s="376">
        <v>4.1500000000000004</v>
      </c>
      <c r="Y19" s="377">
        <v>0.35</v>
      </c>
      <c r="Z19" s="376">
        <v>0.48</v>
      </c>
      <c r="AA19" s="377">
        <v>0.01</v>
      </c>
      <c r="AB19" s="376">
        <v>0.48</v>
      </c>
      <c r="AC19" s="377">
        <v>0.01</v>
      </c>
      <c r="AD19" s="376">
        <v>0</v>
      </c>
      <c r="AE19" s="377">
        <v>0</v>
      </c>
      <c r="AF19" s="376">
        <v>0.39</v>
      </c>
      <c r="AG19" s="377">
        <v>0</v>
      </c>
      <c r="AH19" s="376">
        <v>0.09</v>
      </c>
      <c r="AI19" s="377">
        <v>0.01</v>
      </c>
      <c r="AJ19" s="376">
        <v>0</v>
      </c>
      <c r="AK19" s="377">
        <v>0</v>
      </c>
      <c r="AL19" s="376">
        <v>0</v>
      </c>
      <c r="AM19" s="377">
        <v>0</v>
      </c>
      <c r="AN19" s="376">
        <v>0</v>
      </c>
      <c r="AO19" s="377">
        <v>0</v>
      </c>
      <c r="AP19" s="376">
        <v>0</v>
      </c>
      <c r="AQ19" s="377">
        <v>0</v>
      </c>
      <c r="AR19" s="376">
        <v>0</v>
      </c>
      <c r="AS19" s="377">
        <v>0</v>
      </c>
      <c r="AT19" s="376">
        <v>0</v>
      </c>
      <c r="AU19" s="377">
        <v>0</v>
      </c>
    </row>
    <row r="20" spans="1:47" ht="16.5" customHeight="1">
      <c r="A20" s="357"/>
      <c r="B20" s="378"/>
      <c r="C20" s="379" t="s">
        <v>306</v>
      </c>
      <c r="D20" s="374" t="s">
        <v>227</v>
      </c>
      <c r="E20" s="375">
        <v>144002</v>
      </c>
      <c r="F20" s="375">
        <v>6.79</v>
      </c>
      <c r="G20" s="375">
        <v>0.46800000000000003</v>
      </c>
      <c r="H20" s="376">
        <v>31.35</v>
      </c>
      <c r="I20" s="377">
        <v>1.58</v>
      </c>
      <c r="J20" s="376">
        <v>19.28</v>
      </c>
      <c r="K20" s="377">
        <v>0.92</v>
      </c>
      <c r="L20" s="376">
        <v>32.299999999999997</v>
      </c>
      <c r="M20" s="377">
        <v>0.2</v>
      </c>
      <c r="N20" s="376">
        <v>20.100000000000001</v>
      </c>
      <c r="O20" s="377">
        <v>0.4</v>
      </c>
      <c r="P20" s="376">
        <v>12.26</v>
      </c>
      <c r="Q20" s="377">
        <v>1.33</v>
      </c>
      <c r="R20" s="376">
        <v>0.2</v>
      </c>
      <c r="S20" s="377">
        <v>0</v>
      </c>
      <c r="T20" s="376">
        <v>8.42</v>
      </c>
      <c r="U20" s="377">
        <v>0.75</v>
      </c>
      <c r="V20" s="376">
        <v>4.2779999999999996</v>
      </c>
      <c r="W20" s="377">
        <v>0.878</v>
      </c>
      <c r="X20" s="376">
        <v>1.48</v>
      </c>
      <c r="Y20" s="377">
        <v>0.6</v>
      </c>
      <c r="Z20" s="376">
        <v>0</v>
      </c>
      <c r="AA20" s="377">
        <v>0</v>
      </c>
      <c r="AB20" s="376">
        <v>0</v>
      </c>
      <c r="AC20" s="377">
        <v>0</v>
      </c>
      <c r="AD20" s="376">
        <v>0</v>
      </c>
      <c r="AE20" s="377">
        <v>0</v>
      </c>
      <c r="AF20" s="376">
        <v>0</v>
      </c>
      <c r="AG20" s="377">
        <v>0</v>
      </c>
      <c r="AH20" s="376">
        <v>0</v>
      </c>
      <c r="AI20" s="377">
        <v>0</v>
      </c>
      <c r="AJ20" s="376">
        <v>0</v>
      </c>
      <c r="AK20" s="377">
        <v>0</v>
      </c>
      <c r="AL20" s="376">
        <v>0</v>
      </c>
      <c r="AM20" s="377">
        <v>0</v>
      </c>
      <c r="AN20" s="376">
        <v>0</v>
      </c>
      <c r="AO20" s="377">
        <v>0</v>
      </c>
      <c r="AP20" s="376">
        <v>0</v>
      </c>
      <c r="AQ20" s="377">
        <v>0</v>
      </c>
      <c r="AR20" s="376">
        <v>0</v>
      </c>
      <c r="AS20" s="377">
        <v>0</v>
      </c>
      <c r="AT20" s="376">
        <v>0</v>
      </c>
      <c r="AU20" s="377">
        <v>0</v>
      </c>
    </row>
    <row r="21" spans="1:47" ht="16.5" customHeight="1">
      <c r="A21" s="357"/>
      <c r="B21" s="378"/>
      <c r="C21" s="379"/>
      <c r="D21" s="380" t="s">
        <v>311</v>
      </c>
      <c r="E21" s="381"/>
      <c r="F21" s="381">
        <v>6.785671791217049</v>
      </c>
      <c r="G21" s="382">
        <v>0.66904666283870606</v>
      </c>
      <c r="H21" s="382">
        <v>30.627422142017334</v>
      </c>
      <c r="I21" s="383"/>
      <c r="J21" s="382">
        <v>18.636055614797801</v>
      </c>
      <c r="K21" s="383"/>
      <c r="L21" s="382">
        <v>31.641179011839331</v>
      </c>
      <c r="M21" s="383"/>
      <c r="N21" s="382">
        <v>19.547440461542671</v>
      </c>
      <c r="O21" s="383"/>
      <c r="P21" s="382">
        <v>13.428875946736664</v>
      </c>
      <c r="Q21" s="383"/>
      <c r="R21" s="382">
        <v>0.2</v>
      </c>
      <c r="S21" s="383"/>
      <c r="T21" s="382">
        <v>7.6485418751538026</v>
      </c>
      <c r="U21" s="383"/>
      <c r="V21" s="382">
        <v>4.8773145763267989</v>
      </c>
      <c r="W21" s="383"/>
      <c r="X21" s="382">
        <v>2.0474361414157989</v>
      </c>
      <c r="Y21" s="383"/>
      <c r="Z21" s="382">
        <v>0.10201099171519973</v>
      </c>
      <c r="AA21" s="383"/>
      <c r="AB21" s="382">
        <v>0.10201099171519973</v>
      </c>
      <c r="AC21" s="383"/>
      <c r="AD21" s="382">
        <v>0</v>
      </c>
      <c r="AE21" s="383"/>
      <c r="AF21" s="382">
        <v>8.2883930768599789E-2</v>
      </c>
      <c r="AG21" s="383"/>
      <c r="AH21" s="382">
        <v>1.9127060946599952E-2</v>
      </c>
      <c r="AI21" s="383"/>
      <c r="AJ21" s="382">
        <v>0</v>
      </c>
      <c r="AK21" s="383"/>
      <c r="AL21" s="382">
        <v>0</v>
      </c>
      <c r="AM21" s="383"/>
      <c r="AN21" s="382">
        <v>0</v>
      </c>
      <c r="AO21" s="383"/>
      <c r="AP21" s="382">
        <v>0</v>
      </c>
      <c r="AQ21" s="383"/>
      <c r="AR21" s="382">
        <v>0</v>
      </c>
      <c r="AS21" s="383"/>
      <c r="AT21" s="382">
        <v>0</v>
      </c>
      <c r="AU21" s="383"/>
    </row>
    <row r="22" spans="1:47" ht="16.5" customHeight="1">
      <c r="A22" s="357"/>
      <c r="B22" s="368">
        <v>11</v>
      </c>
      <c r="C22" s="369" t="s">
        <v>61</v>
      </c>
      <c r="D22" s="374" t="s">
        <v>312</v>
      </c>
      <c r="E22" s="381">
        <v>31628</v>
      </c>
      <c r="F22" s="375">
        <v>6.67</v>
      </c>
      <c r="G22" s="375">
        <v>0.69610000000000005</v>
      </c>
      <c r="H22" s="376">
        <v>36.68</v>
      </c>
      <c r="I22" s="377">
        <v>7.0000000000000007E-2</v>
      </c>
      <c r="J22" s="376">
        <v>20.420000000000002</v>
      </c>
      <c r="K22" s="377">
        <v>0.02</v>
      </c>
      <c r="L22" s="376">
        <v>37.299999999999997</v>
      </c>
      <c r="M22" s="377">
        <v>0.6</v>
      </c>
      <c r="N22" s="376">
        <v>21.8</v>
      </c>
      <c r="O22" s="377">
        <v>0.4</v>
      </c>
      <c r="P22" s="376">
        <v>33.83</v>
      </c>
      <c r="Q22" s="377">
        <v>0.66</v>
      </c>
      <c r="R22" s="376">
        <v>4.5</v>
      </c>
      <c r="S22" s="377">
        <v>0.1</v>
      </c>
      <c r="T22" s="376">
        <v>4.5999999999999996</v>
      </c>
      <c r="U22" s="377">
        <v>0.47</v>
      </c>
      <c r="V22" s="376">
        <v>5.5590000000000002</v>
      </c>
      <c r="W22" s="377">
        <v>0.39200000000000002</v>
      </c>
      <c r="X22" s="376">
        <v>3.88</v>
      </c>
      <c r="Y22" s="377">
        <v>0.32</v>
      </c>
      <c r="Z22" s="376">
        <v>1.47</v>
      </c>
      <c r="AA22" s="377">
        <v>0.02</v>
      </c>
      <c r="AB22" s="376">
        <v>1.47</v>
      </c>
      <c r="AC22" s="377">
        <v>0.02</v>
      </c>
      <c r="AD22" s="376">
        <v>0</v>
      </c>
      <c r="AE22" s="377">
        <v>0</v>
      </c>
      <c r="AF22" s="376">
        <v>1.22</v>
      </c>
      <c r="AG22" s="377">
        <v>0.02</v>
      </c>
      <c r="AH22" s="376">
        <v>0.04</v>
      </c>
      <c r="AI22" s="377">
        <v>0</v>
      </c>
      <c r="AJ22" s="376">
        <v>0.06</v>
      </c>
      <c r="AK22" s="377">
        <v>0</v>
      </c>
      <c r="AL22" s="376">
        <v>0.04</v>
      </c>
      <c r="AM22" s="377">
        <v>0</v>
      </c>
      <c r="AN22" s="376">
        <v>0.1</v>
      </c>
      <c r="AO22" s="377">
        <v>0</v>
      </c>
      <c r="AP22" s="376">
        <v>0</v>
      </c>
      <c r="AQ22" s="377">
        <v>0</v>
      </c>
      <c r="AR22" s="376">
        <v>0</v>
      </c>
      <c r="AS22" s="377">
        <v>0</v>
      </c>
      <c r="AT22" s="376">
        <v>0.01</v>
      </c>
      <c r="AU22" s="377">
        <v>0</v>
      </c>
    </row>
    <row r="23" spans="1:47" ht="16.5" customHeight="1">
      <c r="A23" s="357"/>
      <c r="B23" s="384"/>
      <c r="C23" s="379" t="s">
        <v>306</v>
      </c>
      <c r="D23" s="374" t="s">
        <v>313</v>
      </c>
      <c r="E23" s="381">
        <v>61715</v>
      </c>
      <c r="F23" s="375">
        <v>6.92</v>
      </c>
      <c r="G23" s="375">
        <v>0.38149999999999995</v>
      </c>
      <c r="H23" s="376">
        <v>36.58</v>
      </c>
      <c r="I23" s="377">
        <v>2.2400000000000002</v>
      </c>
      <c r="J23" s="376">
        <v>22.63</v>
      </c>
      <c r="K23" s="377">
        <v>1.32</v>
      </c>
      <c r="L23" s="376">
        <v>36.799999999999997</v>
      </c>
      <c r="M23" s="377">
        <v>2.4</v>
      </c>
      <c r="N23" s="376">
        <v>23.4</v>
      </c>
      <c r="O23" s="377">
        <v>1.3</v>
      </c>
      <c r="P23" s="376">
        <v>0</v>
      </c>
      <c r="Q23" s="377">
        <v>0</v>
      </c>
      <c r="R23" s="376">
        <v>0.9</v>
      </c>
      <c r="S23" s="377">
        <v>0.1</v>
      </c>
      <c r="T23" s="376">
        <v>10.55</v>
      </c>
      <c r="U23" s="377">
        <v>0.61</v>
      </c>
      <c r="V23" s="376">
        <v>3.9950000000000001</v>
      </c>
      <c r="W23" s="377">
        <v>0.215</v>
      </c>
      <c r="X23" s="376">
        <v>1.68</v>
      </c>
      <c r="Y23" s="377">
        <v>0.04</v>
      </c>
      <c r="Z23" s="376">
        <v>0.08</v>
      </c>
      <c r="AA23" s="377">
        <v>0.01</v>
      </c>
      <c r="AB23" s="376">
        <v>0.08</v>
      </c>
      <c r="AC23" s="377">
        <v>0.01</v>
      </c>
      <c r="AD23" s="376">
        <v>0</v>
      </c>
      <c r="AE23" s="377">
        <v>0</v>
      </c>
      <c r="AF23" s="376">
        <v>0.06</v>
      </c>
      <c r="AG23" s="377">
        <v>0.01</v>
      </c>
      <c r="AH23" s="376">
        <v>0</v>
      </c>
      <c r="AI23" s="377">
        <v>0</v>
      </c>
      <c r="AJ23" s="376">
        <v>0</v>
      </c>
      <c r="AK23" s="377">
        <v>0</v>
      </c>
      <c r="AL23" s="376">
        <v>0</v>
      </c>
      <c r="AM23" s="377">
        <v>0</v>
      </c>
      <c r="AN23" s="376">
        <v>0.03</v>
      </c>
      <c r="AO23" s="377">
        <v>0</v>
      </c>
      <c r="AP23" s="376">
        <v>0</v>
      </c>
      <c r="AQ23" s="377">
        <v>0</v>
      </c>
      <c r="AR23" s="376">
        <v>0</v>
      </c>
      <c r="AS23" s="377">
        <v>0</v>
      </c>
      <c r="AT23" s="376">
        <v>0</v>
      </c>
      <c r="AU23" s="377">
        <v>0</v>
      </c>
    </row>
    <row r="24" spans="1:47" ht="16.5" customHeight="1">
      <c r="A24" s="357"/>
      <c r="B24" s="384"/>
      <c r="C24" s="379"/>
      <c r="D24" s="380" t="s">
        <v>314</v>
      </c>
      <c r="E24" s="381"/>
      <c r="F24" s="381">
        <v>6.818351705702864</v>
      </c>
      <c r="G24" s="382">
        <v>0.48809920241903676</v>
      </c>
      <c r="H24" s="382">
        <v>36.613884043998425</v>
      </c>
      <c r="I24" s="383"/>
      <c r="J24" s="382">
        <v>21.881162627634865</v>
      </c>
      <c r="K24" s="383"/>
      <c r="L24" s="382">
        <v>36.969420219992109</v>
      </c>
      <c r="M24" s="383"/>
      <c r="N24" s="382">
        <v>22.857855296025242</v>
      </c>
      <c r="O24" s="383"/>
      <c r="P24" s="382">
        <v>11.462972084666287</v>
      </c>
      <c r="Q24" s="383"/>
      <c r="R24" s="382">
        <v>2.119825583943205</v>
      </c>
      <c r="S24" s="383"/>
      <c r="T24" s="382">
        <v>8.5338993820938693</v>
      </c>
      <c r="U24" s="383"/>
      <c r="V24" s="382">
        <v>4.5249464481353252</v>
      </c>
      <c r="W24" s="383"/>
      <c r="X24" s="382">
        <v>2.4254489679652922</v>
      </c>
      <c r="Y24" s="383"/>
      <c r="Z24" s="382">
        <v>0.55098821157807087</v>
      </c>
      <c r="AA24" s="383"/>
      <c r="AB24" s="382">
        <v>0.55098821157807087</v>
      </c>
      <c r="AC24" s="383"/>
      <c r="AD24" s="382">
        <v>0</v>
      </c>
      <c r="AE24" s="383"/>
      <c r="AF24" s="382">
        <v>0.45305491038169943</v>
      </c>
      <c r="AG24" s="383"/>
      <c r="AH24" s="382">
        <v>1.3553617599368947E-2</v>
      </c>
      <c r="AI24" s="383"/>
      <c r="AJ24" s="382">
        <v>2.0330426399053421E-2</v>
      </c>
      <c r="AK24" s="383"/>
      <c r="AL24" s="382">
        <v>1.3553617599368947E-2</v>
      </c>
      <c r="AM24" s="383"/>
      <c r="AN24" s="382">
        <v>5.371883079889566E-2</v>
      </c>
      <c r="AO24" s="383"/>
      <c r="AP24" s="382">
        <v>0</v>
      </c>
      <c r="AQ24" s="383"/>
      <c r="AR24" s="382">
        <v>0</v>
      </c>
      <c r="AS24" s="383"/>
      <c r="AT24" s="382">
        <v>3.3884043998422368E-3</v>
      </c>
      <c r="AU24" s="383"/>
    </row>
    <row r="25" spans="1:47" ht="16.5" customHeight="1">
      <c r="A25" s="357"/>
      <c r="B25" s="378">
        <v>11</v>
      </c>
      <c r="C25" s="379" t="s">
        <v>63</v>
      </c>
      <c r="D25" s="374" t="s">
        <v>312</v>
      </c>
      <c r="E25" s="381">
        <v>46697</v>
      </c>
      <c r="F25" s="375">
        <v>6.8</v>
      </c>
      <c r="G25" s="375" t="s">
        <v>46</v>
      </c>
      <c r="H25" s="376">
        <v>36.35</v>
      </c>
      <c r="I25" s="377">
        <v>0.82</v>
      </c>
      <c r="J25" s="376">
        <v>20.77</v>
      </c>
      <c r="K25" s="377">
        <v>0.47</v>
      </c>
      <c r="L25" s="376">
        <v>33.700000000000003</v>
      </c>
      <c r="M25" s="377">
        <v>2.8</v>
      </c>
      <c r="N25" s="376">
        <v>19.2</v>
      </c>
      <c r="O25" s="377">
        <v>3.7</v>
      </c>
      <c r="P25" s="376" t="s">
        <v>46</v>
      </c>
      <c r="Q25" s="377" t="s">
        <v>46</v>
      </c>
      <c r="R25" s="376" t="s">
        <v>46</v>
      </c>
      <c r="S25" s="377" t="s">
        <v>46</v>
      </c>
      <c r="T25" s="376" t="s">
        <v>46</v>
      </c>
      <c r="U25" s="377" t="s">
        <v>46</v>
      </c>
      <c r="V25" s="376" t="s">
        <v>46</v>
      </c>
      <c r="W25" s="377" t="s">
        <v>46</v>
      </c>
      <c r="X25" s="376" t="s">
        <v>46</v>
      </c>
      <c r="Y25" s="377" t="s">
        <v>46</v>
      </c>
      <c r="Z25" s="376" t="s">
        <v>46</v>
      </c>
      <c r="AA25" s="377" t="s">
        <v>46</v>
      </c>
      <c r="AB25" s="376" t="s">
        <v>46</v>
      </c>
      <c r="AC25" s="377" t="s">
        <v>46</v>
      </c>
      <c r="AD25" s="376" t="s">
        <v>46</v>
      </c>
      <c r="AE25" s="377" t="s">
        <v>46</v>
      </c>
      <c r="AF25" s="376" t="s">
        <v>46</v>
      </c>
      <c r="AG25" s="377" t="s">
        <v>46</v>
      </c>
      <c r="AH25" s="376" t="s">
        <v>46</v>
      </c>
      <c r="AI25" s="377" t="s">
        <v>46</v>
      </c>
      <c r="AJ25" s="376" t="s">
        <v>46</v>
      </c>
      <c r="AK25" s="377" t="s">
        <v>46</v>
      </c>
      <c r="AL25" s="376" t="s">
        <v>46</v>
      </c>
      <c r="AM25" s="377" t="s">
        <v>46</v>
      </c>
      <c r="AN25" s="376" t="s">
        <v>46</v>
      </c>
      <c r="AO25" s="377" t="s">
        <v>46</v>
      </c>
      <c r="AP25" s="376" t="s">
        <v>46</v>
      </c>
      <c r="AQ25" s="377" t="s">
        <v>46</v>
      </c>
      <c r="AR25" s="376" t="s">
        <v>46</v>
      </c>
      <c r="AS25" s="377" t="s">
        <v>46</v>
      </c>
      <c r="AT25" s="376" t="s">
        <v>46</v>
      </c>
      <c r="AU25" s="377" t="s">
        <v>46</v>
      </c>
    </row>
    <row r="26" spans="1:47" ht="16.5" customHeight="1">
      <c r="A26" s="357"/>
      <c r="B26" s="378"/>
      <c r="C26" s="379" t="s">
        <v>306</v>
      </c>
      <c r="D26" s="374" t="s">
        <v>313</v>
      </c>
      <c r="E26" s="381">
        <v>46697</v>
      </c>
      <c r="F26" s="375">
        <v>7.18</v>
      </c>
      <c r="G26" s="375" t="s">
        <v>46</v>
      </c>
      <c r="H26" s="376">
        <v>46.4</v>
      </c>
      <c r="I26" s="377">
        <v>0.99</v>
      </c>
      <c r="J26" s="376">
        <v>26.33</v>
      </c>
      <c r="K26" s="377">
        <v>1.23</v>
      </c>
      <c r="L26" s="376">
        <v>46.1</v>
      </c>
      <c r="M26" s="377">
        <v>0.6</v>
      </c>
      <c r="N26" s="376">
        <v>22.9</v>
      </c>
      <c r="O26" s="377">
        <v>0.8</v>
      </c>
      <c r="P26" s="376" t="s">
        <v>46</v>
      </c>
      <c r="Q26" s="377" t="s">
        <v>46</v>
      </c>
      <c r="R26" s="376" t="s">
        <v>46</v>
      </c>
      <c r="S26" s="377" t="s">
        <v>46</v>
      </c>
      <c r="T26" s="376" t="s">
        <v>46</v>
      </c>
      <c r="U26" s="377" t="s">
        <v>46</v>
      </c>
      <c r="V26" s="376" t="s">
        <v>46</v>
      </c>
      <c r="W26" s="377" t="s">
        <v>46</v>
      </c>
      <c r="X26" s="376" t="s">
        <v>46</v>
      </c>
      <c r="Y26" s="377" t="s">
        <v>46</v>
      </c>
      <c r="Z26" s="376" t="s">
        <v>46</v>
      </c>
      <c r="AA26" s="377" t="s">
        <v>46</v>
      </c>
      <c r="AB26" s="376" t="s">
        <v>46</v>
      </c>
      <c r="AC26" s="377" t="s">
        <v>46</v>
      </c>
      <c r="AD26" s="376" t="s">
        <v>46</v>
      </c>
      <c r="AE26" s="377" t="s">
        <v>46</v>
      </c>
      <c r="AF26" s="376" t="s">
        <v>46</v>
      </c>
      <c r="AG26" s="377" t="s">
        <v>46</v>
      </c>
      <c r="AH26" s="376" t="s">
        <v>46</v>
      </c>
      <c r="AI26" s="377" t="s">
        <v>46</v>
      </c>
      <c r="AJ26" s="376" t="s">
        <v>46</v>
      </c>
      <c r="AK26" s="377" t="s">
        <v>46</v>
      </c>
      <c r="AL26" s="376" t="s">
        <v>46</v>
      </c>
      <c r="AM26" s="377" t="s">
        <v>46</v>
      </c>
      <c r="AN26" s="376" t="s">
        <v>46</v>
      </c>
      <c r="AO26" s="377" t="s">
        <v>46</v>
      </c>
      <c r="AP26" s="376" t="s">
        <v>46</v>
      </c>
      <c r="AQ26" s="377" t="s">
        <v>46</v>
      </c>
      <c r="AR26" s="376" t="s">
        <v>46</v>
      </c>
      <c r="AS26" s="377" t="s">
        <v>46</v>
      </c>
      <c r="AT26" s="376" t="s">
        <v>46</v>
      </c>
      <c r="AU26" s="377" t="s">
        <v>46</v>
      </c>
    </row>
    <row r="27" spans="1:47" ht="16.5" customHeight="1">
      <c r="A27" s="357"/>
      <c r="B27" s="378"/>
      <c r="C27" s="379"/>
      <c r="D27" s="380" t="s">
        <v>315</v>
      </c>
      <c r="E27" s="381"/>
      <c r="F27" s="381">
        <v>6.9497001797515194</v>
      </c>
      <c r="G27" s="381" t="s">
        <v>46</v>
      </c>
      <c r="H27" s="382">
        <v>41.375</v>
      </c>
      <c r="I27" s="383"/>
      <c r="J27" s="382">
        <v>23.55</v>
      </c>
      <c r="K27" s="383"/>
      <c r="L27" s="382">
        <v>39.9</v>
      </c>
      <c r="M27" s="383"/>
      <c r="N27" s="382">
        <v>21.05</v>
      </c>
      <c r="O27" s="383"/>
      <c r="P27" s="382"/>
      <c r="Q27" s="383"/>
      <c r="R27" s="382"/>
      <c r="S27" s="383"/>
      <c r="T27" s="382"/>
      <c r="U27" s="383"/>
      <c r="V27" s="382"/>
      <c r="W27" s="383"/>
      <c r="X27" s="382"/>
      <c r="Y27" s="383"/>
      <c r="Z27" s="382"/>
      <c r="AA27" s="383"/>
      <c r="AB27" s="382"/>
      <c r="AC27" s="383"/>
      <c r="AD27" s="382"/>
      <c r="AE27" s="383"/>
      <c r="AF27" s="382"/>
      <c r="AG27" s="383"/>
      <c r="AH27" s="382"/>
      <c r="AI27" s="383"/>
      <c r="AJ27" s="382"/>
      <c r="AK27" s="383"/>
      <c r="AL27" s="382"/>
      <c r="AM27" s="383"/>
      <c r="AN27" s="382"/>
      <c r="AO27" s="383"/>
      <c r="AP27" s="382"/>
      <c r="AQ27" s="383"/>
      <c r="AR27" s="382"/>
      <c r="AS27" s="383"/>
      <c r="AT27" s="382"/>
      <c r="AU27" s="383"/>
    </row>
    <row r="28" spans="1:47" ht="16.5" customHeight="1">
      <c r="A28" s="357"/>
      <c r="B28" s="368">
        <v>12</v>
      </c>
      <c r="C28" s="369" t="s">
        <v>64</v>
      </c>
      <c r="D28" s="374" t="s">
        <v>187</v>
      </c>
      <c r="E28" s="375">
        <v>36812</v>
      </c>
      <c r="F28" s="375">
        <v>5.41</v>
      </c>
      <c r="G28" s="375">
        <v>5.23</v>
      </c>
      <c r="H28" s="376">
        <v>47.24</v>
      </c>
      <c r="I28" s="377">
        <v>1.26</v>
      </c>
      <c r="J28" s="376">
        <v>32.479999999999997</v>
      </c>
      <c r="K28" s="377">
        <v>0.88</v>
      </c>
      <c r="L28" s="376">
        <v>34.299999999999997</v>
      </c>
      <c r="M28" s="377">
        <v>1.2</v>
      </c>
      <c r="N28" s="376">
        <v>27.6</v>
      </c>
      <c r="O28" s="377">
        <v>0.6</v>
      </c>
      <c r="P28" s="376">
        <v>96.81</v>
      </c>
      <c r="Q28" s="377">
        <v>3.52</v>
      </c>
      <c r="R28" s="376">
        <v>45.8</v>
      </c>
      <c r="S28" s="377">
        <v>3</v>
      </c>
      <c r="T28" s="376">
        <v>7.87</v>
      </c>
      <c r="U28" s="377">
        <v>0.25</v>
      </c>
      <c r="V28" s="376">
        <v>12.644</v>
      </c>
      <c r="W28" s="377">
        <v>3.0350000000000001</v>
      </c>
      <c r="X28" s="376">
        <v>9.8000000000000007</v>
      </c>
      <c r="Y28" s="377">
        <v>0.92</v>
      </c>
      <c r="Z28" s="376">
        <v>21.17</v>
      </c>
      <c r="AA28" s="377">
        <v>0.81</v>
      </c>
      <c r="AB28" s="376">
        <v>22.72</v>
      </c>
      <c r="AC28" s="377">
        <v>0.85</v>
      </c>
      <c r="AD28" s="376">
        <v>1.55</v>
      </c>
      <c r="AE28" s="377">
        <v>0.04</v>
      </c>
      <c r="AF28" s="376">
        <v>4.17</v>
      </c>
      <c r="AG28" s="377">
        <v>0.11</v>
      </c>
      <c r="AH28" s="376">
        <v>0.64</v>
      </c>
      <c r="AI28" s="377">
        <v>0.02</v>
      </c>
      <c r="AJ28" s="376">
        <v>0.45</v>
      </c>
      <c r="AK28" s="377">
        <v>0.01</v>
      </c>
      <c r="AL28" s="376">
        <v>5.92</v>
      </c>
      <c r="AM28" s="377">
        <v>0.28999999999999998</v>
      </c>
      <c r="AN28" s="376">
        <v>0.92</v>
      </c>
      <c r="AO28" s="377">
        <v>0.1</v>
      </c>
      <c r="AP28" s="376">
        <v>1.25</v>
      </c>
      <c r="AQ28" s="377">
        <v>0.05</v>
      </c>
      <c r="AR28" s="376">
        <v>0.04</v>
      </c>
      <c r="AS28" s="377">
        <v>0</v>
      </c>
      <c r="AT28" s="376">
        <v>7.78</v>
      </c>
      <c r="AU28" s="377">
        <v>0.24</v>
      </c>
    </row>
    <row r="29" spans="1:47" ht="16.5" customHeight="1">
      <c r="A29" s="357"/>
      <c r="B29" s="385">
        <v>13</v>
      </c>
      <c r="C29" s="386" t="s">
        <v>65</v>
      </c>
      <c r="D29" s="387" t="s">
        <v>305</v>
      </c>
      <c r="E29" s="375">
        <v>56007</v>
      </c>
      <c r="F29" s="375">
        <v>6.02</v>
      </c>
      <c r="G29" s="375">
        <v>1.242</v>
      </c>
      <c r="H29" s="376">
        <v>51.83</v>
      </c>
      <c r="I29" s="377">
        <v>0.09</v>
      </c>
      <c r="J29" s="376">
        <v>37.049999999999997</v>
      </c>
      <c r="K29" s="377">
        <v>0.16</v>
      </c>
      <c r="L29" s="376">
        <v>52</v>
      </c>
      <c r="M29" s="377">
        <v>0.4</v>
      </c>
      <c r="N29" s="376">
        <v>38.799999999999997</v>
      </c>
      <c r="O29" s="377">
        <v>0.5</v>
      </c>
      <c r="P29" s="376">
        <v>58.15</v>
      </c>
      <c r="Q29" s="377">
        <v>4.49</v>
      </c>
      <c r="R29" s="376">
        <v>1.8</v>
      </c>
      <c r="S29" s="377">
        <v>0.2</v>
      </c>
      <c r="T29" s="376">
        <v>13.45</v>
      </c>
      <c r="U29" s="377">
        <v>1.39</v>
      </c>
      <c r="V29" s="376">
        <v>16.771000000000001</v>
      </c>
      <c r="W29" s="377">
        <v>1.1020000000000001</v>
      </c>
      <c r="X29" s="376">
        <v>3.65</v>
      </c>
      <c r="Y29" s="377">
        <v>0.85</v>
      </c>
      <c r="Z29" s="376">
        <v>5.69</v>
      </c>
      <c r="AA29" s="377">
        <v>0.01</v>
      </c>
      <c r="AB29" s="376">
        <v>5.8</v>
      </c>
      <c r="AC29" s="377">
        <v>0.04</v>
      </c>
      <c r="AD29" s="376">
        <v>0.11</v>
      </c>
      <c r="AE29" s="377">
        <v>0.03</v>
      </c>
      <c r="AF29" s="376">
        <v>3.76</v>
      </c>
      <c r="AG29" s="377">
        <v>0.01</v>
      </c>
      <c r="AH29" s="376">
        <v>1.24</v>
      </c>
      <c r="AI29" s="377">
        <v>0.01</v>
      </c>
      <c r="AJ29" s="376">
        <v>0.14000000000000001</v>
      </c>
      <c r="AK29" s="377">
        <v>0</v>
      </c>
      <c r="AL29" s="376">
        <v>0.32</v>
      </c>
      <c r="AM29" s="377">
        <v>0</v>
      </c>
      <c r="AN29" s="376">
        <v>0.14000000000000001</v>
      </c>
      <c r="AO29" s="377">
        <v>0</v>
      </c>
      <c r="AP29" s="376">
        <v>7.0000000000000007E-2</v>
      </c>
      <c r="AQ29" s="377">
        <v>0</v>
      </c>
      <c r="AR29" s="376">
        <v>0</v>
      </c>
      <c r="AS29" s="377">
        <v>0</v>
      </c>
      <c r="AT29" s="376">
        <v>0.02</v>
      </c>
      <c r="AU29" s="377">
        <v>0</v>
      </c>
    </row>
    <row r="30" spans="1:47" ht="16.5" customHeight="1">
      <c r="A30" s="357"/>
      <c r="B30" s="388"/>
      <c r="C30" s="389" t="s">
        <v>306</v>
      </c>
      <c r="D30" s="387" t="s">
        <v>123</v>
      </c>
      <c r="E30" s="375">
        <v>69453</v>
      </c>
      <c r="F30" s="375">
        <v>3.71</v>
      </c>
      <c r="G30" s="375" t="s">
        <v>46</v>
      </c>
      <c r="H30" s="376">
        <v>82.28</v>
      </c>
      <c r="I30" s="377">
        <v>1.39</v>
      </c>
      <c r="J30" s="376">
        <v>71.58</v>
      </c>
      <c r="K30" s="377">
        <v>1.06</v>
      </c>
      <c r="L30" s="376">
        <v>66.7</v>
      </c>
      <c r="M30" s="377">
        <v>7.1</v>
      </c>
      <c r="N30" s="376">
        <v>61.3</v>
      </c>
      <c r="O30" s="377">
        <v>6.4</v>
      </c>
      <c r="P30" s="376">
        <v>132.85</v>
      </c>
      <c r="Q30" s="377">
        <v>0.81</v>
      </c>
      <c r="R30" s="376">
        <v>68.599999999999994</v>
      </c>
      <c r="S30" s="377">
        <v>0.8</v>
      </c>
      <c r="T30" s="376">
        <v>37.130000000000003</v>
      </c>
      <c r="U30" s="377">
        <v>1.52</v>
      </c>
      <c r="V30" s="376">
        <v>19.28</v>
      </c>
      <c r="W30" s="377">
        <v>0.93400000000000005</v>
      </c>
      <c r="X30" s="376">
        <v>13.3</v>
      </c>
      <c r="Y30" s="377">
        <v>0.14000000000000001</v>
      </c>
      <c r="Z30" s="376">
        <v>0.28000000000000003</v>
      </c>
      <c r="AA30" s="377">
        <v>0.01</v>
      </c>
      <c r="AB30" s="376">
        <v>0.74</v>
      </c>
      <c r="AC30" s="377">
        <v>0.04</v>
      </c>
      <c r="AD30" s="376">
        <v>0.46</v>
      </c>
      <c r="AE30" s="377">
        <v>0.03</v>
      </c>
      <c r="AF30" s="376">
        <v>0.28000000000000003</v>
      </c>
      <c r="AG30" s="377">
        <v>0.01</v>
      </c>
      <c r="AH30" s="376">
        <v>0</v>
      </c>
      <c r="AI30" s="377">
        <v>0</v>
      </c>
      <c r="AJ30" s="376">
        <v>0</v>
      </c>
      <c r="AK30" s="377">
        <v>0</v>
      </c>
      <c r="AL30" s="376">
        <v>0</v>
      </c>
      <c r="AM30" s="377">
        <v>0</v>
      </c>
      <c r="AN30" s="376">
        <v>0</v>
      </c>
      <c r="AO30" s="377">
        <v>0</v>
      </c>
      <c r="AP30" s="376">
        <v>0</v>
      </c>
      <c r="AQ30" s="377">
        <v>0</v>
      </c>
      <c r="AR30" s="376">
        <v>0</v>
      </c>
      <c r="AS30" s="377">
        <v>0</v>
      </c>
      <c r="AT30" s="376">
        <v>0</v>
      </c>
      <c r="AU30" s="377">
        <v>0</v>
      </c>
    </row>
    <row r="31" spans="1:47" ht="16.5" customHeight="1">
      <c r="A31" s="357"/>
      <c r="B31" s="390"/>
      <c r="C31" s="391"/>
      <c r="D31" s="392" t="s">
        <v>316</v>
      </c>
      <c r="E31" s="381"/>
      <c r="F31" s="381">
        <v>3.9651023696215133</v>
      </c>
      <c r="G31" s="381" t="s">
        <v>46</v>
      </c>
      <c r="H31" s="382">
        <v>68.686718077474893</v>
      </c>
      <c r="I31" s="383"/>
      <c r="J31" s="382">
        <v>56.165352223816356</v>
      </c>
      <c r="K31" s="383"/>
      <c r="L31" s="382">
        <v>60.137725968436158</v>
      </c>
      <c r="M31" s="383"/>
      <c r="N31" s="382">
        <v>51.255703012912477</v>
      </c>
      <c r="O31" s="383"/>
      <c r="P31" s="382">
        <v>99.502934002869424</v>
      </c>
      <c r="Q31" s="383"/>
      <c r="R31" s="382">
        <v>38.779598278335719</v>
      </c>
      <c r="S31" s="383"/>
      <c r="T31" s="382">
        <v>26.558935437589671</v>
      </c>
      <c r="U31" s="383"/>
      <c r="V31" s="382">
        <v>18.159949282639886</v>
      </c>
      <c r="W31" s="383"/>
      <c r="X31" s="382">
        <v>8.9921126255380202</v>
      </c>
      <c r="Y31" s="383"/>
      <c r="Z31" s="382">
        <v>2.6950954088952659</v>
      </c>
      <c r="AA31" s="383"/>
      <c r="AB31" s="382">
        <v>2.9988507890961258</v>
      </c>
      <c r="AC31" s="383"/>
      <c r="AD31" s="382">
        <v>0.30375538020086085</v>
      </c>
      <c r="AE31" s="383"/>
      <c r="AF31" s="382">
        <v>1.8335179340028693</v>
      </c>
      <c r="AG31" s="383"/>
      <c r="AH31" s="382">
        <v>0.55355236728837875</v>
      </c>
      <c r="AI31" s="383"/>
      <c r="AJ31" s="382">
        <v>6.2497847919655673E-2</v>
      </c>
      <c r="AK31" s="383"/>
      <c r="AL31" s="382">
        <v>0.14285222381635582</v>
      </c>
      <c r="AM31" s="383"/>
      <c r="AN31" s="382">
        <v>6.2497847919655673E-2</v>
      </c>
      <c r="AO31" s="383"/>
      <c r="AP31" s="382">
        <v>3.1248923959827837E-2</v>
      </c>
      <c r="AQ31" s="383"/>
      <c r="AR31" s="382">
        <v>0</v>
      </c>
      <c r="AS31" s="383"/>
      <c r="AT31" s="382">
        <v>8.9282639885222385E-3</v>
      </c>
      <c r="AU31" s="383"/>
    </row>
    <row r="32" spans="1:47" ht="16.5" customHeight="1">
      <c r="A32" s="357"/>
      <c r="B32" s="378">
        <v>14</v>
      </c>
      <c r="C32" s="379" t="s">
        <v>67</v>
      </c>
      <c r="D32" s="374" t="s">
        <v>192</v>
      </c>
      <c r="E32" s="375">
        <v>131768</v>
      </c>
      <c r="F32" s="375">
        <v>3.25</v>
      </c>
      <c r="G32" s="375" t="s">
        <v>46</v>
      </c>
      <c r="H32" s="376">
        <v>455</v>
      </c>
      <c r="I32" s="377">
        <v>15.91</v>
      </c>
      <c r="J32" s="376">
        <v>378.56</v>
      </c>
      <c r="K32" s="377">
        <v>13.52</v>
      </c>
      <c r="L32" s="376">
        <v>202</v>
      </c>
      <c r="M32" s="377">
        <v>7.1</v>
      </c>
      <c r="N32" s="376">
        <v>186.4</v>
      </c>
      <c r="O32" s="377">
        <v>4.4000000000000004</v>
      </c>
      <c r="P32" s="376">
        <v>172.74</v>
      </c>
      <c r="Q32" s="377">
        <v>5.56</v>
      </c>
      <c r="R32" s="376">
        <v>93.1</v>
      </c>
      <c r="S32" s="377">
        <v>14.5</v>
      </c>
      <c r="T32" s="376">
        <v>26.26</v>
      </c>
      <c r="U32" s="377">
        <v>0.52</v>
      </c>
      <c r="V32" s="376">
        <v>21.111999999999998</v>
      </c>
      <c r="W32" s="377">
        <v>0.58399999999999996</v>
      </c>
      <c r="X32" s="376">
        <v>15.18</v>
      </c>
      <c r="Y32" s="377">
        <v>0.18</v>
      </c>
      <c r="Z32" s="376">
        <v>9.0399999999999991</v>
      </c>
      <c r="AA32" s="377">
        <v>0.06</v>
      </c>
      <c r="AB32" s="376">
        <v>14.93</v>
      </c>
      <c r="AC32" s="377">
        <v>0.25</v>
      </c>
      <c r="AD32" s="376">
        <v>5.9</v>
      </c>
      <c r="AE32" s="377">
        <v>0.19</v>
      </c>
      <c r="AF32" s="376">
        <v>8.08</v>
      </c>
      <c r="AG32" s="377">
        <v>0.01</v>
      </c>
      <c r="AH32" s="376">
        <v>0.48</v>
      </c>
      <c r="AI32" s="377">
        <v>0.02</v>
      </c>
      <c r="AJ32" s="376">
        <v>0</v>
      </c>
      <c r="AK32" s="377">
        <v>0</v>
      </c>
      <c r="AL32" s="376">
        <v>0.38</v>
      </c>
      <c r="AM32" s="377">
        <v>0.02</v>
      </c>
      <c r="AN32" s="376">
        <v>0.1</v>
      </c>
      <c r="AO32" s="377">
        <v>0.01</v>
      </c>
      <c r="AP32" s="376">
        <v>0</v>
      </c>
      <c r="AQ32" s="377">
        <v>0</v>
      </c>
      <c r="AR32" s="376">
        <v>0</v>
      </c>
      <c r="AS32" s="377">
        <v>0</v>
      </c>
      <c r="AT32" s="376">
        <v>0</v>
      </c>
      <c r="AU32" s="377">
        <v>0</v>
      </c>
    </row>
    <row r="33" spans="1:47" ht="16.5" customHeight="1">
      <c r="A33" s="357"/>
      <c r="B33" s="368">
        <v>15</v>
      </c>
      <c r="C33" s="369" t="s">
        <v>69</v>
      </c>
      <c r="D33" s="374" t="s">
        <v>141</v>
      </c>
      <c r="E33" s="375">
        <v>43070</v>
      </c>
      <c r="F33" s="375">
        <v>6.95</v>
      </c>
      <c r="G33" s="375">
        <v>0.249</v>
      </c>
      <c r="H33" s="376">
        <v>16.27</v>
      </c>
      <c r="I33" s="377">
        <v>0.09</v>
      </c>
      <c r="J33" s="376">
        <v>12.23</v>
      </c>
      <c r="K33" s="377">
        <v>0.14000000000000001</v>
      </c>
      <c r="L33" s="376">
        <v>15.7</v>
      </c>
      <c r="M33" s="377">
        <v>0.9</v>
      </c>
      <c r="N33" s="376">
        <v>12.4</v>
      </c>
      <c r="O33" s="377">
        <v>0.6</v>
      </c>
      <c r="P33" s="376">
        <v>30.3</v>
      </c>
      <c r="Q33" s="377">
        <v>0.23</v>
      </c>
      <c r="R33" s="376">
        <v>0.1</v>
      </c>
      <c r="S33" s="377">
        <v>0</v>
      </c>
      <c r="T33" s="376">
        <v>2.0699999999999998</v>
      </c>
      <c r="U33" s="377">
        <v>0.55000000000000004</v>
      </c>
      <c r="V33" s="376">
        <v>6.702</v>
      </c>
      <c r="W33" s="377">
        <v>0.121</v>
      </c>
      <c r="X33" s="376">
        <v>0.98</v>
      </c>
      <c r="Y33" s="377">
        <v>0.25</v>
      </c>
      <c r="Z33" s="376">
        <v>0</v>
      </c>
      <c r="AA33" s="377">
        <v>0</v>
      </c>
      <c r="AB33" s="376">
        <v>0</v>
      </c>
      <c r="AC33" s="377">
        <v>0</v>
      </c>
      <c r="AD33" s="376">
        <v>0</v>
      </c>
      <c r="AE33" s="377">
        <v>0</v>
      </c>
      <c r="AF33" s="376">
        <v>0</v>
      </c>
      <c r="AG33" s="377">
        <v>0</v>
      </c>
      <c r="AH33" s="376">
        <v>0</v>
      </c>
      <c r="AI33" s="377">
        <v>0</v>
      </c>
      <c r="AJ33" s="376">
        <v>0</v>
      </c>
      <c r="AK33" s="377">
        <v>0</v>
      </c>
      <c r="AL33" s="376">
        <v>0</v>
      </c>
      <c r="AM33" s="377">
        <v>0</v>
      </c>
      <c r="AN33" s="376">
        <v>0</v>
      </c>
      <c r="AO33" s="377">
        <v>0</v>
      </c>
      <c r="AP33" s="376">
        <v>0</v>
      </c>
      <c r="AQ33" s="377">
        <v>0</v>
      </c>
      <c r="AR33" s="376">
        <v>0</v>
      </c>
      <c r="AS33" s="377">
        <v>0</v>
      </c>
      <c r="AT33" s="376">
        <v>0</v>
      </c>
      <c r="AU33" s="377">
        <v>0</v>
      </c>
    </row>
    <row r="34" spans="1:47" ht="16.5" customHeight="1">
      <c r="A34" s="357"/>
      <c r="B34" s="368">
        <v>16</v>
      </c>
      <c r="C34" s="369" t="s">
        <v>70</v>
      </c>
      <c r="D34" s="374" t="s">
        <v>196</v>
      </c>
      <c r="E34" s="375">
        <v>36865</v>
      </c>
      <c r="F34" s="375">
        <v>5.23</v>
      </c>
      <c r="G34" s="375">
        <v>0.43</v>
      </c>
      <c r="H34" s="376">
        <v>19.100000000000001</v>
      </c>
      <c r="I34" s="377">
        <v>0.14000000000000001</v>
      </c>
      <c r="J34" s="376">
        <v>15.35</v>
      </c>
      <c r="K34" s="377">
        <v>7.0000000000000007E-2</v>
      </c>
      <c r="L34" s="376">
        <v>18.100000000000001</v>
      </c>
      <c r="M34" s="377">
        <v>0.3</v>
      </c>
      <c r="N34" s="376">
        <v>15</v>
      </c>
      <c r="O34" s="377">
        <v>0.1</v>
      </c>
      <c r="P34" s="376">
        <v>25.88</v>
      </c>
      <c r="Q34" s="377">
        <v>2.64</v>
      </c>
      <c r="R34" s="376">
        <v>1.7</v>
      </c>
      <c r="S34" s="377">
        <v>0</v>
      </c>
      <c r="T34" s="376">
        <v>10.56</v>
      </c>
      <c r="U34" s="377">
        <v>0.18</v>
      </c>
      <c r="V34" s="376">
        <v>5.6520000000000001</v>
      </c>
      <c r="W34" s="377">
        <v>9.2999999999999999E-2</v>
      </c>
      <c r="X34" s="376">
        <v>1.75</v>
      </c>
      <c r="Y34" s="377">
        <v>0</v>
      </c>
      <c r="Z34" s="376">
        <v>0.98</v>
      </c>
      <c r="AA34" s="377">
        <v>0</v>
      </c>
      <c r="AB34" s="376">
        <v>0.99</v>
      </c>
      <c r="AC34" s="377">
        <v>0.01</v>
      </c>
      <c r="AD34" s="376">
        <v>0.01</v>
      </c>
      <c r="AE34" s="377">
        <v>0.01</v>
      </c>
      <c r="AF34" s="376">
        <v>0.5</v>
      </c>
      <c r="AG34" s="377">
        <v>0</v>
      </c>
      <c r="AH34" s="376">
        <v>0.28000000000000003</v>
      </c>
      <c r="AI34" s="377">
        <v>0</v>
      </c>
      <c r="AJ34" s="376">
        <v>0.02</v>
      </c>
      <c r="AK34" s="377">
        <v>0</v>
      </c>
      <c r="AL34" s="376">
        <v>0.1</v>
      </c>
      <c r="AM34" s="377">
        <v>0</v>
      </c>
      <c r="AN34" s="376">
        <v>0.02</v>
      </c>
      <c r="AO34" s="377">
        <v>0</v>
      </c>
      <c r="AP34" s="376">
        <v>0.05</v>
      </c>
      <c r="AQ34" s="377">
        <v>0</v>
      </c>
      <c r="AR34" s="376">
        <v>0</v>
      </c>
      <c r="AS34" s="377">
        <v>0</v>
      </c>
      <c r="AT34" s="376">
        <v>0.01</v>
      </c>
      <c r="AU34" s="377">
        <v>0</v>
      </c>
    </row>
    <row r="35" spans="1:47" ht="16.5" customHeight="1">
      <c r="A35" s="357"/>
      <c r="B35" s="368">
        <v>17</v>
      </c>
      <c r="C35" s="369" t="s">
        <v>72</v>
      </c>
      <c r="D35" s="374" t="s">
        <v>201</v>
      </c>
      <c r="E35" s="375">
        <v>25915</v>
      </c>
      <c r="F35" s="375">
        <v>7.3</v>
      </c>
      <c r="G35" s="375">
        <v>6.38</v>
      </c>
      <c r="H35" s="376">
        <v>46.15</v>
      </c>
      <c r="I35" s="377">
        <v>0.31</v>
      </c>
      <c r="J35" s="376">
        <v>32.43</v>
      </c>
      <c r="K35" s="377">
        <v>0.85</v>
      </c>
      <c r="L35" s="376">
        <v>45.5</v>
      </c>
      <c r="M35" s="377">
        <v>0</v>
      </c>
      <c r="N35" s="376">
        <v>34.1</v>
      </c>
      <c r="O35" s="377">
        <v>0.1</v>
      </c>
      <c r="P35" s="376">
        <v>48.73</v>
      </c>
      <c r="Q35" s="377">
        <v>11.52</v>
      </c>
      <c r="R35" s="376">
        <v>3.6</v>
      </c>
      <c r="S35" s="377">
        <v>0.4</v>
      </c>
      <c r="T35" s="376">
        <v>16.95</v>
      </c>
      <c r="U35" s="377">
        <v>3.55</v>
      </c>
      <c r="V35" s="376">
        <v>15.252000000000001</v>
      </c>
      <c r="W35" s="377">
        <v>0.84</v>
      </c>
      <c r="X35" s="376">
        <v>3.75</v>
      </c>
      <c r="Y35" s="377">
        <v>0.21</v>
      </c>
      <c r="Z35" s="376">
        <v>3.22</v>
      </c>
      <c r="AA35" s="377">
        <v>0.01</v>
      </c>
      <c r="AB35" s="376">
        <v>3.24</v>
      </c>
      <c r="AC35" s="377">
        <v>0.04</v>
      </c>
      <c r="AD35" s="376">
        <v>0.05</v>
      </c>
      <c r="AE35" s="377">
        <v>0</v>
      </c>
      <c r="AF35" s="376">
        <v>1.63</v>
      </c>
      <c r="AG35" s="377">
        <v>0.01</v>
      </c>
      <c r="AH35" s="376">
        <v>0.61</v>
      </c>
      <c r="AI35" s="377">
        <v>0</v>
      </c>
      <c r="AJ35" s="376">
        <v>0.19</v>
      </c>
      <c r="AK35" s="377">
        <v>0</v>
      </c>
      <c r="AL35" s="376">
        <v>0.32</v>
      </c>
      <c r="AM35" s="377">
        <v>0</v>
      </c>
      <c r="AN35" s="376">
        <v>0.23</v>
      </c>
      <c r="AO35" s="377">
        <v>0</v>
      </c>
      <c r="AP35" s="376">
        <v>0.13</v>
      </c>
      <c r="AQ35" s="377">
        <v>0</v>
      </c>
      <c r="AR35" s="376">
        <v>0</v>
      </c>
      <c r="AS35" s="377">
        <v>0</v>
      </c>
      <c r="AT35" s="376">
        <v>0.13</v>
      </c>
      <c r="AU35" s="377">
        <v>0</v>
      </c>
    </row>
    <row r="36" spans="1:47" ht="16.5" customHeight="1">
      <c r="A36" s="357"/>
      <c r="B36" s="368">
        <v>18</v>
      </c>
      <c r="C36" s="369" t="s">
        <v>73</v>
      </c>
      <c r="D36" s="374" t="s">
        <v>196</v>
      </c>
      <c r="E36" s="375">
        <v>47085</v>
      </c>
      <c r="F36" s="375">
        <v>5.0599999999999996</v>
      </c>
      <c r="G36" s="375">
        <v>0.28249999999999997</v>
      </c>
      <c r="H36" s="376">
        <v>25.3</v>
      </c>
      <c r="I36" s="377">
        <v>1.41</v>
      </c>
      <c r="J36" s="376">
        <v>18.920000000000002</v>
      </c>
      <c r="K36" s="377">
        <v>1.2</v>
      </c>
      <c r="L36" s="376">
        <v>24.7</v>
      </c>
      <c r="M36" s="377">
        <v>1.1000000000000001</v>
      </c>
      <c r="N36" s="376">
        <v>18.399999999999999</v>
      </c>
      <c r="O36" s="377">
        <v>1.2</v>
      </c>
      <c r="P36" s="376">
        <v>27.62</v>
      </c>
      <c r="Q36" s="377">
        <v>11.96</v>
      </c>
      <c r="R36" s="376">
        <v>0.9</v>
      </c>
      <c r="S36" s="377">
        <v>0</v>
      </c>
      <c r="T36" s="376">
        <v>9.58</v>
      </c>
      <c r="U36" s="377">
        <v>0.99</v>
      </c>
      <c r="V36" s="376">
        <v>11.125</v>
      </c>
      <c r="W36" s="377">
        <v>0.88700000000000001</v>
      </c>
      <c r="X36" s="376">
        <v>1.9</v>
      </c>
      <c r="Y36" s="377">
        <v>7.0000000000000007E-2</v>
      </c>
      <c r="Z36" s="376">
        <v>2.02</v>
      </c>
      <c r="AA36" s="377">
        <v>0.02</v>
      </c>
      <c r="AB36" s="376">
        <v>4.82</v>
      </c>
      <c r="AC36" s="377">
        <v>0.04</v>
      </c>
      <c r="AD36" s="376">
        <v>2.8</v>
      </c>
      <c r="AE36" s="377">
        <v>0.02</v>
      </c>
      <c r="AF36" s="376">
        <v>1.67</v>
      </c>
      <c r="AG36" s="377">
        <v>0.01</v>
      </c>
      <c r="AH36" s="376">
        <v>0.1</v>
      </c>
      <c r="AI36" s="377">
        <v>0</v>
      </c>
      <c r="AJ36" s="376">
        <v>0.02</v>
      </c>
      <c r="AK36" s="377">
        <v>0</v>
      </c>
      <c r="AL36" s="376">
        <v>0.16</v>
      </c>
      <c r="AM36" s="377">
        <v>0</v>
      </c>
      <c r="AN36" s="376">
        <v>0.02</v>
      </c>
      <c r="AO36" s="377">
        <v>0.01</v>
      </c>
      <c r="AP36" s="376">
        <v>0.02</v>
      </c>
      <c r="AQ36" s="377">
        <v>0</v>
      </c>
      <c r="AR36" s="376">
        <v>0.04</v>
      </c>
      <c r="AS36" s="377">
        <v>0.01</v>
      </c>
      <c r="AT36" s="376">
        <v>0</v>
      </c>
      <c r="AU36" s="377">
        <v>0</v>
      </c>
    </row>
    <row r="37" spans="1:47" ht="16.5" customHeight="1">
      <c r="A37" s="357"/>
      <c r="B37" s="378"/>
      <c r="C37" s="379" t="s">
        <v>306</v>
      </c>
      <c r="D37" s="374" t="s">
        <v>317</v>
      </c>
      <c r="E37" s="375">
        <v>15148</v>
      </c>
      <c r="F37" s="375">
        <v>6.95</v>
      </c>
      <c r="G37" s="375">
        <v>1.4275</v>
      </c>
      <c r="H37" s="376">
        <v>26.6</v>
      </c>
      <c r="I37" s="377">
        <v>1.23</v>
      </c>
      <c r="J37" s="376">
        <v>18.98</v>
      </c>
      <c r="K37" s="377">
        <v>0.87</v>
      </c>
      <c r="L37" s="376">
        <v>21.6</v>
      </c>
      <c r="M37" s="377">
        <v>8</v>
      </c>
      <c r="N37" s="376">
        <v>14.3</v>
      </c>
      <c r="O37" s="377">
        <v>8.3000000000000007</v>
      </c>
      <c r="P37" s="376">
        <v>30.84</v>
      </c>
      <c r="Q37" s="377">
        <v>0.9</v>
      </c>
      <c r="R37" s="376">
        <v>0.2</v>
      </c>
      <c r="S37" s="377">
        <v>0</v>
      </c>
      <c r="T37" s="376">
        <v>6.64</v>
      </c>
      <c r="U37" s="377">
        <v>0.15</v>
      </c>
      <c r="V37" s="376">
        <v>8.484</v>
      </c>
      <c r="W37" s="377">
        <v>0.70099999999999996</v>
      </c>
      <c r="X37" s="376">
        <v>1.75</v>
      </c>
      <c r="Y37" s="377">
        <v>0.28000000000000003</v>
      </c>
      <c r="Z37" s="376">
        <v>5.41</v>
      </c>
      <c r="AA37" s="377">
        <v>0</v>
      </c>
      <c r="AB37" s="376">
        <v>5.41</v>
      </c>
      <c r="AC37" s="377">
        <v>0</v>
      </c>
      <c r="AD37" s="376">
        <v>0</v>
      </c>
      <c r="AE37" s="377">
        <v>0</v>
      </c>
      <c r="AF37" s="376">
        <v>2.77</v>
      </c>
      <c r="AG37" s="377">
        <v>0</v>
      </c>
      <c r="AH37" s="376">
        <v>1.37</v>
      </c>
      <c r="AI37" s="377">
        <v>0</v>
      </c>
      <c r="AJ37" s="376">
        <v>0.15</v>
      </c>
      <c r="AK37" s="377">
        <v>0.01</v>
      </c>
      <c r="AL37" s="376">
        <v>0.61</v>
      </c>
      <c r="AM37" s="377">
        <v>0</v>
      </c>
      <c r="AN37" s="376">
        <v>0.22</v>
      </c>
      <c r="AO37" s="377">
        <v>0</v>
      </c>
      <c r="AP37" s="376">
        <v>0.27</v>
      </c>
      <c r="AQ37" s="377">
        <v>0.01</v>
      </c>
      <c r="AR37" s="376">
        <v>0</v>
      </c>
      <c r="AS37" s="377">
        <v>0</v>
      </c>
      <c r="AT37" s="376">
        <v>0.02</v>
      </c>
      <c r="AU37" s="377">
        <v>0</v>
      </c>
    </row>
    <row r="38" spans="1:47" ht="16.5" customHeight="1">
      <c r="A38" s="357"/>
      <c r="B38" s="378"/>
      <c r="C38" s="379"/>
      <c r="D38" s="374" t="s">
        <v>318</v>
      </c>
      <c r="E38" s="375">
        <v>7264</v>
      </c>
      <c r="F38" s="375">
        <v>7.63</v>
      </c>
      <c r="G38" s="375">
        <v>5.8</v>
      </c>
      <c r="H38" s="376">
        <v>50.45</v>
      </c>
      <c r="I38" s="377">
        <v>1.72</v>
      </c>
      <c r="J38" s="376">
        <v>39.18</v>
      </c>
      <c r="K38" s="377">
        <v>2.62</v>
      </c>
      <c r="L38" s="376">
        <v>48.6</v>
      </c>
      <c r="M38" s="377">
        <v>0.5</v>
      </c>
      <c r="N38" s="376">
        <v>38.799999999999997</v>
      </c>
      <c r="O38" s="377">
        <v>0.4</v>
      </c>
      <c r="P38" s="376">
        <v>41.18</v>
      </c>
      <c r="Q38" s="377">
        <v>2.1800000000000002</v>
      </c>
      <c r="R38" s="376">
        <v>5.4</v>
      </c>
      <c r="S38" s="377">
        <v>0.2</v>
      </c>
      <c r="T38" s="376">
        <v>10.24</v>
      </c>
      <c r="U38" s="377">
        <v>1.89</v>
      </c>
      <c r="V38" s="376">
        <v>14.212</v>
      </c>
      <c r="W38" s="377">
        <v>0.16400000000000001</v>
      </c>
      <c r="X38" s="376">
        <v>5.7</v>
      </c>
      <c r="Y38" s="377">
        <v>7.0000000000000007E-2</v>
      </c>
      <c r="Z38" s="376">
        <v>0.15</v>
      </c>
      <c r="AA38" s="377">
        <v>0</v>
      </c>
      <c r="AB38" s="376">
        <v>0.15</v>
      </c>
      <c r="AC38" s="377">
        <v>0</v>
      </c>
      <c r="AD38" s="376">
        <v>0</v>
      </c>
      <c r="AE38" s="377">
        <v>0</v>
      </c>
      <c r="AF38" s="376">
        <v>0.15</v>
      </c>
      <c r="AG38" s="377">
        <v>0</v>
      </c>
      <c r="AH38" s="376">
        <v>0</v>
      </c>
      <c r="AI38" s="377">
        <v>0</v>
      </c>
      <c r="AJ38" s="376">
        <v>0</v>
      </c>
      <c r="AK38" s="377">
        <v>0</v>
      </c>
      <c r="AL38" s="376">
        <v>0</v>
      </c>
      <c r="AM38" s="377">
        <v>0</v>
      </c>
      <c r="AN38" s="376">
        <v>0</v>
      </c>
      <c r="AO38" s="377">
        <v>0</v>
      </c>
      <c r="AP38" s="376">
        <v>0</v>
      </c>
      <c r="AQ38" s="377">
        <v>0</v>
      </c>
      <c r="AR38" s="376">
        <v>0</v>
      </c>
      <c r="AS38" s="377">
        <v>0</v>
      </c>
      <c r="AT38" s="376">
        <v>0</v>
      </c>
      <c r="AU38" s="377">
        <v>0</v>
      </c>
    </row>
    <row r="39" spans="1:47" ht="16.5" customHeight="1">
      <c r="A39" s="357"/>
      <c r="B39" s="378"/>
      <c r="C39" s="379"/>
      <c r="D39" s="380" t="s">
        <v>319</v>
      </c>
      <c r="E39" s="381"/>
      <c r="F39" s="381">
        <v>5.227107714129346</v>
      </c>
      <c r="G39" s="382">
        <v>0.61652584310117209</v>
      </c>
      <c r="H39" s="382">
        <v>15.687131255750691</v>
      </c>
      <c r="I39" s="383"/>
      <c r="J39" s="382">
        <v>11.705090690882908</v>
      </c>
      <c r="K39" s="383"/>
      <c r="L39" s="382">
        <v>14.7475833099972</v>
      </c>
      <c r="M39" s="383"/>
      <c r="N39" s="382">
        <v>10.919899187902546</v>
      </c>
      <c r="O39" s="383"/>
      <c r="P39" s="382">
        <v>16.53625267032044</v>
      </c>
      <c r="Q39" s="383"/>
      <c r="R39" s="382">
        <v>0.67713485618274205</v>
      </c>
      <c r="S39" s="383"/>
      <c r="T39" s="382">
        <v>5.0089241108933074</v>
      </c>
      <c r="U39" s="383"/>
      <c r="V39" s="382">
        <v>6.0453032363883663</v>
      </c>
      <c r="W39" s="383"/>
      <c r="X39" s="382">
        <v>1.2591534984198103</v>
      </c>
      <c r="Y39" s="383"/>
      <c r="Z39" s="382">
        <v>1.4253868864263712</v>
      </c>
      <c r="AA39" s="383"/>
      <c r="AB39" s="382">
        <v>2.4802174660959317</v>
      </c>
      <c r="AC39" s="383"/>
      <c r="AD39" s="382">
        <v>1.0548305796695603</v>
      </c>
      <c r="AE39" s="383"/>
      <c r="AF39" s="382">
        <v>0.97356890826899234</v>
      </c>
      <c r="AG39" s="383"/>
      <c r="AH39" s="382">
        <v>0.20371452574308918</v>
      </c>
      <c r="AI39" s="383"/>
      <c r="AJ39" s="382">
        <v>2.571428571428571E-2</v>
      </c>
      <c r="AK39" s="383"/>
      <c r="AL39" s="382">
        <v>0.13420714485738289</v>
      </c>
      <c r="AM39" s="383"/>
      <c r="AN39" s="382">
        <v>3.4198183782053845E-2</v>
      </c>
      <c r="AO39" s="383"/>
      <c r="AP39" s="382">
        <v>4.0258110973316802E-2</v>
      </c>
      <c r="AQ39" s="383"/>
      <c r="AR39" s="382">
        <v>1.506900828099372E-2</v>
      </c>
      <c r="AS39" s="383"/>
      <c r="AT39" s="382">
        <v>2.4239708765051806E-3</v>
      </c>
      <c r="AU39" s="383"/>
    </row>
    <row r="40" spans="1:47" ht="16.5" customHeight="1">
      <c r="A40" s="357"/>
      <c r="B40" s="368">
        <v>19</v>
      </c>
      <c r="C40" s="369" t="s">
        <v>74</v>
      </c>
      <c r="D40" s="374" t="s">
        <v>123</v>
      </c>
      <c r="E40" s="375">
        <v>21295</v>
      </c>
      <c r="F40" s="375">
        <v>3.75</v>
      </c>
      <c r="G40" s="375" t="s">
        <v>46</v>
      </c>
      <c r="H40" s="376">
        <v>171.08</v>
      </c>
      <c r="I40" s="377">
        <v>5.3</v>
      </c>
      <c r="J40" s="376">
        <v>153.66999999999999</v>
      </c>
      <c r="K40" s="377">
        <v>4.95</v>
      </c>
      <c r="L40" s="376">
        <v>142.80000000000001</v>
      </c>
      <c r="M40" s="377">
        <v>0.4</v>
      </c>
      <c r="N40" s="376">
        <v>134.80000000000001</v>
      </c>
      <c r="O40" s="377">
        <v>1.8</v>
      </c>
      <c r="P40" s="376">
        <v>102.41</v>
      </c>
      <c r="Q40" s="377">
        <v>8.74</v>
      </c>
      <c r="R40" s="376">
        <v>34.5</v>
      </c>
      <c r="S40" s="377">
        <v>1.8</v>
      </c>
      <c r="T40" s="376">
        <v>0</v>
      </c>
      <c r="U40" s="377">
        <v>0</v>
      </c>
      <c r="V40" s="376">
        <v>20.190999999999999</v>
      </c>
      <c r="W40" s="377">
        <v>0.60699999999999998</v>
      </c>
      <c r="X40" s="376">
        <v>8.2799999999999994</v>
      </c>
      <c r="Y40" s="377">
        <v>0.32</v>
      </c>
      <c r="Z40" s="376">
        <v>0.01</v>
      </c>
      <c r="AA40" s="377">
        <v>0</v>
      </c>
      <c r="AB40" s="376">
        <v>0.01</v>
      </c>
      <c r="AC40" s="377">
        <v>0</v>
      </c>
      <c r="AD40" s="376">
        <v>0</v>
      </c>
      <c r="AE40" s="377">
        <v>0</v>
      </c>
      <c r="AF40" s="376">
        <v>0.01</v>
      </c>
      <c r="AG40" s="377">
        <v>0</v>
      </c>
      <c r="AH40" s="376">
        <v>0</v>
      </c>
      <c r="AI40" s="377">
        <v>0</v>
      </c>
      <c r="AJ40" s="376">
        <v>0</v>
      </c>
      <c r="AK40" s="377">
        <v>0</v>
      </c>
      <c r="AL40" s="376">
        <v>0</v>
      </c>
      <c r="AM40" s="377">
        <v>0</v>
      </c>
      <c r="AN40" s="376">
        <v>0</v>
      </c>
      <c r="AO40" s="377">
        <v>0</v>
      </c>
      <c r="AP40" s="376">
        <v>0</v>
      </c>
      <c r="AQ40" s="377">
        <v>0</v>
      </c>
      <c r="AR40" s="376">
        <v>0</v>
      </c>
      <c r="AS40" s="377">
        <v>0</v>
      </c>
      <c r="AT40" s="376">
        <v>0</v>
      </c>
      <c r="AU40" s="377">
        <v>0</v>
      </c>
    </row>
    <row r="41" spans="1:47" ht="16.5" customHeight="1">
      <c r="A41" s="357"/>
      <c r="B41" s="393">
        <v>20</v>
      </c>
      <c r="C41" s="386" t="s">
        <v>76</v>
      </c>
      <c r="D41" s="374" t="s">
        <v>212</v>
      </c>
      <c r="E41" s="381">
        <v>84678</v>
      </c>
      <c r="F41" s="375">
        <v>5.64</v>
      </c>
      <c r="G41" s="375">
        <v>3.8239999999999998</v>
      </c>
      <c r="H41" s="376">
        <v>51.72</v>
      </c>
      <c r="I41" s="377">
        <v>1.58</v>
      </c>
      <c r="J41" s="376">
        <v>37.979999999999997</v>
      </c>
      <c r="K41" s="377">
        <v>1.01</v>
      </c>
      <c r="L41" s="376">
        <v>30.5</v>
      </c>
      <c r="M41" s="377">
        <v>1.1000000000000001</v>
      </c>
      <c r="N41" s="376">
        <v>27</v>
      </c>
      <c r="O41" s="377">
        <v>0.8</v>
      </c>
      <c r="P41" s="376">
        <v>111.12</v>
      </c>
      <c r="Q41" s="377">
        <v>2.17</v>
      </c>
      <c r="R41" s="376">
        <v>84.6</v>
      </c>
      <c r="S41" s="377">
        <v>0.6</v>
      </c>
      <c r="T41" s="376">
        <v>11.56</v>
      </c>
      <c r="U41" s="377">
        <v>1.06</v>
      </c>
      <c r="V41" s="376">
        <v>15.318</v>
      </c>
      <c r="W41" s="377">
        <v>0.56000000000000005</v>
      </c>
      <c r="X41" s="376">
        <v>3.43</v>
      </c>
      <c r="Y41" s="377">
        <v>0.6</v>
      </c>
      <c r="Z41" s="376">
        <v>0</v>
      </c>
      <c r="AA41" s="377">
        <v>0</v>
      </c>
      <c r="AB41" s="376">
        <v>0</v>
      </c>
      <c r="AC41" s="377">
        <v>0</v>
      </c>
      <c r="AD41" s="376">
        <v>0</v>
      </c>
      <c r="AE41" s="377">
        <v>0</v>
      </c>
      <c r="AF41" s="376">
        <v>0</v>
      </c>
      <c r="AG41" s="377">
        <v>0</v>
      </c>
      <c r="AH41" s="376">
        <v>0</v>
      </c>
      <c r="AI41" s="377">
        <v>0</v>
      </c>
      <c r="AJ41" s="376">
        <v>0</v>
      </c>
      <c r="AK41" s="377">
        <v>0</v>
      </c>
      <c r="AL41" s="376">
        <v>0</v>
      </c>
      <c r="AM41" s="377">
        <v>0</v>
      </c>
      <c r="AN41" s="376">
        <v>0</v>
      </c>
      <c r="AO41" s="377">
        <v>0</v>
      </c>
      <c r="AP41" s="376">
        <v>0</v>
      </c>
      <c r="AQ41" s="377">
        <v>0</v>
      </c>
      <c r="AR41" s="376">
        <v>0</v>
      </c>
      <c r="AS41" s="377">
        <v>0</v>
      </c>
      <c r="AT41" s="376">
        <v>0</v>
      </c>
      <c r="AU41" s="377">
        <v>0</v>
      </c>
    </row>
    <row r="42" spans="1:47" ht="16.5" customHeight="1">
      <c r="A42" s="357"/>
      <c r="B42" s="368">
        <v>21</v>
      </c>
      <c r="C42" s="369" t="s">
        <v>77</v>
      </c>
      <c r="D42" s="374" t="s">
        <v>216</v>
      </c>
      <c r="E42" s="375">
        <v>17605</v>
      </c>
      <c r="F42" s="375">
        <v>5.87</v>
      </c>
      <c r="G42" s="375">
        <v>0.50700000000000001</v>
      </c>
      <c r="H42" s="376">
        <v>12.57</v>
      </c>
      <c r="I42" s="377">
        <v>0.28000000000000003</v>
      </c>
      <c r="J42" s="376">
        <v>9.27</v>
      </c>
      <c r="K42" s="377">
        <v>0.28000000000000003</v>
      </c>
      <c r="L42" s="376">
        <v>11.7</v>
      </c>
      <c r="M42" s="377">
        <v>0.3</v>
      </c>
      <c r="N42" s="376">
        <v>8.6999999999999993</v>
      </c>
      <c r="O42" s="377">
        <v>0.2</v>
      </c>
      <c r="P42" s="376">
        <v>27.56</v>
      </c>
      <c r="Q42" s="377">
        <v>0.93</v>
      </c>
      <c r="R42" s="376">
        <v>0.5</v>
      </c>
      <c r="S42" s="377">
        <v>0</v>
      </c>
      <c r="T42" s="376">
        <v>0.69</v>
      </c>
      <c r="U42" s="377">
        <v>0.27</v>
      </c>
      <c r="V42" s="376">
        <v>4.2649999999999997</v>
      </c>
      <c r="W42" s="377">
        <v>0.16800000000000001</v>
      </c>
      <c r="X42" s="376">
        <v>0.82</v>
      </c>
      <c r="Y42" s="377">
        <v>0.18</v>
      </c>
      <c r="Z42" s="376">
        <v>0.73</v>
      </c>
      <c r="AA42" s="377">
        <v>0</v>
      </c>
      <c r="AB42" s="376">
        <v>0.73</v>
      </c>
      <c r="AC42" s="377">
        <v>0</v>
      </c>
      <c r="AD42" s="376">
        <v>0</v>
      </c>
      <c r="AE42" s="377">
        <v>0</v>
      </c>
      <c r="AF42" s="376">
        <v>0.37</v>
      </c>
      <c r="AG42" s="377">
        <v>0.01</v>
      </c>
      <c r="AH42" s="376">
        <v>0.21</v>
      </c>
      <c r="AI42" s="377">
        <v>0</v>
      </c>
      <c r="AJ42" s="376">
        <v>0.02</v>
      </c>
      <c r="AK42" s="377">
        <v>0</v>
      </c>
      <c r="AL42" s="376">
        <v>7.0000000000000007E-2</v>
      </c>
      <c r="AM42" s="377">
        <v>0</v>
      </c>
      <c r="AN42" s="376">
        <v>0.03</v>
      </c>
      <c r="AO42" s="377">
        <v>0</v>
      </c>
      <c r="AP42" s="376">
        <v>0.03</v>
      </c>
      <c r="AQ42" s="377">
        <v>0</v>
      </c>
      <c r="AR42" s="376">
        <v>0</v>
      </c>
      <c r="AS42" s="377">
        <v>0</v>
      </c>
      <c r="AT42" s="376">
        <v>0</v>
      </c>
      <c r="AU42" s="377">
        <v>0</v>
      </c>
    </row>
    <row r="43" spans="1:47" ht="16.5" customHeight="1">
      <c r="A43" s="357"/>
      <c r="B43" s="368">
        <v>22</v>
      </c>
      <c r="C43" s="369" t="s">
        <v>79</v>
      </c>
      <c r="D43" s="374" t="s">
        <v>163</v>
      </c>
      <c r="E43" s="375">
        <v>17134</v>
      </c>
      <c r="F43" s="375">
        <v>5.82</v>
      </c>
      <c r="G43" s="375">
        <v>4.7699999999999996</v>
      </c>
      <c r="H43" s="376">
        <v>40.03</v>
      </c>
      <c r="I43" s="377">
        <v>0.38</v>
      </c>
      <c r="J43" s="376">
        <v>27.9</v>
      </c>
      <c r="K43" s="377">
        <v>0.38</v>
      </c>
      <c r="L43" s="376">
        <v>28.6</v>
      </c>
      <c r="M43" s="377">
        <v>0.1</v>
      </c>
      <c r="N43" s="376">
        <v>23.6</v>
      </c>
      <c r="O43" s="377">
        <v>0.1</v>
      </c>
      <c r="P43" s="376">
        <v>75.75</v>
      </c>
      <c r="Q43" s="377">
        <v>2.4500000000000002</v>
      </c>
      <c r="R43" s="376">
        <v>36.299999999999997</v>
      </c>
      <c r="S43" s="377">
        <v>1.8</v>
      </c>
      <c r="T43" s="376">
        <v>8.5500000000000007</v>
      </c>
      <c r="U43" s="377">
        <v>0.37</v>
      </c>
      <c r="V43" s="376">
        <v>11.686999999999999</v>
      </c>
      <c r="W43" s="377">
        <v>1.401</v>
      </c>
      <c r="X43" s="376">
        <v>4.63</v>
      </c>
      <c r="Y43" s="377">
        <v>0.11</v>
      </c>
      <c r="Z43" s="376">
        <v>0.74</v>
      </c>
      <c r="AA43" s="377">
        <v>0.01</v>
      </c>
      <c r="AB43" s="376">
        <v>0.74</v>
      </c>
      <c r="AC43" s="377">
        <v>0.01</v>
      </c>
      <c r="AD43" s="376">
        <v>0</v>
      </c>
      <c r="AE43" s="377">
        <v>0</v>
      </c>
      <c r="AF43" s="376">
        <v>0.22</v>
      </c>
      <c r="AG43" s="377">
        <v>0</v>
      </c>
      <c r="AH43" s="376">
        <v>0.1</v>
      </c>
      <c r="AI43" s="377">
        <v>0</v>
      </c>
      <c r="AJ43" s="376">
        <v>0.02</v>
      </c>
      <c r="AK43" s="377">
        <v>0</v>
      </c>
      <c r="AL43" s="376">
        <v>0.16</v>
      </c>
      <c r="AM43" s="377">
        <v>0</v>
      </c>
      <c r="AN43" s="376">
        <v>0.03</v>
      </c>
      <c r="AO43" s="377">
        <v>0</v>
      </c>
      <c r="AP43" s="376">
        <v>0.1</v>
      </c>
      <c r="AQ43" s="377">
        <v>0</v>
      </c>
      <c r="AR43" s="376">
        <v>0</v>
      </c>
      <c r="AS43" s="377">
        <v>0</v>
      </c>
      <c r="AT43" s="376">
        <v>0.12</v>
      </c>
      <c r="AU43" s="377">
        <v>0</v>
      </c>
    </row>
    <row r="44" spans="1:47" ht="16.5" customHeight="1">
      <c r="A44" s="357"/>
      <c r="B44" s="368">
        <v>23</v>
      </c>
      <c r="C44" s="369" t="s">
        <v>81</v>
      </c>
      <c r="D44" s="374" t="s">
        <v>305</v>
      </c>
      <c r="E44" s="375">
        <v>125697</v>
      </c>
      <c r="F44" s="375">
        <v>4.83</v>
      </c>
      <c r="G44" s="375">
        <v>0.26750000000000002</v>
      </c>
      <c r="H44" s="376">
        <v>29.97</v>
      </c>
      <c r="I44" s="377">
        <v>0.61</v>
      </c>
      <c r="J44" s="376">
        <v>21.93</v>
      </c>
      <c r="K44" s="377">
        <v>0.19</v>
      </c>
      <c r="L44" s="376">
        <v>29.3</v>
      </c>
      <c r="M44" s="377">
        <v>0.8</v>
      </c>
      <c r="N44" s="376">
        <v>21.5</v>
      </c>
      <c r="O44" s="377">
        <v>1.1000000000000001</v>
      </c>
      <c r="P44" s="376">
        <v>40.619999999999997</v>
      </c>
      <c r="Q44" s="377">
        <v>10.32</v>
      </c>
      <c r="R44" s="376">
        <v>3.1</v>
      </c>
      <c r="S44" s="377">
        <v>0.4</v>
      </c>
      <c r="T44" s="376">
        <v>7.51</v>
      </c>
      <c r="U44" s="377">
        <v>0.25</v>
      </c>
      <c r="V44" s="376">
        <v>9.8710000000000004</v>
      </c>
      <c r="W44" s="377">
        <v>0.34499999999999997</v>
      </c>
      <c r="X44" s="376">
        <v>2.0699999999999998</v>
      </c>
      <c r="Y44" s="377">
        <v>0.11</v>
      </c>
      <c r="Z44" s="376">
        <v>1.46</v>
      </c>
      <c r="AA44" s="377">
        <v>0</v>
      </c>
      <c r="AB44" s="376">
        <v>1.5</v>
      </c>
      <c r="AC44" s="377">
        <v>0.03</v>
      </c>
      <c r="AD44" s="376">
        <v>0.04</v>
      </c>
      <c r="AE44" s="377">
        <v>0.03</v>
      </c>
      <c r="AF44" s="376">
        <v>0.92</v>
      </c>
      <c r="AG44" s="377">
        <v>0</v>
      </c>
      <c r="AH44" s="376">
        <v>0.28999999999999998</v>
      </c>
      <c r="AI44" s="377">
        <v>0</v>
      </c>
      <c r="AJ44" s="376">
        <v>0.03</v>
      </c>
      <c r="AK44" s="377">
        <v>0</v>
      </c>
      <c r="AL44" s="376">
        <v>0.14000000000000001</v>
      </c>
      <c r="AM44" s="377">
        <v>0</v>
      </c>
      <c r="AN44" s="376">
        <v>0.03</v>
      </c>
      <c r="AO44" s="377">
        <v>0</v>
      </c>
      <c r="AP44" s="376">
        <v>0.04</v>
      </c>
      <c r="AQ44" s="377">
        <v>0</v>
      </c>
      <c r="AR44" s="376">
        <v>0</v>
      </c>
      <c r="AS44" s="377">
        <v>0</v>
      </c>
      <c r="AT44" s="376">
        <v>0</v>
      </c>
      <c r="AU44" s="377">
        <v>0</v>
      </c>
    </row>
    <row r="45" spans="1:47" ht="16.5" customHeight="1">
      <c r="A45" s="357"/>
      <c r="B45" s="378"/>
      <c r="C45" s="379" t="s">
        <v>306</v>
      </c>
      <c r="D45" s="374" t="s">
        <v>227</v>
      </c>
      <c r="E45" s="375">
        <v>125697</v>
      </c>
      <c r="F45" s="375">
        <v>6.57</v>
      </c>
      <c r="G45" s="375">
        <v>0.72750000000000004</v>
      </c>
      <c r="H45" s="376">
        <v>27.47</v>
      </c>
      <c r="I45" s="377">
        <v>1.74</v>
      </c>
      <c r="J45" s="376">
        <v>19.7</v>
      </c>
      <c r="K45" s="377">
        <v>1.18</v>
      </c>
      <c r="L45" s="376">
        <v>27</v>
      </c>
      <c r="M45" s="377">
        <v>1.6</v>
      </c>
      <c r="N45" s="376">
        <v>19.2</v>
      </c>
      <c r="O45" s="377">
        <v>0.3</v>
      </c>
      <c r="P45" s="376">
        <v>38.57</v>
      </c>
      <c r="Q45" s="377">
        <v>22.56</v>
      </c>
      <c r="R45" s="376">
        <v>0.5</v>
      </c>
      <c r="S45" s="377">
        <v>0</v>
      </c>
      <c r="T45" s="376">
        <v>3.99</v>
      </c>
      <c r="U45" s="377">
        <v>0.05</v>
      </c>
      <c r="V45" s="376">
        <v>11.016999999999999</v>
      </c>
      <c r="W45" s="377">
        <v>0.34100000000000003</v>
      </c>
      <c r="X45" s="376">
        <v>1.17</v>
      </c>
      <c r="Y45" s="377">
        <v>0.18</v>
      </c>
      <c r="Z45" s="376">
        <v>0.33</v>
      </c>
      <c r="AA45" s="377">
        <v>0</v>
      </c>
      <c r="AB45" s="376">
        <v>0.33</v>
      </c>
      <c r="AC45" s="377">
        <v>0</v>
      </c>
      <c r="AD45" s="376">
        <v>0</v>
      </c>
      <c r="AE45" s="377">
        <v>0</v>
      </c>
      <c r="AF45" s="376">
        <v>0.25</v>
      </c>
      <c r="AG45" s="377">
        <v>0</v>
      </c>
      <c r="AH45" s="376">
        <v>0.02</v>
      </c>
      <c r="AI45" s="377">
        <v>0</v>
      </c>
      <c r="AJ45" s="376">
        <v>0.02</v>
      </c>
      <c r="AK45" s="377">
        <v>0</v>
      </c>
      <c r="AL45" s="376">
        <v>0.01</v>
      </c>
      <c r="AM45" s="377">
        <v>0</v>
      </c>
      <c r="AN45" s="376">
        <v>0.04</v>
      </c>
      <c r="AO45" s="377">
        <v>0</v>
      </c>
      <c r="AP45" s="376">
        <v>0</v>
      </c>
      <c r="AQ45" s="377">
        <v>0</v>
      </c>
      <c r="AR45" s="376">
        <v>0</v>
      </c>
      <c r="AS45" s="377">
        <v>0</v>
      </c>
      <c r="AT45" s="376">
        <v>0</v>
      </c>
      <c r="AU45" s="377">
        <v>0</v>
      </c>
    </row>
    <row r="46" spans="1:47" ht="16.5" customHeight="1">
      <c r="A46" s="357"/>
      <c r="B46" s="378"/>
      <c r="C46" s="379"/>
      <c r="D46" s="380" t="s">
        <v>320</v>
      </c>
      <c r="E46" s="381"/>
      <c r="F46" s="381">
        <v>5.1231981788971135</v>
      </c>
      <c r="G46" s="382">
        <v>0.49750000000000005</v>
      </c>
      <c r="H46" s="382">
        <v>28.72</v>
      </c>
      <c r="I46" s="383"/>
      <c r="J46" s="382">
        <v>20.814999999999998</v>
      </c>
      <c r="K46" s="383"/>
      <c r="L46" s="382">
        <v>28.15</v>
      </c>
      <c r="M46" s="383"/>
      <c r="N46" s="382">
        <v>20.350000000000001</v>
      </c>
      <c r="O46" s="383"/>
      <c r="P46" s="382">
        <v>39.594999999999999</v>
      </c>
      <c r="Q46" s="383"/>
      <c r="R46" s="382">
        <v>1.8</v>
      </c>
      <c r="S46" s="383"/>
      <c r="T46" s="382">
        <v>5.75</v>
      </c>
      <c r="U46" s="383"/>
      <c r="V46" s="382">
        <v>10.443999999999999</v>
      </c>
      <c r="W46" s="383"/>
      <c r="X46" s="382">
        <v>1.6199999999999999</v>
      </c>
      <c r="Y46" s="383"/>
      <c r="Z46" s="382">
        <v>0.89500000000000002</v>
      </c>
      <c r="AA46" s="383"/>
      <c r="AB46" s="382">
        <v>0.91500000000000004</v>
      </c>
      <c r="AC46" s="383"/>
      <c r="AD46" s="382">
        <v>0.02</v>
      </c>
      <c r="AE46" s="383"/>
      <c r="AF46" s="382">
        <v>0.58499999999999996</v>
      </c>
      <c r="AG46" s="383"/>
      <c r="AH46" s="382">
        <v>0.155</v>
      </c>
      <c r="AI46" s="383"/>
      <c r="AJ46" s="382">
        <v>2.5000000000000001E-2</v>
      </c>
      <c r="AK46" s="383"/>
      <c r="AL46" s="382">
        <v>7.5000000000000011E-2</v>
      </c>
      <c r="AM46" s="383"/>
      <c r="AN46" s="382">
        <v>3.5000000000000003E-2</v>
      </c>
      <c r="AO46" s="383"/>
      <c r="AP46" s="382">
        <v>0.02</v>
      </c>
      <c r="AQ46" s="383"/>
      <c r="AR46" s="382">
        <v>0</v>
      </c>
      <c r="AS46" s="383"/>
      <c r="AT46" s="382">
        <v>0</v>
      </c>
      <c r="AU46" s="383"/>
    </row>
    <row r="47" spans="1:47" ht="16.5" customHeight="1">
      <c r="A47" s="357"/>
      <c r="B47" s="368">
        <v>24</v>
      </c>
      <c r="C47" s="369" t="s">
        <v>82</v>
      </c>
      <c r="D47" s="374" t="s">
        <v>196</v>
      </c>
      <c r="E47" s="375">
        <v>39709</v>
      </c>
      <c r="F47" s="375">
        <v>5.62</v>
      </c>
      <c r="G47" s="375">
        <v>0.4909</v>
      </c>
      <c r="H47" s="376">
        <v>29.82</v>
      </c>
      <c r="I47" s="377">
        <v>1.39</v>
      </c>
      <c r="J47" s="376">
        <v>23.67</v>
      </c>
      <c r="K47" s="377">
        <v>1.04</v>
      </c>
      <c r="L47" s="376">
        <v>29.2</v>
      </c>
      <c r="M47" s="377">
        <v>0</v>
      </c>
      <c r="N47" s="376">
        <v>23.9</v>
      </c>
      <c r="O47" s="377">
        <v>0.4</v>
      </c>
      <c r="P47" s="376">
        <v>36.19</v>
      </c>
      <c r="Q47" s="377">
        <v>0.74</v>
      </c>
      <c r="R47" s="376">
        <v>1.7</v>
      </c>
      <c r="S47" s="377">
        <v>0.6</v>
      </c>
      <c r="T47" s="376">
        <v>5.0599999999999996</v>
      </c>
      <c r="U47" s="377">
        <v>0.28999999999999998</v>
      </c>
      <c r="V47" s="376">
        <v>4.569</v>
      </c>
      <c r="W47" s="377">
        <v>0.46700000000000003</v>
      </c>
      <c r="X47" s="376">
        <v>4.68</v>
      </c>
      <c r="Y47" s="377">
        <v>0.18</v>
      </c>
      <c r="Z47" s="376">
        <v>1</v>
      </c>
      <c r="AA47" s="377">
        <v>0</v>
      </c>
      <c r="AB47" s="376">
        <v>1</v>
      </c>
      <c r="AC47" s="377">
        <v>0</v>
      </c>
      <c r="AD47" s="376">
        <v>0</v>
      </c>
      <c r="AE47" s="377">
        <v>0</v>
      </c>
      <c r="AF47" s="376">
        <v>0.15</v>
      </c>
      <c r="AG47" s="377">
        <v>0</v>
      </c>
      <c r="AH47" s="376">
        <v>0.53</v>
      </c>
      <c r="AI47" s="377">
        <v>0</v>
      </c>
      <c r="AJ47" s="376">
        <v>7.0000000000000007E-2</v>
      </c>
      <c r="AK47" s="377">
        <v>0</v>
      </c>
      <c r="AL47" s="376">
        <v>0.12</v>
      </c>
      <c r="AM47" s="377">
        <v>0</v>
      </c>
      <c r="AN47" s="376">
        <v>0.08</v>
      </c>
      <c r="AO47" s="377">
        <v>0</v>
      </c>
      <c r="AP47" s="376">
        <v>0.05</v>
      </c>
      <c r="AQ47" s="377">
        <v>0</v>
      </c>
      <c r="AR47" s="376">
        <v>0</v>
      </c>
      <c r="AS47" s="377">
        <v>0</v>
      </c>
      <c r="AT47" s="376">
        <v>0</v>
      </c>
      <c r="AU47" s="377">
        <v>0</v>
      </c>
    </row>
    <row r="48" spans="1:47" ht="16.5" customHeight="1">
      <c r="A48" s="357"/>
      <c r="B48" s="368">
        <v>25</v>
      </c>
      <c r="C48" s="369" t="s">
        <v>84</v>
      </c>
      <c r="D48" s="374" t="s">
        <v>313</v>
      </c>
      <c r="E48" s="375">
        <v>100200</v>
      </c>
      <c r="F48" s="375">
        <v>6.23</v>
      </c>
      <c r="G48" s="375">
        <v>1.8301000000000001</v>
      </c>
      <c r="H48" s="376">
        <v>8.85</v>
      </c>
      <c r="I48" s="377">
        <v>0.02</v>
      </c>
      <c r="J48" s="376">
        <v>6.97</v>
      </c>
      <c r="K48" s="377">
        <v>0.09</v>
      </c>
      <c r="L48" s="376">
        <v>8.1</v>
      </c>
      <c r="M48" s="377">
        <v>0.4</v>
      </c>
      <c r="N48" s="376">
        <v>6.1</v>
      </c>
      <c r="O48" s="377">
        <v>0.8</v>
      </c>
      <c r="P48" s="376">
        <v>11.12</v>
      </c>
      <c r="Q48" s="377">
        <v>1.1299999999999999</v>
      </c>
      <c r="R48" s="376">
        <v>0.1</v>
      </c>
      <c r="S48" s="377">
        <v>0</v>
      </c>
      <c r="T48" s="376">
        <v>2.72</v>
      </c>
      <c r="U48" s="377">
        <v>0.03</v>
      </c>
      <c r="V48" s="376">
        <v>2.9580000000000002</v>
      </c>
      <c r="W48" s="377">
        <v>0.91500000000000004</v>
      </c>
      <c r="X48" s="376">
        <v>0.68</v>
      </c>
      <c r="Y48" s="377">
        <v>0.04</v>
      </c>
      <c r="Z48" s="376">
        <v>0</v>
      </c>
      <c r="AA48" s="377">
        <v>0</v>
      </c>
      <c r="AB48" s="376">
        <v>0</v>
      </c>
      <c r="AC48" s="377">
        <v>0</v>
      </c>
      <c r="AD48" s="376">
        <v>0</v>
      </c>
      <c r="AE48" s="377">
        <v>0</v>
      </c>
      <c r="AF48" s="376">
        <v>0</v>
      </c>
      <c r="AG48" s="377">
        <v>0</v>
      </c>
      <c r="AH48" s="376">
        <v>0</v>
      </c>
      <c r="AI48" s="377">
        <v>0</v>
      </c>
      <c r="AJ48" s="376">
        <v>0</v>
      </c>
      <c r="AK48" s="377">
        <v>0</v>
      </c>
      <c r="AL48" s="376">
        <v>0</v>
      </c>
      <c r="AM48" s="377">
        <v>0</v>
      </c>
      <c r="AN48" s="376">
        <v>0</v>
      </c>
      <c r="AO48" s="377">
        <v>0</v>
      </c>
      <c r="AP48" s="376">
        <v>0</v>
      </c>
      <c r="AQ48" s="377">
        <v>0</v>
      </c>
      <c r="AR48" s="376">
        <v>0</v>
      </c>
      <c r="AS48" s="377">
        <v>0</v>
      </c>
      <c r="AT48" s="376">
        <v>0</v>
      </c>
      <c r="AU48" s="377">
        <v>0</v>
      </c>
    </row>
    <row r="49" spans="1:47" ht="16.5" customHeight="1">
      <c r="A49" s="357"/>
      <c r="B49" s="368">
        <v>26</v>
      </c>
      <c r="C49" s="369" t="s">
        <v>85</v>
      </c>
      <c r="D49" s="374" t="s">
        <v>216</v>
      </c>
      <c r="E49" s="375">
        <v>55277</v>
      </c>
      <c r="F49" s="375">
        <v>4.95</v>
      </c>
      <c r="G49" s="375">
        <v>1.6625000000000001</v>
      </c>
      <c r="H49" s="376">
        <v>55.12</v>
      </c>
      <c r="I49" s="377">
        <v>1.91</v>
      </c>
      <c r="J49" s="376">
        <v>37.630000000000003</v>
      </c>
      <c r="K49" s="377">
        <v>1.1299999999999999</v>
      </c>
      <c r="L49" s="376">
        <v>44.8</v>
      </c>
      <c r="M49" s="377">
        <v>2.5</v>
      </c>
      <c r="N49" s="376">
        <v>33.799999999999997</v>
      </c>
      <c r="O49" s="377">
        <v>2</v>
      </c>
      <c r="P49" s="376">
        <v>76.8</v>
      </c>
      <c r="Q49" s="377">
        <v>2.39</v>
      </c>
      <c r="R49" s="376">
        <v>4.0999999999999996</v>
      </c>
      <c r="S49" s="377">
        <v>0.6</v>
      </c>
      <c r="T49" s="376">
        <v>11.87</v>
      </c>
      <c r="U49" s="377">
        <v>0.13</v>
      </c>
      <c r="V49" s="376">
        <v>14.255000000000001</v>
      </c>
      <c r="W49" s="377">
        <v>8.4000000000000005E-2</v>
      </c>
      <c r="X49" s="376">
        <v>11.55</v>
      </c>
      <c r="Y49" s="377">
        <v>0.99</v>
      </c>
      <c r="Z49" s="376">
        <v>140.19</v>
      </c>
      <c r="AA49" s="377">
        <v>0.92</v>
      </c>
      <c r="AB49" s="376">
        <v>141.26</v>
      </c>
      <c r="AC49" s="377">
        <v>0.59</v>
      </c>
      <c r="AD49" s="376">
        <v>2.14</v>
      </c>
      <c r="AE49" s="377">
        <v>0</v>
      </c>
      <c r="AF49" s="376">
        <v>69.86</v>
      </c>
      <c r="AG49" s="377">
        <v>0.69</v>
      </c>
      <c r="AH49" s="376">
        <v>37.020000000000003</v>
      </c>
      <c r="AI49" s="377">
        <v>0.38</v>
      </c>
      <c r="AJ49" s="376">
        <v>4.8</v>
      </c>
      <c r="AK49" s="377">
        <v>0.1</v>
      </c>
      <c r="AL49" s="376">
        <v>16.48</v>
      </c>
      <c r="AM49" s="377">
        <v>0.09</v>
      </c>
      <c r="AN49" s="376">
        <v>6.06</v>
      </c>
      <c r="AO49" s="377">
        <v>0.18</v>
      </c>
      <c r="AP49" s="376">
        <v>5.25</v>
      </c>
      <c r="AQ49" s="377">
        <v>0.03</v>
      </c>
      <c r="AR49" s="376">
        <v>0</v>
      </c>
      <c r="AS49" s="377">
        <v>0</v>
      </c>
      <c r="AT49" s="376">
        <v>0.72</v>
      </c>
      <c r="AU49" s="377">
        <v>0.02</v>
      </c>
    </row>
    <row r="50" spans="1:47" ht="16.5" customHeight="1">
      <c r="A50" s="357"/>
      <c r="B50" s="378"/>
      <c r="C50" s="379" t="s">
        <v>306</v>
      </c>
      <c r="D50" s="374" t="s">
        <v>227</v>
      </c>
      <c r="E50" s="375">
        <v>68891</v>
      </c>
      <c r="F50" s="375">
        <v>8.49</v>
      </c>
      <c r="G50" s="375">
        <v>5.7474999999999996</v>
      </c>
      <c r="H50" s="376">
        <v>53.03</v>
      </c>
      <c r="I50" s="377">
        <v>2.5</v>
      </c>
      <c r="J50" s="376">
        <v>35.32</v>
      </c>
      <c r="K50" s="377">
        <v>2.57</v>
      </c>
      <c r="L50" s="376">
        <v>52.9</v>
      </c>
      <c r="M50" s="377">
        <v>2.6</v>
      </c>
      <c r="N50" s="376">
        <v>34.799999999999997</v>
      </c>
      <c r="O50" s="377">
        <v>1.9</v>
      </c>
      <c r="P50" s="376">
        <v>64.88</v>
      </c>
      <c r="Q50" s="377">
        <v>0.34</v>
      </c>
      <c r="R50" s="376">
        <v>11.6</v>
      </c>
      <c r="S50" s="377">
        <v>0.5</v>
      </c>
      <c r="T50" s="376">
        <v>10.96</v>
      </c>
      <c r="U50" s="377">
        <v>0.12</v>
      </c>
      <c r="V50" s="376">
        <v>17.364999999999998</v>
      </c>
      <c r="W50" s="377">
        <v>1.401</v>
      </c>
      <c r="X50" s="376">
        <v>3.33</v>
      </c>
      <c r="Y50" s="377">
        <v>0.04</v>
      </c>
      <c r="Z50" s="376">
        <v>5.28</v>
      </c>
      <c r="AA50" s="377">
        <v>0.13</v>
      </c>
      <c r="AB50" s="376">
        <v>5.28</v>
      </c>
      <c r="AC50" s="377">
        <v>0.13</v>
      </c>
      <c r="AD50" s="376">
        <v>0</v>
      </c>
      <c r="AE50" s="377">
        <v>0</v>
      </c>
      <c r="AF50" s="376">
        <v>1.92</v>
      </c>
      <c r="AG50" s="377">
        <v>0.05</v>
      </c>
      <c r="AH50" s="376">
        <v>1.39</v>
      </c>
      <c r="AI50" s="377">
        <v>0.02</v>
      </c>
      <c r="AJ50" s="376">
        <v>0.54</v>
      </c>
      <c r="AK50" s="377">
        <v>0</v>
      </c>
      <c r="AL50" s="376">
        <v>0.11</v>
      </c>
      <c r="AM50" s="377">
        <v>0.01</v>
      </c>
      <c r="AN50" s="376">
        <v>1.32</v>
      </c>
      <c r="AO50" s="377">
        <v>0.04</v>
      </c>
      <c r="AP50" s="376">
        <v>0</v>
      </c>
      <c r="AQ50" s="377">
        <v>0</v>
      </c>
      <c r="AR50" s="376">
        <v>0</v>
      </c>
      <c r="AS50" s="377">
        <v>0</v>
      </c>
      <c r="AT50" s="376">
        <v>0</v>
      </c>
      <c r="AU50" s="377">
        <v>0</v>
      </c>
    </row>
    <row r="51" spans="1:47" ht="16.5" customHeight="1">
      <c r="A51" s="357"/>
      <c r="B51" s="378"/>
      <c r="C51" s="379"/>
      <c r="D51" s="380" t="s">
        <v>321</v>
      </c>
      <c r="E51" s="381"/>
      <c r="F51" s="381">
        <v>5.3013091492322966</v>
      </c>
      <c r="G51" s="382">
        <v>3.928943326783068</v>
      </c>
      <c r="H51" s="382">
        <v>53.960424344436568</v>
      </c>
      <c r="I51" s="383"/>
      <c r="J51" s="382">
        <v>36.348363749114107</v>
      </c>
      <c r="K51" s="383"/>
      <c r="L51" s="382">
        <v>49.294049191418075</v>
      </c>
      <c r="M51" s="383"/>
      <c r="N51" s="382">
        <v>34.354820887829391</v>
      </c>
      <c r="O51" s="383"/>
      <c r="P51" s="382">
        <v>70.186535017073638</v>
      </c>
      <c r="Q51" s="383"/>
      <c r="R51" s="382">
        <v>8.2611566587204432</v>
      </c>
      <c r="S51" s="383"/>
      <c r="T51" s="382">
        <v>11.365112992075254</v>
      </c>
      <c r="U51" s="383"/>
      <c r="V51" s="382">
        <v>15.980492961149409</v>
      </c>
      <c r="W51" s="383"/>
      <c r="X51" s="382">
        <v>6.989372302042395</v>
      </c>
      <c r="Y51" s="383"/>
      <c r="Z51" s="382">
        <v>65.33911402293667</v>
      </c>
      <c r="AA51" s="383"/>
      <c r="AB51" s="382">
        <v>65.815455672959217</v>
      </c>
      <c r="AC51" s="383"/>
      <c r="AD51" s="382">
        <v>0.95268330004510027</v>
      </c>
      <c r="AE51" s="383"/>
      <c r="AF51" s="382">
        <v>32.165468880871074</v>
      </c>
      <c r="AG51" s="383"/>
      <c r="AH51" s="382">
        <v>17.251731766638748</v>
      </c>
      <c r="AI51" s="383"/>
      <c r="AJ51" s="382">
        <v>2.4364630178467883</v>
      </c>
      <c r="AK51" s="383"/>
      <c r="AL51" s="382">
        <v>7.3975820662328466</v>
      </c>
      <c r="AM51" s="383"/>
      <c r="AN51" s="382">
        <v>3.4301489916886796</v>
      </c>
      <c r="AO51" s="383"/>
      <c r="AP51" s="382">
        <v>2.3371903388956898</v>
      </c>
      <c r="AQ51" s="383"/>
      <c r="AR51" s="382">
        <v>0</v>
      </c>
      <c r="AS51" s="383"/>
      <c r="AT51" s="382">
        <v>0.32052896076283743</v>
      </c>
      <c r="AU51" s="383"/>
    </row>
    <row r="52" spans="1:47" ht="16.5" customHeight="1">
      <c r="A52" s="357"/>
      <c r="B52" s="394">
        <v>27</v>
      </c>
      <c r="C52" s="395" t="s">
        <v>86</v>
      </c>
      <c r="D52" s="374" t="s">
        <v>192</v>
      </c>
      <c r="E52" s="375">
        <v>25578</v>
      </c>
      <c r="F52" s="375">
        <v>3.53</v>
      </c>
      <c r="G52" s="375" t="s">
        <v>46</v>
      </c>
      <c r="H52" s="376">
        <v>96.68</v>
      </c>
      <c r="I52" s="377">
        <v>2.71</v>
      </c>
      <c r="J52" s="376">
        <v>81.430000000000007</v>
      </c>
      <c r="K52" s="377">
        <v>2.4</v>
      </c>
      <c r="L52" s="376">
        <v>53.2</v>
      </c>
      <c r="M52" s="377">
        <v>0.5</v>
      </c>
      <c r="N52" s="376">
        <v>47.2</v>
      </c>
      <c r="O52" s="377">
        <v>0.4</v>
      </c>
      <c r="P52" s="376">
        <v>184.61</v>
      </c>
      <c r="Q52" s="377">
        <v>0.99</v>
      </c>
      <c r="R52" s="376">
        <v>119.8</v>
      </c>
      <c r="S52" s="377">
        <v>5.9</v>
      </c>
      <c r="T52" s="376">
        <v>38.22</v>
      </c>
      <c r="U52" s="377">
        <v>1.97</v>
      </c>
      <c r="V52" s="376">
        <v>25.815999999999999</v>
      </c>
      <c r="W52" s="377">
        <v>0</v>
      </c>
      <c r="X52" s="376">
        <v>6.93</v>
      </c>
      <c r="Y52" s="377">
        <v>0.32</v>
      </c>
      <c r="Z52" s="376">
        <v>7.0000000000000007E-2</v>
      </c>
      <c r="AA52" s="377">
        <v>0</v>
      </c>
      <c r="AB52" s="376">
        <v>0.14000000000000001</v>
      </c>
      <c r="AC52" s="377">
        <v>0</v>
      </c>
      <c r="AD52" s="376">
        <v>7.0000000000000007E-2</v>
      </c>
      <c r="AE52" s="377">
        <v>0</v>
      </c>
      <c r="AF52" s="376">
        <v>7.0000000000000007E-2</v>
      </c>
      <c r="AG52" s="377">
        <v>0</v>
      </c>
      <c r="AH52" s="376">
        <v>0</v>
      </c>
      <c r="AI52" s="377">
        <v>0</v>
      </c>
      <c r="AJ52" s="376">
        <v>0</v>
      </c>
      <c r="AK52" s="377">
        <v>0</v>
      </c>
      <c r="AL52" s="376">
        <v>0</v>
      </c>
      <c r="AM52" s="377">
        <v>0</v>
      </c>
      <c r="AN52" s="376">
        <v>0</v>
      </c>
      <c r="AO52" s="377">
        <v>0</v>
      </c>
      <c r="AP52" s="376">
        <v>0</v>
      </c>
      <c r="AQ52" s="377">
        <v>0</v>
      </c>
      <c r="AR52" s="376">
        <v>0</v>
      </c>
      <c r="AS52" s="377">
        <v>0</v>
      </c>
      <c r="AT52" s="376">
        <v>0</v>
      </c>
      <c r="AU52" s="377">
        <v>0</v>
      </c>
    </row>
    <row r="53" spans="1:47" ht="16.5" customHeight="1">
      <c r="A53" s="357"/>
      <c r="B53" s="368">
        <v>28</v>
      </c>
      <c r="C53" s="369" t="s">
        <v>87</v>
      </c>
      <c r="D53" s="374" t="s">
        <v>187</v>
      </c>
      <c r="E53" s="375">
        <v>23843</v>
      </c>
      <c r="F53" s="375">
        <v>6.08</v>
      </c>
      <c r="G53" s="375">
        <v>3.4910000000000001</v>
      </c>
      <c r="H53" s="376">
        <v>57.97</v>
      </c>
      <c r="I53" s="377">
        <v>4.29</v>
      </c>
      <c r="J53" s="376">
        <v>46.23</v>
      </c>
      <c r="K53" s="377">
        <v>3.44</v>
      </c>
      <c r="L53" s="376">
        <v>50.7</v>
      </c>
      <c r="M53" s="377">
        <v>3.5</v>
      </c>
      <c r="N53" s="376">
        <v>42.9</v>
      </c>
      <c r="O53" s="377">
        <v>3.2</v>
      </c>
      <c r="P53" s="376">
        <v>171.65</v>
      </c>
      <c r="Q53" s="377">
        <v>6.85</v>
      </c>
      <c r="R53" s="376">
        <v>120.1</v>
      </c>
      <c r="S53" s="377">
        <v>2.4</v>
      </c>
      <c r="T53" s="376">
        <v>8.32</v>
      </c>
      <c r="U53" s="377">
        <v>1.62</v>
      </c>
      <c r="V53" s="376">
        <v>2.7730000000000001</v>
      </c>
      <c r="W53" s="377">
        <v>2.0539999999999998</v>
      </c>
      <c r="X53" s="376">
        <v>4.9000000000000004</v>
      </c>
      <c r="Y53" s="377">
        <v>0.35</v>
      </c>
      <c r="Z53" s="376">
        <v>1.43</v>
      </c>
      <c r="AA53" s="377">
        <v>0.02</v>
      </c>
      <c r="AB53" s="376">
        <v>1.47</v>
      </c>
      <c r="AC53" s="377">
        <v>0.04</v>
      </c>
      <c r="AD53" s="376">
        <v>0.04</v>
      </c>
      <c r="AE53" s="377">
        <v>0.02</v>
      </c>
      <c r="AF53" s="376">
        <v>0.47</v>
      </c>
      <c r="AG53" s="377">
        <v>0</v>
      </c>
      <c r="AH53" s="376">
        <v>0.14000000000000001</v>
      </c>
      <c r="AI53" s="377">
        <v>0</v>
      </c>
      <c r="AJ53" s="376">
        <v>0.03</v>
      </c>
      <c r="AK53" s="377">
        <v>0</v>
      </c>
      <c r="AL53" s="376">
        <v>0.24</v>
      </c>
      <c r="AM53" s="377">
        <v>0</v>
      </c>
      <c r="AN53" s="376">
        <v>0.05</v>
      </c>
      <c r="AO53" s="377">
        <v>0</v>
      </c>
      <c r="AP53" s="376">
        <v>0.13</v>
      </c>
      <c r="AQ53" s="377">
        <v>0</v>
      </c>
      <c r="AR53" s="376">
        <v>0</v>
      </c>
      <c r="AS53" s="377">
        <v>0</v>
      </c>
      <c r="AT53" s="376">
        <v>0.36</v>
      </c>
      <c r="AU53" s="377">
        <v>0.01</v>
      </c>
    </row>
    <row r="54" spans="1:47" ht="16.5" customHeight="1">
      <c r="A54" s="357"/>
      <c r="B54" s="368">
        <v>29</v>
      </c>
      <c r="C54" s="369" t="s">
        <v>88</v>
      </c>
      <c r="D54" s="374" t="s">
        <v>216</v>
      </c>
      <c r="E54" s="375">
        <v>5978</v>
      </c>
      <c r="F54" s="375">
        <v>6.65</v>
      </c>
      <c r="G54" s="375">
        <v>1.496</v>
      </c>
      <c r="H54" s="376">
        <v>46.9</v>
      </c>
      <c r="I54" s="377">
        <v>2.36</v>
      </c>
      <c r="J54" s="376">
        <v>26.28</v>
      </c>
      <c r="K54" s="377">
        <v>1.1499999999999999</v>
      </c>
      <c r="L54" s="376">
        <v>46.7</v>
      </c>
      <c r="M54" s="377">
        <v>0.4</v>
      </c>
      <c r="N54" s="376">
        <v>25.7</v>
      </c>
      <c r="O54" s="377">
        <v>0.7</v>
      </c>
      <c r="P54" s="376">
        <v>29.58</v>
      </c>
      <c r="Q54" s="377">
        <v>9.6300000000000008</v>
      </c>
      <c r="R54" s="376">
        <v>0.3</v>
      </c>
      <c r="S54" s="377">
        <v>0</v>
      </c>
      <c r="T54" s="376">
        <v>7.06</v>
      </c>
      <c r="U54" s="377">
        <v>0.08</v>
      </c>
      <c r="V54" s="376">
        <v>9.9570000000000007</v>
      </c>
      <c r="W54" s="377">
        <v>1.0640000000000001</v>
      </c>
      <c r="X54" s="376">
        <v>5.75</v>
      </c>
      <c r="Y54" s="377">
        <v>1.77</v>
      </c>
      <c r="Z54" s="376">
        <v>0.01</v>
      </c>
      <c r="AA54" s="377">
        <v>0.01</v>
      </c>
      <c r="AB54" s="376">
        <v>0.01</v>
      </c>
      <c r="AC54" s="377">
        <v>0.01</v>
      </c>
      <c r="AD54" s="376">
        <v>0</v>
      </c>
      <c r="AE54" s="377">
        <v>0</v>
      </c>
      <c r="AF54" s="376">
        <v>0.01</v>
      </c>
      <c r="AG54" s="377">
        <v>0</v>
      </c>
      <c r="AH54" s="376">
        <v>0</v>
      </c>
      <c r="AI54" s="377">
        <v>0</v>
      </c>
      <c r="AJ54" s="376">
        <v>0</v>
      </c>
      <c r="AK54" s="377">
        <v>0</v>
      </c>
      <c r="AL54" s="376">
        <v>0</v>
      </c>
      <c r="AM54" s="377">
        <v>0</v>
      </c>
      <c r="AN54" s="376">
        <v>0</v>
      </c>
      <c r="AO54" s="377">
        <v>0</v>
      </c>
      <c r="AP54" s="376">
        <v>0</v>
      </c>
      <c r="AQ54" s="377">
        <v>0</v>
      </c>
      <c r="AR54" s="376">
        <v>0</v>
      </c>
      <c r="AS54" s="377">
        <v>0</v>
      </c>
      <c r="AT54" s="376">
        <v>0</v>
      </c>
      <c r="AU54" s="377">
        <v>0</v>
      </c>
    </row>
    <row r="55" spans="1:47" ht="16.5" customHeight="1">
      <c r="A55" s="357"/>
      <c r="B55" s="378"/>
      <c r="C55" s="379" t="s">
        <v>306</v>
      </c>
      <c r="D55" s="374" t="s">
        <v>227</v>
      </c>
      <c r="E55" s="375">
        <v>9254</v>
      </c>
      <c r="F55" s="375">
        <v>6.35</v>
      </c>
      <c r="G55" s="375">
        <v>0.96599999999999997</v>
      </c>
      <c r="H55" s="376">
        <v>56.8</v>
      </c>
      <c r="I55" s="377">
        <v>13.58</v>
      </c>
      <c r="J55" s="376">
        <v>32.15</v>
      </c>
      <c r="K55" s="377">
        <v>7.57</v>
      </c>
      <c r="L55" s="376">
        <v>46.6</v>
      </c>
      <c r="M55" s="377">
        <v>0.4</v>
      </c>
      <c r="N55" s="376">
        <v>26.8</v>
      </c>
      <c r="O55" s="377">
        <v>0.1</v>
      </c>
      <c r="P55" s="376">
        <v>69.83</v>
      </c>
      <c r="Q55" s="377">
        <v>3.15</v>
      </c>
      <c r="R55" s="376">
        <v>3.8</v>
      </c>
      <c r="S55" s="377">
        <v>0.1</v>
      </c>
      <c r="T55" s="376">
        <v>17.55</v>
      </c>
      <c r="U55" s="377">
        <v>2.04</v>
      </c>
      <c r="V55" s="376">
        <v>16.248999999999999</v>
      </c>
      <c r="W55" s="377">
        <v>5.78</v>
      </c>
      <c r="X55" s="376">
        <v>2.9</v>
      </c>
      <c r="Y55" s="377">
        <v>1.06</v>
      </c>
      <c r="Z55" s="376">
        <v>28.81</v>
      </c>
      <c r="AA55" s="377">
        <v>0.19</v>
      </c>
      <c r="AB55" s="376">
        <v>29.76</v>
      </c>
      <c r="AC55" s="377">
        <v>0.04</v>
      </c>
      <c r="AD55" s="376">
        <v>0.96</v>
      </c>
      <c r="AE55" s="377">
        <v>0.15</v>
      </c>
      <c r="AF55" s="376">
        <v>13.71</v>
      </c>
      <c r="AG55" s="377">
        <v>0.15</v>
      </c>
      <c r="AH55" s="376">
        <v>4.3</v>
      </c>
      <c r="AI55" s="377">
        <v>0.04</v>
      </c>
      <c r="AJ55" s="376">
        <v>1.66</v>
      </c>
      <c r="AK55" s="377">
        <v>0.05</v>
      </c>
      <c r="AL55" s="376">
        <v>3.62</v>
      </c>
      <c r="AM55" s="377">
        <v>0.02</v>
      </c>
      <c r="AN55" s="376">
        <v>3.38</v>
      </c>
      <c r="AO55" s="377">
        <v>0.02</v>
      </c>
      <c r="AP55" s="376">
        <v>2.14</v>
      </c>
      <c r="AQ55" s="377">
        <v>0</v>
      </c>
      <c r="AR55" s="376">
        <v>0</v>
      </c>
      <c r="AS55" s="377">
        <v>0</v>
      </c>
      <c r="AT55" s="376">
        <v>0</v>
      </c>
      <c r="AU55" s="377">
        <v>0</v>
      </c>
    </row>
    <row r="56" spans="1:47" ht="16.5" customHeight="1">
      <c r="A56" s="357"/>
      <c r="B56" s="378"/>
      <c r="C56" s="379"/>
      <c r="D56" s="374" t="s">
        <v>192</v>
      </c>
      <c r="E56" s="375">
        <v>29881</v>
      </c>
      <c r="F56" s="375">
        <v>4.13</v>
      </c>
      <c r="G56" s="375" t="s">
        <v>46</v>
      </c>
      <c r="H56" s="376">
        <v>178.93</v>
      </c>
      <c r="I56" s="377">
        <v>4.3499999999999996</v>
      </c>
      <c r="J56" s="376">
        <v>148.01</v>
      </c>
      <c r="K56" s="377">
        <v>3.29</v>
      </c>
      <c r="L56" s="376">
        <v>133.5</v>
      </c>
      <c r="M56" s="377">
        <v>5.7</v>
      </c>
      <c r="N56" s="376">
        <v>123.5</v>
      </c>
      <c r="O56" s="377">
        <v>6.4</v>
      </c>
      <c r="P56" s="376">
        <v>72.67</v>
      </c>
      <c r="Q56" s="377">
        <v>3.8</v>
      </c>
      <c r="R56" s="376">
        <v>44.3</v>
      </c>
      <c r="S56" s="377">
        <v>5.7</v>
      </c>
      <c r="T56" s="376">
        <v>91.52</v>
      </c>
      <c r="U56" s="377">
        <v>10.130000000000001</v>
      </c>
      <c r="V56" s="376">
        <v>65.036000000000001</v>
      </c>
      <c r="W56" s="377">
        <v>1.401</v>
      </c>
      <c r="X56" s="376">
        <v>10.25</v>
      </c>
      <c r="Y56" s="377">
        <v>0.35</v>
      </c>
      <c r="Z56" s="376">
        <v>0.18</v>
      </c>
      <c r="AA56" s="377">
        <v>0</v>
      </c>
      <c r="AB56" s="376">
        <v>0.21</v>
      </c>
      <c r="AC56" s="377">
        <v>0</v>
      </c>
      <c r="AD56" s="376">
        <v>0.03</v>
      </c>
      <c r="AE56" s="377">
        <v>0</v>
      </c>
      <c r="AF56" s="376">
        <v>0.13</v>
      </c>
      <c r="AG56" s="377">
        <v>0</v>
      </c>
      <c r="AH56" s="376">
        <v>0.03</v>
      </c>
      <c r="AI56" s="377">
        <v>0</v>
      </c>
      <c r="AJ56" s="376">
        <v>0</v>
      </c>
      <c r="AK56" s="377">
        <v>0</v>
      </c>
      <c r="AL56" s="376">
        <v>0.01</v>
      </c>
      <c r="AM56" s="377">
        <v>0</v>
      </c>
      <c r="AN56" s="376">
        <v>0</v>
      </c>
      <c r="AO56" s="377">
        <v>0</v>
      </c>
      <c r="AP56" s="376">
        <v>0</v>
      </c>
      <c r="AQ56" s="377">
        <v>0</v>
      </c>
      <c r="AR56" s="376">
        <v>0</v>
      </c>
      <c r="AS56" s="377">
        <v>0</v>
      </c>
      <c r="AT56" s="376">
        <v>0</v>
      </c>
      <c r="AU56" s="377">
        <v>0</v>
      </c>
    </row>
    <row r="57" spans="1:47" ht="16.5" customHeight="1">
      <c r="A57" s="357"/>
      <c r="B57" s="378"/>
      <c r="C57" s="379"/>
      <c r="D57" s="380" t="s">
        <v>322</v>
      </c>
      <c r="E57" s="381"/>
      <c r="F57" s="381">
        <v>4.3078350792900331</v>
      </c>
      <c r="G57" s="381" t="s">
        <v>46</v>
      </c>
      <c r="H57" s="382">
        <v>49.226729047485705</v>
      </c>
      <c r="I57" s="383"/>
      <c r="J57" s="382">
        <v>39.023120774492931</v>
      </c>
      <c r="K57" s="383"/>
      <c r="L57" s="382">
        <v>37.600692083049964</v>
      </c>
      <c r="M57" s="383"/>
      <c r="N57" s="382">
        <v>32.739491138936671</v>
      </c>
      <c r="O57" s="383"/>
      <c r="P57" s="382">
        <v>23.958781693803257</v>
      </c>
      <c r="Q57" s="383"/>
      <c r="R57" s="382">
        <v>10.88680161619394</v>
      </c>
      <c r="S57" s="383"/>
      <c r="T57" s="382">
        <v>23.51739408729048</v>
      </c>
      <c r="U57" s="383"/>
      <c r="V57" s="382">
        <v>17.227922614713769</v>
      </c>
      <c r="W57" s="383"/>
      <c r="X57" s="382">
        <v>2.9402756330759687</v>
      </c>
      <c r="Y57" s="383"/>
      <c r="Z57" s="382">
        <v>2.1766299955994723</v>
      </c>
      <c r="AA57" s="383"/>
      <c r="AB57" s="382">
        <v>2.254141136936433</v>
      </c>
      <c r="AC57" s="383"/>
      <c r="AD57" s="382">
        <v>7.8251550186022326E-2</v>
      </c>
      <c r="AE57" s="383"/>
      <c r="AF57" s="382">
        <v>1.0466587990558869</v>
      </c>
      <c r="AG57" s="383"/>
      <c r="AH57" s="382">
        <v>0.32554810577269272</v>
      </c>
      <c r="AI57" s="383"/>
      <c r="AJ57" s="382">
        <v>0.1229078689442733</v>
      </c>
      <c r="AK57" s="383"/>
      <c r="AL57" s="382">
        <v>0.27041877025243027</v>
      </c>
      <c r="AM57" s="383"/>
      <c r="AN57" s="382">
        <v>0.25025819098291796</v>
      </c>
      <c r="AO57" s="383"/>
      <c r="AP57" s="382">
        <v>0.15844749369924391</v>
      </c>
      <c r="AQ57" s="383"/>
      <c r="AR57" s="382">
        <v>0</v>
      </c>
      <c r="AS57" s="383"/>
      <c r="AT57" s="382">
        <v>0</v>
      </c>
      <c r="AU57" s="383"/>
    </row>
    <row r="58" spans="1:47" ht="16.5" customHeight="1">
      <c r="A58" s="357"/>
      <c r="B58" s="368">
        <v>30</v>
      </c>
      <c r="C58" s="369" t="s">
        <v>89</v>
      </c>
      <c r="D58" s="374" t="s">
        <v>216</v>
      </c>
      <c r="E58" s="375">
        <v>90274</v>
      </c>
      <c r="F58" s="375">
        <v>6.13</v>
      </c>
      <c r="G58" s="375">
        <v>0.46200000000000002</v>
      </c>
      <c r="H58" s="376">
        <v>6.8</v>
      </c>
      <c r="I58" s="377">
        <v>0.71</v>
      </c>
      <c r="J58" s="376">
        <v>5.4</v>
      </c>
      <c r="K58" s="377">
        <v>0.56999999999999995</v>
      </c>
      <c r="L58" s="376">
        <v>5.8</v>
      </c>
      <c r="M58" s="377">
        <v>0.7</v>
      </c>
      <c r="N58" s="376">
        <v>5</v>
      </c>
      <c r="O58" s="377">
        <v>0.8</v>
      </c>
      <c r="P58" s="376">
        <v>29.32</v>
      </c>
      <c r="Q58" s="377">
        <v>3.07</v>
      </c>
      <c r="R58" s="376">
        <v>0.7</v>
      </c>
      <c r="S58" s="377">
        <v>0.2</v>
      </c>
      <c r="T58" s="376">
        <v>0.8</v>
      </c>
      <c r="U58" s="377">
        <v>0.05</v>
      </c>
      <c r="V58" s="376">
        <v>2.4689999999999999</v>
      </c>
      <c r="W58" s="377">
        <v>1.1579999999999999</v>
      </c>
      <c r="X58" s="376">
        <v>0.47</v>
      </c>
      <c r="Y58" s="377">
        <v>0.25</v>
      </c>
      <c r="Z58" s="376">
        <v>17.579999999999998</v>
      </c>
      <c r="AA58" s="377">
        <v>0.43</v>
      </c>
      <c r="AB58" s="376">
        <v>18.16</v>
      </c>
      <c r="AC58" s="377">
        <v>1.25</v>
      </c>
      <c r="AD58" s="376">
        <v>1.1599999999999999</v>
      </c>
      <c r="AE58" s="377">
        <v>0</v>
      </c>
      <c r="AF58" s="376">
        <v>9.18</v>
      </c>
      <c r="AG58" s="377">
        <v>0.32</v>
      </c>
      <c r="AH58" s="376">
        <v>3.65</v>
      </c>
      <c r="AI58" s="377">
        <v>0.04</v>
      </c>
      <c r="AJ58" s="376">
        <v>0.61</v>
      </c>
      <c r="AK58" s="377">
        <v>0</v>
      </c>
      <c r="AL58" s="376">
        <v>1.8</v>
      </c>
      <c r="AM58" s="377">
        <v>0.02</v>
      </c>
      <c r="AN58" s="376">
        <v>0.75</v>
      </c>
      <c r="AO58" s="377">
        <v>0.01</v>
      </c>
      <c r="AP58" s="376">
        <v>0.79</v>
      </c>
      <c r="AQ58" s="377">
        <v>0.02</v>
      </c>
      <c r="AR58" s="376">
        <v>0</v>
      </c>
      <c r="AS58" s="377">
        <v>0</v>
      </c>
      <c r="AT58" s="376">
        <v>0.81</v>
      </c>
      <c r="AU58" s="377">
        <v>0.03</v>
      </c>
    </row>
    <row r="59" spans="1:47" ht="16.5" customHeight="1">
      <c r="A59" s="357"/>
      <c r="B59" s="378"/>
      <c r="C59" s="379" t="s">
        <v>306</v>
      </c>
      <c r="D59" s="374" t="s">
        <v>227</v>
      </c>
      <c r="E59" s="375">
        <v>104315</v>
      </c>
      <c r="F59" s="375">
        <v>6.39</v>
      </c>
      <c r="G59" s="375">
        <v>1.8859999999999999</v>
      </c>
      <c r="H59" s="376">
        <v>52.77</v>
      </c>
      <c r="I59" s="377">
        <v>0.05</v>
      </c>
      <c r="J59" s="376">
        <v>40.28</v>
      </c>
      <c r="K59" s="377">
        <v>7.0000000000000007E-2</v>
      </c>
      <c r="L59" s="376">
        <v>51.7</v>
      </c>
      <c r="M59" s="377">
        <v>0.7</v>
      </c>
      <c r="N59" s="376">
        <v>39.799999999999997</v>
      </c>
      <c r="O59" s="377">
        <v>1.2</v>
      </c>
      <c r="P59" s="376">
        <v>62.28</v>
      </c>
      <c r="Q59" s="377">
        <v>2.89</v>
      </c>
      <c r="R59" s="376">
        <v>0.6</v>
      </c>
      <c r="S59" s="377">
        <v>0</v>
      </c>
      <c r="T59" s="376">
        <v>2.15</v>
      </c>
      <c r="U59" s="377">
        <v>0.09</v>
      </c>
      <c r="V59" s="376">
        <v>24.257999999999999</v>
      </c>
      <c r="W59" s="377">
        <v>1.5309999999999999</v>
      </c>
      <c r="X59" s="376">
        <v>2.2000000000000002</v>
      </c>
      <c r="Y59" s="377">
        <v>0.71</v>
      </c>
      <c r="Z59" s="376">
        <v>0.9</v>
      </c>
      <c r="AA59" s="377">
        <v>0</v>
      </c>
      <c r="AB59" s="376">
        <v>0.9</v>
      </c>
      <c r="AC59" s="377">
        <v>0</v>
      </c>
      <c r="AD59" s="376">
        <v>0</v>
      </c>
      <c r="AE59" s="377">
        <v>0</v>
      </c>
      <c r="AF59" s="376">
        <v>0.51</v>
      </c>
      <c r="AG59" s="377">
        <v>0.01</v>
      </c>
      <c r="AH59" s="376">
        <v>0.17</v>
      </c>
      <c r="AI59" s="377">
        <v>0</v>
      </c>
      <c r="AJ59" s="376">
        <v>0.06</v>
      </c>
      <c r="AK59" s="377">
        <v>0</v>
      </c>
      <c r="AL59" s="376">
        <v>0.03</v>
      </c>
      <c r="AM59" s="377">
        <v>0</v>
      </c>
      <c r="AN59" s="376">
        <v>0.12</v>
      </c>
      <c r="AO59" s="377">
        <v>0</v>
      </c>
      <c r="AP59" s="376">
        <v>0.02</v>
      </c>
      <c r="AQ59" s="377">
        <v>0</v>
      </c>
      <c r="AR59" s="376">
        <v>0</v>
      </c>
      <c r="AS59" s="377">
        <v>0</v>
      </c>
      <c r="AT59" s="376">
        <v>0</v>
      </c>
      <c r="AU59" s="377">
        <v>0</v>
      </c>
    </row>
    <row r="60" spans="1:47" ht="16.5" customHeight="1">
      <c r="A60" s="357"/>
      <c r="B60" s="378"/>
      <c r="C60" s="379"/>
      <c r="D60" s="380" t="s">
        <v>323</v>
      </c>
      <c r="E60" s="381"/>
      <c r="F60" s="381">
        <v>6.2500338228701455</v>
      </c>
      <c r="G60" s="382">
        <v>1.2253759359470475</v>
      </c>
      <c r="H60" s="382">
        <v>31.443533550200684</v>
      </c>
      <c r="I60" s="383"/>
      <c r="J60" s="382">
        <v>24.098421801849025</v>
      </c>
      <c r="K60" s="383"/>
      <c r="L60" s="382">
        <v>30.406008047731373</v>
      </c>
      <c r="M60" s="383"/>
      <c r="N60" s="382">
        <v>23.655535513312675</v>
      </c>
      <c r="O60" s="383"/>
      <c r="P60" s="382">
        <v>46.989150876976609</v>
      </c>
      <c r="Q60" s="383"/>
      <c r="R60" s="382">
        <v>0.64639213932956119</v>
      </c>
      <c r="S60" s="383"/>
      <c r="T60" s="382">
        <v>1.5237061190509227</v>
      </c>
      <c r="U60" s="383"/>
      <c r="V60" s="382">
        <v>14.149616761481893</v>
      </c>
      <c r="W60" s="383"/>
      <c r="X60" s="382">
        <v>1.39741598959859</v>
      </c>
      <c r="Y60" s="383"/>
      <c r="Z60" s="382">
        <v>8.6382088401708206</v>
      </c>
      <c r="AA60" s="383"/>
      <c r="AB60" s="382">
        <v>8.9072832482822779</v>
      </c>
      <c r="AC60" s="383"/>
      <c r="AD60" s="382">
        <v>0.53814881622291089</v>
      </c>
      <c r="AE60" s="383"/>
      <c r="AF60" s="382">
        <v>4.5321984798729629</v>
      </c>
      <c r="AG60" s="383"/>
      <c r="AH60" s="382">
        <v>1.7844464486687324</v>
      </c>
      <c r="AI60" s="383"/>
      <c r="AJ60" s="382">
        <v>0.31515676631258704</v>
      </c>
      <c r="AK60" s="383"/>
      <c r="AL60" s="382">
        <v>0.85114086613323481</v>
      </c>
      <c r="AM60" s="383"/>
      <c r="AN60" s="382">
        <v>0.4122704777762361</v>
      </c>
      <c r="AO60" s="383"/>
      <c r="AP60" s="382">
        <v>0.37721947283762192</v>
      </c>
      <c r="AQ60" s="383"/>
      <c r="AR60" s="382">
        <v>0</v>
      </c>
      <c r="AS60" s="383"/>
      <c r="AT60" s="382">
        <v>0.37577632856944637</v>
      </c>
      <c r="AU60" s="383"/>
    </row>
    <row r="61" spans="1:47" ht="16.5" customHeight="1">
      <c r="A61" s="357"/>
      <c r="B61" s="368">
        <v>31</v>
      </c>
      <c r="C61" s="369" t="s">
        <v>91</v>
      </c>
      <c r="D61" s="374" t="s">
        <v>187</v>
      </c>
      <c r="E61" s="375">
        <v>40415</v>
      </c>
      <c r="F61" s="375">
        <v>5.25</v>
      </c>
      <c r="G61" s="375">
        <v>3.496</v>
      </c>
      <c r="H61" s="376">
        <v>45.05</v>
      </c>
      <c r="I61" s="377">
        <v>1.01</v>
      </c>
      <c r="J61" s="376">
        <v>35.1</v>
      </c>
      <c r="K61" s="377">
        <v>1.04</v>
      </c>
      <c r="L61" s="376">
        <v>35.1</v>
      </c>
      <c r="M61" s="377">
        <v>0.1</v>
      </c>
      <c r="N61" s="376">
        <v>30.5</v>
      </c>
      <c r="O61" s="377">
        <v>0.1</v>
      </c>
      <c r="P61" s="376">
        <v>72.010000000000005</v>
      </c>
      <c r="Q61" s="377">
        <v>1.99</v>
      </c>
      <c r="R61" s="376">
        <v>36</v>
      </c>
      <c r="S61" s="377">
        <v>0.7</v>
      </c>
      <c r="T61" s="376">
        <v>8.7100000000000009</v>
      </c>
      <c r="U61" s="377">
        <v>0.94</v>
      </c>
      <c r="V61" s="376">
        <v>12.875</v>
      </c>
      <c r="W61" s="377">
        <v>2.895</v>
      </c>
      <c r="X61" s="376">
        <v>2.5499999999999998</v>
      </c>
      <c r="Y61" s="377">
        <v>0.49</v>
      </c>
      <c r="Z61" s="376">
        <v>0.02</v>
      </c>
      <c r="AA61" s="377">
        <v>0</v>
      </c>
      <c r="AB61" s="376">
        <v>0.02</v>
      </c>
      <c r="AC61" s="377">
        <v>0</v>
      </c>
      <c r="AD61" s="376">
        <v>0</v>
      </c>
      <c r="AE61" s="377">
        <v>0</v>
      </c>
      <c r="AF61" s="376">
        <v>0.02</v>
      </c>
      <c r="AG61" s="377">
        <v>0</v>
      </c>
      <c r="AH61" s="376">
        <v>0</v>
      </c>
      <c r="AI61" s="377">
        <v>0</v>
      </c>
      <c r="AJ61" s="376">
        <v>0</v>
      </c>
      <c r="AK61" s="377">
        <v>0</v>
      </c>
      <c r="AL61" s="376">
        <v>0</v>
      </c>
      <c r="AM61" s="377">
        <v>0</v>
      </c>
      <c r="AN61" s="376">
        <v>0</v>
      </c>
      <c r="AO61" s="377">
        <v>0</v>
      </c>
      <c r="AP61" s="376">
        <v>0</v>
      </c>
      <c r="AQ61" s="377">
        <v>0</v>
      </c>
      <c r="AR61" s="376">
        <v>0</v>
      </c>
      <c r="AS61" s="377">
        <v>0</v>
      </c>
      <c r="AT61" s="376">
        <v>0</v>
      </c>
      <c r="AU61" s="377">
        <v>0</v>
      </c>
    </row>
    <row r="62" spans="1:47" ht="16.5" customHeight="1">
      <c r="A62" s="357"/>
      <c r="B62" s="396">
        <v>32</v>
      </c>
      <c r="C62" s="374" t="s">
        <v>92</v>
      </c>
      <c r="D62" s="374" t="s">
        <v>240</v>
      </c>
      <c r="E62" s="375">
        <v>261716</v>
      </c>
      <c r="F62" s="375">
        <v>5.88</v>
      </c>
      <c r="G62" s="375">
        <v>0.57899999999999996</v>
      </c>
      <c r="H62" s="376">
        <v>26.38</v>
      </c>
      <c r="I62" s="377">
        <v>0.87</v>
      </c>
      <c r="J62" s="376">
        <v>20.97</v>
      </c>
      <c r="K62" s="377">
        <v>0.52</v>
      </c>
      <c r="L62" s="376">
        <v>26.6</v>
      </c>
      <c r="M62" s="377">
        <v>1</v>
      </c>
      <c r="N62" s="376">
        <v>21.4</v>
      </c>
      <c r="O62" s="377">
        <v>0.4</v>
      </c>
      <c r="P62" s="376">
        <v>48.62</v>
      </c>
      <c r="Q62" s="377">
        <v>2.06</v>
      </c>
      <c r="R62" s="376">
        <v>4.2</v>
      </c>
      <c r="S62" s="377">
        <v>0.4</v>
      </c>
      <c r="T62" s="376">
        <v>9.7899999999999991</v>
      </c>
      <c r="U62" s="377">
        <v>0.28999999999999998</v>
      </c>
      <c r="V62" s="376">
        <v>10.26</v>
      </c>
      <c r="W62" s="377">
        <v>1.419</v>
      </c>
      <c r="X62" s="376">
        <v>0</v>
      </c>
      <c r="Y62" s="377">
        <v>0</v>
      </c>
      <c r="Z62" s="376">
        <v>0.46</v>
      </c>
      <c r="AA62" s="377">
        <v>0.01</v>
      </c>
      <c r="AB62" s="376">
        <v>0.46</v>
      </c>
      <c r="AC62" s="377">
        <v>0.01</v>
      </c>
      <c r="AD62" s="376">
        <v>0</v>
      </c>
      <c r="AE62" s="377">
        <v>0</v>
      </c>
      <c r="AF62" s="376">
        <v>0.15</v>
      </c>
      <c r="AG62" s="377">
        <v>0</v>
      </c>
      <c r="AH62" s="376">
        <v>0.18</v>
      </c>
      <c r="AI62" s="377">
        <v>0</v>
      </c>
      <c r="AJ62" s="376">
        <v>0.03</v>
      </c>
      <c r="AK62" s="377">
        <v>0</v>
      </c>
      <c r="AL62" s="376">
        <v>0.03</v>
      </c>
      <c r="AM62" s="377">
        <v>0</v>
      </c>
      <c r="AN62" s="376">
        <v>0.06</v>
      </c>
      <c r="AO62" s="377">
        <v>0</v>
      </c>
      <c r="AP62" s="376">
        <v>0.02</v>
      </c>
      <c r="AQ62" s="377">
        <v>0</v>
      </c>
      <c r="AR62" s="376">
        <v>0</v>
      </c>
      <c r="AS62" s="377">
        <v>0</v>
      </c>
      <c r="AT62" s="376">
        <v>0</v>
      </c>
      <c r="AU62" s="377">
        <v>0</v>
      </c>
    </row>
    <row r="63" spans="1:47" ht="16.5" customHeight="1">
      <c r="B63" s="378" t="s">
        <v>93</v>
      </c>
      <c r="C63" s="397" t="s">
        <v>94</v>
      </c>
      <c r="D63" s="398" t="s">
        <v>192</v>
      </c>
      <c r="E63" s="399">
        <v>26626</v>
      </c>
      <c r="F63" s="399">
        <v>5.77</v>
      </c>
      <c r="G63" s="399" t="s">
        <v>46</v>
      </c>
      <c r="H63" s="400">
        <v>26.38</v>
      </c>
      <c r="I63" s="401">
        <v>0.87</v>
      </c>
      <c r="J63" s="400">
        <v>20.97</v>
      </c>
      <c r="K63" s="401">
        <v>0.52</v>
      </c>
      <c r="L63" s="400">
        <v>26.6</v>
      </c>
      <c r="M63" s="401">
        <v>1</v>
      </c>
      <c r="N63" s="400">
        <v>21.4</v>
      </c>
      <c r="O63" s="401">
        <v>0.4</v>
      </c>
      <c r="P63" s="400" t="s">
        <v>46</v>
      </c>
      <c r="Q63" s="401" t="s">
        <v>46</v>
      </c>
      <c r="R63" s="400" t="s">
        <v>46</v>
      </c>
      <c r="S63" s="401" t="s">
        <v>46</v>
      </c>
      <c r="T63" s="400" t="s">
        <v>46</v>
      </c>
      <c r="U63" s="401" t="s">
        <v>46</v>
      </c>
      <c r="V63" s="400" t="s">
        <v>46</v>
      </c>
      <c r="W63" s="401" t="s">
        <v>46</v>
      </c>
      <c r="X63" s="400" t="s">
        <v>46</v>
      </c>
      <c r="Y63" s="401" t="s">
        <v>46</v>
      </c>
      <c r="Z63" s="400" t="s">
        <v>46</v>
      </c>
      <c r="AA63" s="401" t="s">
        <v>46</v>
      </c>
      <c r="AB63" s="400" t="s">
        <v>46</v>
      </c>
      <c r="AC63" s="401" t="s">
        <v>46</v>
      </c>
      <c r="AD63" s="400" t="s">
        <v>46</v>
      </c>
      <c r="AE63" s="401" t="s">
        <v>46</v>
      </c>
      <c r="AF63" s="400" t="s">
        <v>46</v>
      </c>
      <c r="AG63" s="401" t="s">
        <v>46</v>
      </c>
      <c r="AH63" s="400" t="s">
        <v>46</v>
      </c>
      <c r="AI63" s="401" t="s">
        <v>46</v>
      </c>
      <c r="AJ63" s="400" t="s">
        <v>46</v>
      </c>
      <c r="AK63" s="401" t="s">
        <v>46</v>
      </c>
      <c r="AL63" s="400" t="s">
        <v>46</v>
      </c>
      <c r="AM63" s="401" t="s">
        <v>46</v>
      </c>
      <c r="AN63" s="400" t="s">
        <v>46</v>
      </c>
      <c r="AO63" s="401" t="s">
        <v>46</v>
      </c>
      <c r="AP63" s="400" t="s">
        <v>46</v>
      </c>
      <c r="AQ63" s="401" t="s">
        <v>46</v>
      </c>
      <c r="AR63" s="400" t="s">
        <v>46</v>
      </c>
      <c r="AS63" s="401" t="s">
        <v>46</v>
      </c>
      <c r="AT63" s="400" t="s">
        <v>46</v>
      </c>
      <c r="AU63" s="401" t="s">
        <v>46</v>
      </c>
    </row>
    <row r="64" spans="1:47" ht="16.5" customHeight="1">
      <c r="A64" s="357"/>
      <c r="B64" s="368">
        <v>33</v>
      </c>
      <c r="C64" s="369" t="s">
        <v>97</v>
      </c>
      <c r="D64" s="374" t="s">
        <v>248</v>
      </c>
      <c r="E64" s="375">
        <v>414670</v>
      </c>
      <c r="F64" s="375">
        <v>5.51</v>
      </c>
      <c r="G64" s="375">
        <v>0.24990000000000001</v>
      </c>
      <c r="H64" s="376">
        <v>13.47</v>
      </c>
      <c r="I64" s="377">
        <v>0.28000000000000003</v>
      </c>
      <c r="J64" s="376">
        <v>7.43</v>
      </c>
      <c r="K64" s="377">
        <v>0.14000000000000001</v>
      </c>
      <c r="L64" s="376">
        <v>9.9</v>
      </c>
      <c r="M64" s="377">
        <v>0.3</v>
      </c>
      <c r="N64" s="376">
        <v>7.6</v>
      </c>
      <c r="O64" s="377">
        <v>0.1</v>
      </c>
      <c r="P64" s="376">
        <v>23.68</v>
      </c>
      <c r="Q64" s="377">
        <v>13.11</v>
      </c>
      <c r="R64" s="376">
        <v>1.3</v>
      </c>
      <c r="S64" s="377">
        <v>0.6</v>
      </c>
      <c r="T64" s="376">
        <v>1.5</v>
      </c>
      <c r="U64" s="377">
        <v>7.0000000000000007E-2</v>
      </c>
      <c r="V64" s="376">
        <v>3.7829999999999999</v>
      </c>
      <c r="W64" s="377">
        <v>0.121</v>
      </c>
      <c r="X64" s="376">
        <v>1.25</v>
      </c>
      <c r="Y64" s="377">
        <v>0.14000000000000001</v>
      </c>
      <c r="Z64" s="376">
        <v>0.44</v>
      </c>
      <c r="AA64" s="377">
        <v>0.01</v>
      </c>
      <c r="AB64" s="376">
        <v>0.56000000000000005</v>
      </c>
      <c r="AC64" s="377">
        <v>0.01</v>
      </c>
      <c r="AD64" s="376">
        <v>0.11</v>
      </c>
      <c r="AE64" s="377">
        <v>0</v>
      </c>
      <c r="AF64" s="376">
        <v>0.4</v>
      </c>
      <c r="AG64" s="377">
        <v>0</v>
      </c>
      <c r="AH64" s="376">
        <v>0.01</v>
      </c>
      <c r="AI64" s="377">
        <v>0</v>
      </c>
      <c r="AJ64" s="376">
        <v>0.01</v>
      </c>
      <c r="AK64" s="377">
        <v>0</v>
      </c>
      <c r="AL64" s="376">
        <v>0</v>
      </c>
      <c r="AM64" s="377">
        <v>0</v>
      </c>
      <c r="AN64" s="376">
        <v>0.01</v>
      </c>
      <c r="AO64" s="377">
        <v>0</v>
      </c>
      <c r="AP64" s="376">
        <v>0.01</v>
      </c>
      <c r="AQ64" s="377">
        <v>0</v>
      </c>
      <c r="AR64" s="376">
        <v>0</v>
      </c>
      <c r="AS64" s="377">
        <v>0</v>
      </c>
      <c r="AT64" s="376">
        <v>0</v>
      </c>
      <c r="AU64" s="377">
        <v>0</v>
      </c>
    </row>
    <row r="65" spans="1:47" ht="16.5" customHeight="1">
      <c r="A65" s="357"/>
      <c r="B65" s="368">
        <v>34</v>
      </c>
      <c r="C65" s="369" t="s">
        <v>98</v>
      </c>
      <c r="D65" s="374" t="s">
        <v>192</v>
      </c>
      <c r="E65" s="375">
        <v>20518</v>
      </c>
      <c r="F65" s="375">
        <v>3.72</v>
      </c>
      <c r="G65" s="375" t="s">
        <v>46</v>
      </c>
      <c r="H65" s="376">
        <v>52.35</v>
      </c>
      <c r="I65" s="377">
        <v>0.35</v>
      </c>
      <c r="J65" s="376">
        <v>42.7</v>
      </c>
      <c r="K65" s="377">
        <v>0.56999999999999995</v>
      </c>
      <c r="L65" s="376">
        <v>29.4</v>
      </c>
      <c r="M65" s="377">
        <v>1.2</v>
      </c>
      <c r="N65" s="376">
        <v>27</v>
      </c>
      <c r="O65" s="377">
        <v>1.1000000000000001</v>
      </c>
      <c r="P65" s="376">
        <v>101.31</v>
      </c>
      <c r="Q65" s="377">
        <v>5.0999999999999996</v>
      </c>
      <c r="R65" s="376">
        <v>49.2</v>
      </c>
      <c r="S65" s="377">
        <v>0.2</v>
      </c>
      <c r="T65" s="376">
        <v>12.06</v>
      </c>
      <c r="U65" s="377">
        <v>0.34</v>
      </c>
      <c r="V65" s="376">
        <v>15.965</v>
      </c>
      <c r="W65" s="377">
        <v>0.317</v>
      </c>
      <c r="X65" s="376">
        <v>8.8000000000000007</v>
      </c>
      <c r="Y65" s="377">
        <v>0.28000000000000003</v>
      </c>
      <c r="Z65" s="376">
        <v>22.48</v>
      </c>
      <c r="AA65" s="377">
        <v>0.23</v>
      </c>
      <c r="AB65" s="376">
        <v>35.49</v>
      </c>
      <c r="AC65" s="377">
        <v>0.44</v>
      </c>
      <c r="AD65" s="376">
        <v>13.01</v>
      </c>
      <c r="AE65" s="377">
        <v>0.21</v>
      </c>
      <c r="AF65" s="376">
        <v>21.19</v>
      </c>
      <c r="AG65" s="377">
        <v>0.22</v>
      </c>
      <c r="AH65" s="376">
        <v>0.59</v>
      </c>
      <c r="AI65" s="377">
        <v>0.01</v>
      </c>
      <c r="AJ65" s="376">
        <v>0</v>
      </c>
      <c r="AK65" s="377">
        <v>0</v>
      </c>
      <c r="AL65" s="376">
        <v>0.44</v>
      </c>
      <c r="AM65" s="377">
        <v>0.01</v>
      </c>
      <c r="AN65" s="376">
        <v>7.0000000000000007E-2</v>
      </c>
      <c r="AO65" s="377">
        <v>0</v>
      </c>
      <c r="AP65" s="376">
        <v>0</v>
      </c>
      <c r="AQ65" s="377">
        <v>0</v>
      </c>
      <c r="AR65" s="376">
        <v>0.05</v>
      </c>
      <c r="AS65" s="377">
        <v>0</v>
      </c>
      <c r="AT65" s="376">
        <v>0.14000000000000001</v>
      </c>
      <c r="AU65" s="377">
        <v>0.05</v>
      </c>
    </row>
    <row r="66" spans="1:47" ht="16.5" customHeight="1">
      <c r="A66" s="357"/>
      <c r="B66" s="402">
        <f>COUNTA(B3:B65)</f>
        <v>36</v>
      </c>
      <c r="C66" s="357"/>
      <c r="D66" s="357"/>
      <c r="E66" s="403"/>
      <c r="F66" s="357"/>
      <c r="G66" s="357"/>
      <c r="H66" s="357"/>
      <c r="I66" s="357"/>
      <c r="J66" s="357"/>
      <c r="K66" s="362"/>
      <c r="L66" s="357"/>
      <c r="M66" s="362"/>
      <c r="N66" s="357"/>
      <c r="O66" s="362"/>
      <c r="P66" s="357"/>
      <c r="Q66" s="362"/>
      <c r="R66" s="357"/>
      <c r="S66" s="362"/>
      <c r="T66" s="357"/>
      <c r="U66" s="362"/>
      <c r="V66" s="357"/>
      <c r="W66" s="362"/>
      <c r="X66" s="357"/>
      <c r="Y66" s="362"/>
      <c r="Z66" s="357"/>
      <c r="AA66" s="362"/>
      <c r="AB66" s="357"/>
      <c r="AC66" s="362"/>
      <c r="AD66" s="357"/>
      <c r="AE66" s="362"/>
      <c r="AF66" s="357"/>
      <c r="AG66" s="362"/>
      <c r="AH66" s="357"/>
      <c r="AI66" s="362"/>
      <c r="AJ66" s="357"/>
      <c r="AK66" s="362"/>
      <c r="AL66" s="357"/>
      <c r="AM66" s="362"/>
      <c r="AN66" s="357"/>
      <c r="AO66" s="362"/>
      <c r="AP66" s="357"/>
      <c r="AQ66" s="362"/>
      <c r="AR66" s="357"/>
      <c r="AS66" s="362"/>
      <c r="AT66" s="357"/>
      <c r="AU66" s="362"/>
    </row>
    <row r="67" spans="1:47" ht="16.5" customHeight="1">
      <c r="E67" s="404"/>
    </row>
    <row r="68" spans="1:47" ht="16.5" customHeight="1">
      <c r="E68" s="404"/>
    </row>
    <row r="69" spans="1:47" ht="16.5" customHeight="1">
      <c r="E69" s="404"/>
    </row>
    <row r="70" spans="1:47" ht="16.5" customHeight="1">
      <c r="E70" s="404"/>
      <c r="AA70"/>
      <c r="AC70"/>
      <c r="AE70"/>
      <c r="AG70"/>
      <c r="AI70"/>
      <c r="AK70"/>
      <c r="AM70"/>
      <c r="AO70"/>
      <c r="AQ70"/>
      <c r="AS70"/>
      <c r="AU70"/>
    </row>
    <row r="71" spans="1:47" ht="16.5" customHeight="1">
      <c r="E71" s="404"/>
      <c r="AA71"/>
      <c r="AC71"/>
      <c r="AE71"/>
      <c r="AG71"/>
      <c r="AI71"/>
      <c r="AK71"/>
      <c r="AM71"/>
      <c r="AO71"/>
      <c r="AQ71"/>
      <c r="AS71"/>
      <c r="AU71"/>
    </row>
    <row r="72" spans="1:47" ht="16.5" customHeight="1">
      <c r="E72" s="404"/>
    </row>
    <row r="73" spans="1:47" ht="16.5" customHeight="1">
      <c r="E73" s="404"/>
    </row>
    <row r="74" spans="1:47" ht="16.5" customHeight="1">
      <c r="E74" s="404"/>
    </row>
    <row r="75" spans="1:47" ht="16.5" customHeight="1">
      <c r="E75" s="404"/>
    </row>
    <row r="76" spans="1:47" ht="16.5" customHeight="1">
      <c r="E76" s="404"/>
    </row>
    <row r="77" spans="1:47" ht="16.5" customHeight="1">
      <c r="E77" s="404"/>
    </row>
    <row r="78" spans="1:47" ht="16.5" customHeight="1">
      <c r="E78" s="404"/>
    </row>
    <row r="79" spans="1:47" ht="16.5" customHeight="1">
      <c r="E79" s="404"/>
    </row>
    <row r="80" spans="1:47" ht="16.5" customHeight="1">
      <c r="E80" s="404"/>
    </row>
    <row r="81" spans="5:5" ht="16.5" customHeight="1">
      <c r="E81" s="404"/>
    </row>
    <row r="82" spans="5:5" ht="16.5" customHeight="1">
      <c r="E82" s="404"/>
    </row>
    <row r="83" spans="5:5" ht="16.5" customHeight="1">
      <c r="E83" s="404"/>
    </row>
    <row r="84" spans="5:5" ht="16.5" customHeight="1">
      <c r="E84" s="404"/>
    </row>
    <row r="85" spans="5:5" ht="16.5" customHeight="1">
      <c r="E85" s="404"/>
    </row>
    <row r="86" spans="5:5" ht="16.5" customHeight="1">
      <c r="E86" s="404"/>
    </row>
    <row r="87" spans="5:5" ht="16.5" customHeight="1">
      <c r="E87" s="404"/>
    </row>
    <row r="88" spans="5:5" ht="16.5" customHeight="1">
      <c r="E88" s="404"/>
    </row>
    <row r="89" spans="5:5" ht="16.5" customHeight="1">
      <c r="E89" s="404"/>
    </row>
    <row r="90" spans="5:5" ht="16.5" customHeight="1">
      <c r="E90" s="404"/>
    </row>
    <row r="91" spans="5:5" ht="16.5" customHeight="1">
      <c r="E91" s="404"/>
    </row>
    <row r="92" spans="5:5" ht="16.5" customHeight="1">
      <c r="E92" s="404"/>
    </row>
    <row r="93" spans="5:5" ht="16.5" customHeight="1">
      <c r="E93" s="404"/>
    </row>
    <row r="94" spans="5:5" ht="16.5" customHeight="1">
      <c r="E94" s="404"/>
    </row>
    <row r="95" spans="5:5" ht="16.5" customHeight="1">
      <c r="E95" s="404"/>
    </row>
    <row r="96" spans="5:5" ht="16.5" customHeight="1">
      <c r="E96" s="404"/>
    </row>
    <row r="97" spans="5:5" ht="16.5" customHeight="1">
      <c r="E97" s="404"/>
    </row>
    <row r="98" spans="5:5" ht="16.5" customHeight="1">
      <c r="E98" s="404"/>
    </row>
    <row r="99" spans="5:5" ht="16.5" customHeight="1">
      <c r="E99" s="404"/>
    </row>
    <row r="100" spans="5:5" ht="16.5" customHeight="1">
      <c r="E100" s="404"/>
    </row>
    <row r="101" spans="5:5" ht="16.5" customHeight="1">
      <c r="E101" s="404"/>
    </row>
    <row r="102" spans="5:5" ht="16.5" customHeight="1">
      <c r="E102" s="404"/>
    </row>
    <row r="103" spans="5:5" ht="16.5" customHeight="1">
      <c r="E103" s="404"/>
    </row>
    <row r="104" spans="5:5" ht="16.5" customHeight="1">
      <c r="E104" s="404"/>
    </row>
    <row r="105" spans="5:5" ht="16.5" customHeight="1">
      <c r="E105" s="404"/>
    </row>
    <row r="106" spans="5:5" ht="16.5" customHeight="1">
      <c r="E106" s="404"/>
    </row>
    <row r="107" spans="5:5" ht="16.5" customHeight="1">
      <c r="E107" s="404"/>
    </row>
    <row r="108" spans="5:5" ht="16.5" customHeight="1">
      <c r="E108" s="404"/>
    </row>
    <row r="109" spans="5:5" ht="16.5" customHeight="1">
      <c r="E109" s="404"/>
    </row>
    <row r="110" spans="5:5" ht="16.5" customHeight="1">
      <c r="E110" s="404"/>
    </row>
    <row r="111" spans="5:5" ht="16.5" customHeight="1">
      <c r="E111" s="404"/>
    </row>
    <row r="112" spans="5:5" ht="16.5" customHeight="1">
      <c r="E112" s="404"/>
    </row>
    <row r="113" spans="5:5" ht="16.5" customHeight="1">
      <c r="E113" s="404"/>
    </row>
    <row r="114" spans="5:5" ht="16.5" customHeight="1">
      <c r="E114" s="404"/>
    </row>
    <row r="115" spans="5:5" ht="16.5" customHeight="1">
      <c r="E115" s="404"/>
    </row>
    <row r="116" spans="5:5" ht="16.5" customHeight="1">
      <c r="E116" s="404"/>
    </row>
    <row r="117" spans="5:5" ht="16.5" customHeight="1">
      <c r="E117" s="404"/>
    </row>
    <row r="118" spans="5:5" ht="16.5" customHeight="1">
      <c r="E118" s="404"/>
    </row>
    <row r="119" spans="5:5" ht="16.5" customHeight="1">
      <c r="E119" s="404"/>
    </row>
    <row r="120" spans="5:5" ht="16.5" customHeight="1">
      <c r="E120" s="404"/>
    </row>
    <row r="121" spans="5:5" ht="16.5" customHeight="1">
      <c r="E121" s="404"/>
    </row>
    <row r="122" spans="5:5" ht="16.5" customHeight="1">
      <c r="E122" s="404"/>
    </row>
    <row r="123" spans="5:5" ht="16.5" customHeight="1">
      <c r="E123" s="404"/>
    </row>
    <row r="124" spans="5:5" ht="16.5" customHeight="1">
      <c r="E124" s="404"/>
    </row>
    <row r="125" spans="5:5" ht="16.5" customHeight="1">
      <c r="E125" s="404"/>
    </row>
    <row r="126" spans="5:5" ht="16.5" customHeight="1">
      <c r="E126" s="404"/>
    </row>
    <row r="127" spans="5:5" ht="16.5" customHeight="1">
      <c r="E127" s="404"/>
    </row>
    <row r="128" spans="5:5" ht="16.5" customHeight="1">
      <c r="E128" s="404"/>
    </row>
    <row r="129" spans="5:5" ht="16.5" customHeight="1">
      <c r="E129" s="404"/>
    </row>
    <row r="130" spans="5:5" ht="16.5" customHeight="1">
      <c r="E130" s="404"/>
    </row>
    <row r="131" spans="5:5" ht="16.5" customHeight="1">
      <c r="E131" s="404"/>
    </row>
    <row r="132" spans="5:5" ht="16.5" customHeight="1">
      <c r="E132" s="404"/>
    </row>
    <row r="133" spans="5:5" ht="16.5" customHeight="1">
      <c r="E133" s="404"/>
    </row>
    <row r="134" spans="5:5" ht="16.5" customHeight="1">
      <c r="E134" s="404"/>
    </row>
    <row r="135" spans="5:5" ht="16.5" customHeight="1">
      <c r="E135" s="404"/>
    </row>
    <row r="136" spans="5:5" ht="16.5" customHeight="1">
      <c r="E136" s="404"/>
    </row>
    <row r="137" spans="5:5" ht="16.5" customHeight="1">
      <c r="E137" s="404"/>
    </row>
    <row r="138" spans="5:5" ht="16.5" customHeight="1">
      <c r="E138" s="404"/>
    </row>
    <row r="139" spans="5:5" ht="16.5" customHeight="1">
      <c r="E139" s="404"/>
    </row>
    <row r="140" spans="5:5" ht="16.5" customHeight="1">
      <c r="E140" s="404"/>
    </row>
    <row r="141" spans="5:5" ht="16.5" customHeight="1">
      <c r="E141" s="404"/>
    </row>
    <row r="142" spans="5:5" ht="16.5" customHeight="1">
      <c r="E142" s="404"/>
    </row>
    <row r="143" spans="5:5" ht="16.5" customHeight="1">
      <c r="E143" s="404"/>
    </row>
    <row r="144" spans="5:5" ht="16.5" customHeight="1">
      <c r="E144" s="404"/>
    </row>
    <row r="145" spans="5:5" ht="16.5" customHeight="1">
      <c r="E145" s="404"/>
    </row>
    <row r="146" spans="5:5" ht="16.5" customHeight="1">
      <c r="E146" s="404"/>
    </row>
    <row r="147" spans="5:5" ht="16.5" customHeight="1">
      <c r="E147" s="404"/>
    </row>
    <row r="148" spans="5:5" ht="16.5" customHeight="1">
      <c r="E148" s="404"/>
    </row>
    <row r="149" spans="5:5" ht="16.5" customHeight="1">
      <c r="E149" s="404"/>
    </row>
    <row r="150" spans="5:5" ht="16.5" customHeight="1">
      <c r="E150" s="404"/>
    </row>
    <row r="151" spans="5:5" ht="16.5" customHeight="1">
      <c r="E151" s="404"/>
    </row>
    <row r="152" spans="5:5" ht="16.5" customHeight="1">
      <c r="E152" s="404"/>
    </row>
    <row r="153" spans="5:5" ht="16.5" customHeight="1">
      <c r="E153" s="404"/>
    </row>
    <row r="154" spans="5:5" ht="16.5" customHeight="1">
      <c r="E154" s="404"/>
    </row>
    <row r="155" spans="5:5" ht="16.5" customHeight="1">
      <c r="E155" s="404"/>
    </row>
    <row r="156" spans="5:5" ht="16.5" customHeight="1">
      <c r="E156" s="404"/>
    </row>
    <row r="157" spans="5:5" ht="16.5" customHeight="1">
      <c r="E157" s="404"/>
    </row>
    <row r="158" spans="5:5" ht="16.5" customHeight="1">
      <c r="E158" s="404"/>
    </row>
    <row r="159" spans="5:5" ht="16.5" customHeight="1">
      <c r="E159" s="404"/>
    </row>
    <row r="160" spans="5:5" ht="16.5" customHeight="1">
      <c r="E160" s="404"/>
    </row>
    <row r="161" spans="4:47" ht="16.5" customHeight="1">
      <c r="E161" s="404"/>
    </row>
    <row r="162" spans="4:47" ht="16.5" customHeight="1">
      <c r="E162" s="404"/>
    </row>
    <row r="163" spans="4:47" ht="16.5" customHeight="1">
      <c r="E163" s="404"/>
    </row>
    <row r="164" spans="4:47" ht="16.5" customHeight="1">
      <c r="E164" s="404"/>
    </row>
    <row r="165" spans="4:47" ht="16.5" customHeight="1">
      <c r="E165" s="404"/>
    </row>
    <row r="166" spans="4:47" ht="16.5" customHeight="1">
      <c r="E166" s="404"/>
    </row>
    <row r="167" spans="4:47" ht="16.5" customHeight="1">
      <c r="E167" s="404"/>
    </row>
    <row r="168" spans="4:47" ht="16.5" customHeight="1">
      <c r="E168" s="404"/>
    </row>
    <row r="169" spans="4:47" ht="16.5" customHeight="1">
      <c r="E169" s="404"/>
    </row>
    <row r="170" spans="4:47" ht="16.5" customHeight="1">
      <c r="E170" s="404"/>
    </row>
    <row r="171" spans="4:47" ht="16.5" customHeight="1">
      <c r="E171" s="404"/>
    </row>
    <row r="172" spans="4:47" ht="16.5" customHeight="1">
      <c r="E172" s="404"/>
    </row>
    <row r="173" spans="4:47" ht="16.5" customHeight="1">
      <c r="E173" s="404"/>
    </row>
    <row r="174" spans="4:47" ht="16.5" customHeight="1">
      <c r="E174" s="404"/>
    </row>
    <row r="175" spans="4:47" ht="16.5" customHeight="1">
      <c r="E175" s="404"/>
    </row>
    <row r="176" spans="4:47" ht="16.5" customHeight="1">
      <c r="D176" s="405"/>
      <c r="F176" s="405"/>
      <c r="G176" s="405"/>
      <c r="H176" s="405"/>
      <c r="I176" s="405"/>
      <c r="J176" s="405"/>
      <c r="K176" s="405"/>
      <c r="L176" s="405"/>
      <c r="M176" s="405"/>
      <c r="N176" s="405"/>
      <c r="O176" s="405"/>
      <c r="P176" s="405"/>
      <c r="Q176" s="405"/>
      <c r="R176" s="405"/>
      <c r="S176" s="405"/>
      <c r="T176" s="405"/>
      <c r="U176" s="405"/>
      <c r="V176" s="405"/>
      <c r="W176" s="405"/>
      <c r="X176" s="405"/>
      <c r="Y176" s="405"/>
      <c r="Z176" s="405"/>
      <c r="AA176" s="405"/>
      <c r="AB176" s="405"/>
      <c r="AC176" s="405"/>
      <c r="AD176" s="405"/>
      <c r="AE176" s="405"/>
      <c r="AF176" s="405"/>
      <c r="AG176" s="405"/>
      <c r="AH176" s="405"/>
      <c r="AI176" s="405"/>
      <c r="AJ176" s="405"/>
      <c r="AK176" s="405"/>
      <c r="AL176" s="405"/>
      <c r="AM176" s="405"/>
      <c r="AN176" s="405"/>
      <c r="AO176" s="405"/>
      <c r="AP176" s="405"/>
      <c r="AQ176" s="405"/>
      <c r="AR176" s="405"/>
      <c r="AS176" s="405"/>
      <c r="AT176" s="405"/>
      <c r="AU176" s="405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99DA-43D7-4FB9-B9F3-45E191197232}">
  <dimension ref="B1:FM72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M11" sqref="M11"/>
    </sheetView>
  </sheetViews>
  <sheetFormatPr defaultColWidth="9" defaultRowHeight="16.5" customHeight="1"/>
  <cols>
    <col min="1" max="1" width="3.375" style="6" customWidth="1"/>
    <col min="2" max="2" width="5.375" style="6" customWidth="1"/>
    <col min="3" max="3" width="6.375" style="4" customWidth="1"/>
    <col min="4" max="5" width="7.375" style="4" customWidth="1"/>
    <col min="6" max="9" width="3.375" style="6" customWidth="1"/>
    <col min="10" max="10" width="1.375" style="6" customWidth="1"/>
    <col min="11" max="14" width="4.375" style="6" customWidth="1"/>
    <col min="15" max="15" width="1.375" style="6" customWidth="1"/>
    <col min="16" max="19" width="5.375" style="6" customWidth="1"/>
    <col min="20" max="20" width="1.375" style="6" customWidth="1"/>
    <col min="21" max="24" width="5.375" style="6" customWidth="1"/>
    <col min="25" max="25" width="1.375" style="6" customWidth="1"/>
    <col min="26" max="29" width="5.375" style="6" customWidth="1"/>
    <col min="30" max="30" width="1.375" style="6" customWidth="1"/>
    <col min="31" max="34" width="5.375" style="6" customWidth="1"/>
    <col min="35" max="35" width="1.375" style="6" customWidth="1"/>
    <col min="36" max="39" width="4.375" style="6" customWidth="1"/>
    <col min="40" max="40" width="1.375" style="6" customWidth="1"/>
    <col min="41" max="44" width="4.375" style="6" customWidth="1"/>
    <col min="45" max="45" width="1.375" style="6" customWidth="1"/>
    <col min="46" max="49" width="4.375" style="6" customWidth="1"/>
    <col min="50" max="50" width="1.375" style="6" customWidth="1"/>
    <col min="51" max="54" width="5.375" style="6" customWidth="1"/>
    <col min="55" max="55" width="1.375" style="6" customWidth="1"/>
    <col min="56" max="59" width="5.375" style="6" customWidth="1"/>
    <col min="60" max="60" width="1.375" style="6" customWidth="1"/>
    <col min="61" max="64" width="5.375" style="6" customWidth="1"/>
    <col min="65" max="65" width="1.375" style="6" customWidth="1"/>
    <col min="66" max="69" width="5.375" style="6" customWidth="1"/>
    <col min="70" max="70" width="1.375" style="6" customWidth="1"/>
    <col min="71" max="74" width="5.375" style="6" customWidth="1"/>
    <col min="75" max="75" width="1.375" style="6" customWidth="1"/>
    <col min="76" max="79" width="5.375" style="6" customWidth="1"/>
    <col min="80" max="80" width="1.375" style="6" customWidth="1"/>
    <col min="81" max="84" width="5.375" style="6" customWidth="1"/>
    <col min="85" max="85" width="1.375" style="6" customWidth="1"/>
    <col min="86" max="89" width="5.375" style="6" customWidth="1"/>
    <col min="90" max="90" width="1.375" style="6" customWidth="1"/>
    <col min="91" max="94" width="5.375" style="6" customWidth="1"/>
    <col min="95" max="95" width="1.375" style="6" customWidth="1"/>
    <col min="96" max="99" width="5.375" style="6" customWidth="1"/>
    <col min="100" max="100" width="1.375" style="6" customWidth="1"/>
    <col min="101" max="104" width="5.375" style="6" customWidth="1"/>
    <col min="105" max="105" width="1.375" style="6" customWidth="1"/>
    <col min="106" max="109" width="5.375" style="6" customWidth="1"/>
    <col min="110" max="110" width="1.375" style="6" customWidth="1"/>
    <col min="111" max="114" width="5.375" style="6" customWidth="1"/>
    <col min="115" max="115" width="1.375" style="6" customWidth="1"/>
    <col min="116" max="119" width="5.375" style="6" customWidth="1"/>
    <col min="120" max="120" width="1.375" style="6" customWidth="1"/>
    <col min="121" max="124" width="5.375" style="6" customWidth="1"/>
    <col min="125" max="125" width="1.375" style="6" customWidth="1"/>
    <col min="126" max="129" width="5.375" style="6" customWidth="1"/>
    <col min="130" max="130" width="1.375" style="6" customWidth="1"/>
    <col min="131" max="134" width="5.375" style="6" customWidth="1"/>
    <col min="135" max="135" width="1.375" style="6" customWidth="1"/>
    <col min="136" max="139" width="5.375" style="6" customWidth="1"/>
    <col min="140" max="140" width="1.375" style="6" customWidth="1"/>
    <col min="141" max="144" width="5.375" style="6" customWidth="1"/>
    <col min="145" max="145" width="1.375" style="6" customWidth="1"/>
    <col min="146" max="149" width="5.375" style="6" customWidth="1"/>
    <col min="150" max="150" width="1.375" style="6" customWidth="1"/>
    <col min="151" max="154" width="5.375" style="6" customWidth="1"/>
    <col min="155" max="155" width="1.375" style="6" customWidth="1"/>
    <col min="156" max="159" width="5.375" style="6" customWidth="1"/>
    <col min="160" max="160" width="1.375" style="6" customWidth="1"/>
    <col min="161" max="164" width="5.375" style="6" customWidth="1"/>
    <col min="165" max="165" width="1.375" style="6" customWidth="1"/>
    <col min="166" max="169" width="5.375" style="6" customWidth="1"/>
    <col min="170" max="16384" width="9" style="6"/>
  </cols>
  <sheetData>
    <row r="1" spans="2:169" ht="16.5" customHeight="1">
      <c r="B1" s="1" t="s">
        <v>0</v>
      </c>
      <c r="C1" s="2"/>
      <c r="D1" s="3"/>
      <c r="F1" s="5"/>
      <c r="G1" s="5"/>
      <c r="H1" s="5"/>
      <c r="I1" s="5"/>
      <c r="J1" s="5"/>
      <c r="O1" s="5"/>
      <c r="T1" s="5"/>
      <c r="Y1" s="5"/>
      <c r="AD1" s="5"/>
      <c r="AJ1" s="7"/>
      <c r="AK1" s="8"/>
      <c r="AL1" s="8"/>
      <c r="AM1" s="8"/>
      <c r="AN1" s="8"/>
      <c r="EA1" s="9" t="s">
        <v>1</v>
      </c>
      <c r="EB1" s="10"/>
      <c r="EC1" s="11"/>
      <c r="ED1" s="11"/>
      <c r="EF1" s="10"/>
      <c r="EG1" s="10"/>
      <c r="EH1" s="11"/>
      <c r="EI1" s="11"/>
      <c r="EK1" s="10"/>
      <c r="EL1" s="10"/>
      <c r="EM1" s="11"/>
      <c r="EN1" s="11"/>
      <c r="EP1" s="10"/>
      <c r="EQ1" s="10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2"/>
      <c r="FH1" s="12"/>
      <c r="FI1" s="12"/>
      <c r="FJ1" s="12"/>
    </row>
    <row r="2" spans="2:169" ht="16.5" customHeight="1" thickBot="1">
      <c r="B2" s="7"/>
      <c r="C2" s="2"/>
      <c r="D2" s="3"/>
      <c r="F2" s="13" t="s">
        <v>2</v>
      </c>
      <c r="G2" s="13" t="s">
        <v>3</v>
      </c>
      <c r="H2" s="13" t="s">
        <v>4</v>
      </c>
      <c r="I2" s="13" t="s">
        <v>5</v>
      </c>
      <c r="J2" s="13"/>
      <c r="K2" s="13" t="s">
        <v>2</v>
      </c>
      <c r="L2" s="13" t="s">
        <v>3</v>
      </c>
      <c r="M2" s="13" t="s">
        <v>4</v>
      </c>
      <c r="N2" s="13" t="s">
        <v>5</v>
      </c>
      <c r="O2" s="13"/>
      <c r="P2" s="13" t="s">
        <v>2</v>
      </c>
      <c r="Q2" s="13" t="s">
        <v>3</v>
      </c>
      <c r="R2" s="13" t="s">
        <v>4</v>
      </c>
      <c r="S2" s="13" t="s">
        <v>5</v>
      </c>
      <c r="T2" s="13"/>
      <c r="U2" s="13" t="s">
        <v>2</v>
      </c>
      <c r="V2" s="13" t="s">
        <v>3</v>
      </c>
      <c r="W2" s="13" t="s">
        <v>4</v>
      </c>
      <c r="X2" s="13" t="s">
        <v>5</v>
      </c>
      <c r="Y2" s="13"/>
      <c r="Z2" s="13" t="s">
        <v>2</v>
      </c>
      <c r="AA2" s="13" t="s">
        <v>3</v>
      </c>
      <c r="AB2" s="13" t="s">
        <v>4</v>
      </c>
      <c r="AC2" s="13" t="s">
        <v>5</v>
      </c>
      <c r="AD2" s="13"/>
      <c r="AE2" s="13" t="s">
        <v>2</v>
      </c>
      <c r="AF2" s="13" t="s">
        <v>3</v>
      </c>
      <c r="AG2" s="13" t="s">
        <v>4</v>
      </c>
      <c r="AH2" s="13" t="s">
        <v>5</v>
      </c>
      <c r="AI2" s="13"/>
      <c r="AJ2" s="13" t="s">
        <v>2</v>
      </c>
      <c r="AK2" s="13" t="s">
        <v>3</v>
      </c>
      <c r="AL2" s="13" t="s">
        <v>4</v>
      </c>
      <c r="AM2" s="13" t="s">
        <v>5</v>
      </c>
      <c r="AN2" s="13"/>
      <c r="AO2" s="13" t="s">
        <v>2</v>
      </c>
      <c r="AP2" s="13" t="s">
        <v>3</v>
      </c>
      <c r="AQ2" s="13" t="s">
        <v>4</v>
      </c>
      <c r="AR2" s="13" t="s">
        <v>5</v>
      </c>
      <c r="AS2" s="13"/>
      <c r="AT2" s="13" t="s">
        <v>2</v>
      </c>
      <c r="AU2" s="13" t="s">
        <v>3</v>
      </c>
      <c r="AV2" s="13" t="s">
        <v>4</v>
      </c>
      <c r="AW2" s="13" t="s">
        <v>5</v>
      </c>
      <c r="AX2" s="13"/>
      <c r="AY2" s="13" t="s">
        <v>2</v>
      </c>
      <c r="AZ2" s="13" t="s">
        <v>3</v>
      </c>
      <c r="BA2" s="13" t="s">
        <v>4</v>
      </c>
      <c r="BB2" s="13" t="s">
        <v>5</v>
      </c>
      <c r="BC2" s="13"/>
      <c r="BD2" s="13" t="s">
        <v>2</v>
      </c>
      <c r="BE2" s="13" t="s">
        <v>3</v>
      </c>
      <c r="BF2" s="13" t="s">
        <v>4</v>
      </c>
      <c r="BG2" s="13" t="s">
        <v>5</v>
      </c>
      <c r="BH2" s="13"/>
      <c r="BI2" s="13" t="s">
        <v>2</v>
      </c>
      <c r="BJ2" s="13" t="s">
        <v>3</v>
      </c>
      <c r="BK2" s="13" t="s">
        <v>4</v>
      </c>
      <c r="BL2" s="13" t="s">
        <v>5</v>
      </c>
      <c r="BM2" s="13"/>
      <c r="BN2" s="13" t="s">
        <v>2</v>
      </c>
      <c r="BO2" s="13" t="s">
        <v>3</v>
      </c>
      <c r="BP2" s="13" t="s">
        <v>4</v>
      </c>
      <c r="BQ2" s="13" t="s">
        <v>5</v>
      </c>
      <c r="BR2" s="13"/>
      <c r="BS2" s="13" t="s">
        <v>2</v>
      </c>
      <c r="BT2" s="13" t="s">
        <v>3</v>
      </c>
      <c r="BU2" s="13" t="s">
        <v>4</v>
      </c>
      <c r="BV2" s="13" t="s">
        <v>5</v>
      </c>
      <c r="BW2" s="13"/>
      <c r="BX2" s="13" t="s">
        <v>2</v>
      </c>
      <c r="BY2" s="13" t="s">
        <v>3</v>
      </c>
      <c r="BZ2" s="13" t="s">
        <v>4</v>
      </c>
      <c r="CA2" s="13" t="s">
        <v>5</v>
      </c>
      <c r="CB2" s="13"/>
      <c r="CC2" s="13" t="s">
        <v>2</v>
      </c>
      <c r="CD2" s="13" t="s">
        <v>3</v>
      </c>
      <c r="CE2" s="13" t="s">
        <v>4</v>
      </c>
      <c r="CF2" s="13" t="s">
        <v>5</v>
      </c>
      <c r="CG2" s="13"/>
      <c r="CH2" s="13" t="s">
        <v>2</v>
      </c>
      <c r="CI2" s="13" t="s">
        <v>3</v>
      </c>
      <c r="CJ2" s="13" t="s">
        <v>4</v>
      </c>
      <c r="CK2" s="13" t="s">
        <v>5</v>
      </c>
      <c r="CL2" s="13"/>
      <c r="CM2" s="13" t="s">
        <v>2</v>
      </c>
      <c r="CN2" s="13" t="s">
        <v>3</v>
      </c>
      <c r="CO2" s="13" t="s">
        <v>4</v>
      </c>
      <c r="CP2" s="13" t="s">
        <v>5</v>
      </c>
      <c r="CQ2" s="13"/>
      <c r="CR2" s="13" t="s">
        <v>2</v>
      </c>
      <c r="CS2" s="13" t="s">
        <v>3</v>
      </c>
      <c r="CT2" s="13" t="s">
        <v>4</v>
      </c>
      <c r="CU2" s="13" t="s">
        <v>5</v>
      </c>
      <c r="CV2" s="13"/>
      <c r="CW2" s="13" t="s">
        <v>2</v>
      </c>
      <c r="CX2" s="13" t="s">
        <v>3</v>
      </c>
      <c r="CY2" s="13" t="s">
        <v>4</v>
      </c>
      <c r="CZ2" s="13" t="s">
        <v>5</v>
      </c>
      <c r="DA2" s="13"/>
      <c r="DB2" s="13" t="s">
        <v>2</v>
      </c>
      <c r="DC2" s="13" t="s">
        <v>3</v>
      </c>
      <c r="DD2" s="13" t="s">
        <v>4</v>
      </c>
      <c r="DE2" s="13" t="s">
        <v>5</v>
      </c>
      <c r="DF2" s="13"/>
      <c r="DG2" s="13" t="s">
        <v>2</v>
      </c>
      <c r="DH2" s="13" t="s">
        <v>3</v>
      </c>
      <c r="DI2" s="13" t="s">
        <v>4</v>
      </c>
      <c r="DJ2" s="13" t="s">
        <v>5</v>
      </c>
      <c r="DK2" s="13"/>
      <c r="DL2" s="13" t="s">
        <v>2</v>
      </c>
      <c r="DM2" s="13" t="s">
        <v>3</v>
      </c>
      <c r="DN2" s="13" t="s">
        <v>4</v>
      </c>
      <c r="DO2" s="13" t="s">
        <v>5</v>
      </c>
      <c r="DP2" s="13"/>
      <c r="DQ2" s="13" t="s">
        <v>2</v>
      </c>
      <c r="DR2" s="13" t="s">
        <v>3</v>
      </c>
      <c r="DS2" s="13" t="s">
        <v>4</v>
      </c>
      <c r="DT2" s="13" t="s">
        <v>5</v>
      </c>
      <c r="DU2" s="13"/>
      <c r="DV2" s="13" t="s">
        <v>2</v>
      </c>
      <c r="DW2" s="13" t="s">
        <v>3</v>
      </c>
      <c r="DX2" s="13" t="s">
        <v>4</v>
      </c>
      <c r="DY2" s="13" t="s">
        <v>5</v>
      </c>
      <c r="DZ2" s="13"/>
      <c r="EA2" s="14" t="s">
        <v>2</v>
      </c>
      <c r="EB2" s="14" t="s">
        <v>2</v>
      </c>
      <c r="EC2" s="14" t="s">
        <v>2</v>
      </c>
      <c r="ED2" s="14" t="s">
        <v>2</v>
      </c>
      <c r="EE2" s="13"/>
      <c r="EF2" s="14" t="s">
        <v>3</v>
      </c>
      <c r="EG2" s="14" t="s">
        <v>3</v>
      </c>
      <c r="EH2" s="14" t="s">
        <v>3</v>
      </c>
      <c r="EI2" s="14" t="s">
        <v>3</v>
      </c>
      <c r="EJ2" s="13"/>
      <c r="EK2" s="14" t="s">
        <v>4</v>
      </c>
      <c r="EL2" s="14" t="s">
        <v>4</v>
      </c>
      <c r="EM2" s="14" t="s">
        <v>4</v>
      </c>
      <c r="EN2" s="14" t="s">
        <v>4</v>
      </c>
      <c r="EO2" s="13"/>
      <c r="EP2" s="14" t="s">
        <v>5</v>
      </c>
      <c r="EQ2" s="14" t="s">
        <v>5</v>
      </c>
      <c r="ER2" s="14" t="s">
        <v>5</v>
      </c>
      <c r="ES2" s="14" t="s">
        <v>5</v>
      </c>
      <c r="ET2" s="13"/>
      <c r="EU2" s="13" t="s">
        <v>2</v>
      </c>
      <c r="EV2" s="13" t="s">
        <v>3</v>
      </c>
      <c r="EW2" s="13" t="s">
        <v>4</v>
      </c>
      <c r="EX2" s="13" t="s">
        <v>5</v>
      </c>
      <c r="EY2" s="13"/>
      <c r="EZ2" s="13" t="s">
        <v>2</v>
      </c>
      <c r="FA2" s="13" t="s">
        <v>3</v>
      </c>
      <c r="FB2" s="13" t="s">
        <v>4</v>
      </c>
      <c r="FC2" s="13" t="s">
        <v>5</v>
      </c>
      <c r="FD2" s="13"/>
      <c r="FE2" s="13" t="s">
        <v>2</v>
      </c>
      <c r="FF2" s="13" t="s">
        <v>3</v>
      </c>
      <c r="FG2" s="13" t="s">
        <v>4</v>
      </c>
      <c r="FH2" s="13" t="s">
        <v>5</v>
      </c>
      <c r="FI2" s="13"/>
      <c r="FJ2" s="13" t="s">
        <v>2</v>
      </c>
      <c r="FK2" s="13" t="s">
        <v>3</v>
      </c>
      <c r="FL2" s="13" t="s">
        <v>4</v>
      </c>
      <c r="FM2" s="13" t="s">
        <v>5</v>
      </c>
    </row>
    <row r="3" spans="2:169" ht="16.5" customHeight="1">
      <c r="B3" s="15" t="s">
        <v>6</v>
      </c>
      <c r="C3" s="16" t="s">
        <v>7</v>
      </c>
      <c r="D3" s="17" t="s">
        <v>8</v>
      </c>
      <c r="E3" s="18" t="s">
        <v>9</v>
      </c>
      <c r="F3" s="19" t="s">
        <v>10</v>
      </c>
      <c r="G3" s="19" t="s">
        <v>10</v>
      </c>
      <c r="H3" s="19" t="s">
        <v>10</v>
      </c>
      <c r="I3" s="20" t="s">
        <v>10</v>
      </c>
      <c r="J3" s="21"/>
      <c r="K3" s="22" t="s">
        <v>11</v>
      </c>
      <c r="L3" s="22" t="s">
        <v>11</v>
      </c>
      <c r="M3" s="22" t="s">
        <v>11</v>
      </c>
      <c r="N3" s="23" t="s">
        <v>11</v>
      </c>
      <c r="O3" s="21"/>
      <c r="P3" s="24" t="s">
        <v>12</v>
      </c>
      <c r="Q3" s="24" t="s">
        <v>12</v>
      </c>
      <c r="R3" s="24" t="s">
        <v>12</v>
      </c>
      <c r="S3" s="25" t="s">
        <v>12</v>
      </c>
      <c r="T3" s="21"/>
      <c r="U3" s="24" t="s">
        <v>13</v>
      </c>
      <c r="V3" s="24" t="s">
        <v>13</v>
      </c>
      <c r="W3" s="24" t="s">
        <v>13</v>
      </c>
      <c r="X3" s="25" t="s">
        <v>13</v>
      </c>
      <c r="Y3" s="21"/>
      <c r="Z3" s="24" t="s">
        <v>14</v>
      </c>
      <c r="AA3" s="24" t="s">
        <v>14</v>
      </c>
      <c r="AB3" s="24" t="s">
        <v>14</v>
      </c>
      <c r="AC3" s="25" t="s">
        <v>14</v>
      </c>
      <c r="AD3" s="21"/>
      <c r="AE3" s="24" t="s">
        <v>15</v>
      </c>
      <c r="AF3" s="24" t="s">
        <v>15</v>
      </c>
      <c r="AG3" s="24" t="s">
        <v>15</v>
      </c>
      <c r="AH3" s="25" t="s">
        <v>15</v>
      </c>
      <c r="AI3" s="21"/>
      <c r="AJ3" s="19" t="s">
        <v>16</v>
      </c>
      <c r="AK3" s="19" t="s">
        <v>16</v>
      </c>
      <c r="AL3" s="19" t="s">
        <v>16</v>
      </c>
      <c r="AM3" s="20" t="s">
        <v>16</v>
      </c>
      <c r="AN3" s="21"/>
      <c r="AO3" s="19" t="s">
        <v>17</v>
      </c>
      <c r="AP3" s="19" t="s">
        <v>17</v>
      </c>
      <c r="AQ3" s="19" t="s">
        <v>17</v>
      </c>
      <c r="AR3" s="20" t="s">
        <v>17</v>
      </c>
      <c r="AS3" s="21"/>
      <c r="AT3" s="19" t="s">
        <v>18</v>
      </c>
      <c r="AU3" s="19" t="s">
        <v>18</v>
      </c>
      <c r="AV3" s="19" t="s">
        <v>18</v>
      </c>
      <c r="AW3" s="20" t="s">
        <v>18</v>
      </c>
      <c r="AX3" s="21"/>
      <c r="AY3" s="24" t="s">
        <v>19</v>
      </c>
      <c r="AZ3" s="24" t="s">
        <v>19</v>
      </c>
      <c r="BA3" s="24" t="s">
        <v>19</v>
      </c>
      <c r="BB3" s="25" t="s">
        <v>19</v>
      </c>
      <c r="BC3" s="21"/>
      <c r="BD3" s="24" t="s">
        <v>20</v>
      </c>
      <c r="BE3" s="24" t="s">
        <v>20</v>
      </c>
      <c r="BF3" s="24" t="s">
        <v>20</v>
      </c>
      <c r="BG3" s="25" t="s">
        <v>20</v>
      </c>
      <c r="BH3" s="21"/>
      <c r="BI3" s="24" t="s">
        <v>21</v>
      </c>
      <c r="BJ3" s="24" t="s">
        <v>21</v>
      </c>
      <c r="BK3" s="24" t="s">
        <v>21</v>
      </c>
      <c r="BL3" s="25" t="s">
        <v>21</v>
      </c>
      <c r="BM3" s="21"/>
      <c r="BN3" s="24" t="s">
        <v>22</v>
      </c>
      <c r="BO3" s="24" t="s">
        <v>22</v>
      </c>
      <c r="BP3" s="24" t="s">
        <v>22</v>
      </c>
      <c r="BQ3" s="25" t="s">
        <v>22</v>
      </c>
      <c r="BR3" s="21"/>
      <c r="BS3" s="24" t="s">
        <v>23</v>
      </c>
      <c r="BT3" s="24" t="s">
        <v>23</v>
      </c>
      <c r="BU3" s="24" t="s">
        <v>23</v>
      </c>
      <c r="BV3" s="25" t="s">
        <v>23</v>
      </c>
      <c r="BW3" s="21"/>
      <c r="BX3" s="24" t="s">
        <v>24</v>
      </c>
      <c r="BY3" s="24" t="s">
        <v>24</v>
      </c>
      <c r="BZ3" s="24" t="s">
        <v>24</v>
      </c>
      <c r="CA3" s="25" t="s">
        <v>24</v>
      </c>
      <c r="CB3" s="21"/>
      <c r="CC3" s="24" t="s">
        <v>25</v>
      </c>
      <c r="CD3" s="24" t="s">
        <v>25</v>
      </c>
      <c r="CE3" s="24" t="s">
        <v>25</v>
      </c>
      <c r="CF3" s="25" t="s">
        <v>25</v>
      </c>
      <c r="CG3" s="21"/>
      <c r="CH3" s="24" t="s">
        <v>26</v>
      </c>
      <c r="CI3" s="24" t="s">
        <v>26</v>
      </c>
      <c r="CJ3" s="24" t="s">
        <v>26</v>
      </c>
      <c r="CK3" s="25" t="s">
        <v>26</v>
      </c>
      <c r="CL3" s="21"/>
      <c r="CM3" s="24" t="s">
        <v>27</v>
      </c>
      <c r="CN3" s="24" t="s">
        <v>27</v>
      </c>
      <c r="CO3" s="24" t="s">
        <v>27</v>
      </c>
      <c r="CP3" s="25" t="s">
        <v>27</v>
      </c>
      <c r="CQ3" s="21"/>
      <c r="CR3" s="24" t="s">
        <v>28</v>
      </c>
      <c r="CS3" s="24" t="s">
        <v>28</v>
      </c>
      <c r="CT3" s="24" t="s">
        <v>28</v>
      </c>
      <c r="CU3" s="25" t="s">
        <v>28</v>
      </c>
      <c r="CV3" s="21"/>
      <c r="CW3" s="24" t="s">
        <v>29</v>
      </c>
      <c r="CX3" s="24" t="s">
        <v>29</v>
      </c>
      <c r="CY3" s="24" t="s">
        <v>29</v>
      </c>
      <c r="CZ3" s="25" t="s">
        <v>29</v>
      </c>
      <c r="DA3" s="21"/>
      <c r="DB3" s="24" t="s">
        <v>30</v>
      </c>
      <c r="DC3" s="24" t="s">
        <v>30</v>
      </c>
      <c r="DD3" s="24" t="s">
        <v>30</v>
      </c>
      <c r="DE3" s="25" t="s">
        <v>30</v>
      </c>
      <c r="DF3" s="21"/>
      <c r="DG3" s="24" t="s">
        <v>31</v>
      </c>
      <c r="DH3" s="24" t="s">
        <v>31</v>
      </c>
      <c r="DI3" s="24" t="s">
        <v>31</v>
      </c>
      <c r="DJ3" s="25" t="s">
        <v>31</v>
      </c>
      <c r="DK3" s="21"/>
      <c r="DL3" s="24" t="s">
        <v>32</v>
      </c>
      <c r="DM3" s="24" t="s">
        <v>32</v>
      </c>
      <c r="DN3" s="24" t="s">
        <v>32</v>
      </c>
      <c r="DO3" s="25" t="s">
        <v>32</v>
      </c>
      <c r="DP3" s="21"/>
      <c r="DQ3" s="26" t="s">
        <v>33</v>
      </c>
      <c r="DR3" s="26" t="s">
        <v>33</v>
      </c>
      <c r="DS3" s="26" t="s">
        <v>33</v>
      </c>
      <c r="DT3" s="27" t="s">
        <v>33</v>
      </c>
      <c r="DU3" s="28"/>
      <c r="DV3" s="24" t="s">
        <v>34</v>
      </c>
      <c r="DW3" s="24" t="s">
        <v>34</v>
      </c>
      <c r="DX3" s="26" t="s">
        <v>34</v>
      </c>
      <c r="DY3" s="27" t="s">
        <v>34</v>
      </c>
      <c r="DZ3" s="28"/>
      <c r="EA3" s="29" t="s">
        <v>35</v>
      </c>
      <c r="EB3" s="29" t="s">
        <v>36</v>
      </c>
      <c r="EC3" s="29" t="s">
        <v>37</v>
      </c>
      <c r="ED3" s="30" t="s">
        <v>38</v>
      </c>
      <c r="EE3" s="28"/>
      <c r="EF3" s="29" t="s">
        <v>35</v>
      </c>
      <c r="EG3" s="29" t="s">
        <v>36</v>
      </c>
      <c r="EH3" s="29" t="s">
        <v>37</v>
      </c>
      <c r="EI3" s="30" t="s">
        <v>38</v>
      </c>
      <c r="EJ3" s="28"/>
      <c r="EK3" s="29" t="s">
        <v>35</v>
      </c>
      <c r="EL3" s="29" t="s">
        <v>36</v>
      </c>
      <c r="EM3" s="29" t="s">
        <v>37</v>
      </c>
      <c r="EN3" s="30" t="s">
        <v>38</v>
      </c>
      <c r="EO3" s="28"/>
      <c r="EP3" s="29" t="s">
        <v>35</v>
      </c>
      <c r="EQ3" s="29" t="s">
        <v>36</v>
      </c>
      <c r="ER3" s="29" t="s">
        <v>37</v>
      </c>
      <c r="ES3" s="30" t="s">
        <v>38</v>
      </c>
      <c r="ET3" s="31"/>
      <c r="EU3" s="32" t="s">
        <v>39</v>
      </c>
      <c r="EV3" s="32" t="s">
        <v>39</v>
      </c>
      <c r="EW3" s="33" t="s">
        <v>39</v>
      </c>
      <c r="EX3" s="34" t="s">
        <v>39</v>
      </c>
      <c r="EY3" s="35"/>
      <c r="EZ3" s="33" t="s">
        <v>40</v>
      </c>
      <c r="FA3" s="33" t="s">
        <v>40</v>
      </c>
      <c r="FB3" s="33" t="s">
        <v>40</v>
      </c>
      <c r="FC3" s="34" t="s">
        <v>40</v>
      </c>
      <c r="FD3" s="31"/>
      <c r="FE3" s="32" t="s">
        <v>41</v>
      </c>
      <c r="FF3" s="33" t="s">
        <v>41</v>
      </c>
      <c r="FG3" s="32" t="s">
        <v>41</v>
      </c>
      <c r="FH3" s="34" t="s">
        <v>41</v>
      </c>
      <c r="FI3" s="31"/>
      <c r="FJ3" s="34" t="s">
        <v>42</v>
      </c>
      <c r="FK3" s="34" t="s">
        <v>42</v>
      </c>
      <c r="FL3" s="34" t="s">
        <v>42</v>
      </c>
      <c r="FM3" s="36" t="s">
        <v>42</v>
      </c>
    </row>
    <row r="4" spans="2:169" ht="16.5" customHeight="1">
      <c r="B4" s="37">
        <v>1</v>
      </c>
      <c r="C4" s="38" t="s">
        <v>43</v>
      </c>
      <c r="D4" s="39">
        <v>36.299999999999997</v>
      </c>
      <c r="E4" s="40">
        <v>38</v>
      </c>
      <c r="F4" s="41">
        <v>7.87</v>
      </c>
      <c r="G4" s="41">
        <v>8.2200000000000006</v>
      </c>
      <c r="H4" s="42">
        <v>7.95</v>
      </c>
      <c r="I4" s="43">
        <v>7.96</v>
      </c>
      <c r="J4" s="44"/>
      <c r="K4" s="42">
        <v>26.93</v>
      </c>
      <c r="L4" s="44">
        <v>3.4738000000000002</v>
      </c>
      <c r="M4" s="44">
        <v>7.2050000000000001</v>
      </c>
      <c r="N4" s="43">
        <v>13.535</v>
      </c>
      <c r="O4" s="44"/>
      <c r="P4" s="41">
        <v>111.13</v>
      </c>
      <c r="Q4" s="45">
        <v>29.38</v>
      </c>
      <c r="R4" s="44">
        <v>11.4</v>
      </c>
      <c r="S4" s="43">
        <v>130.15</v>
      </c>
      <c r="T4" s="44"/>
      <c r="U4" s="45">
        <v>71.5</v>
      </c>
      <c r="V4" s="45">
        <v>20.7</v>
      </c>
      <c r="W4" s="44">
        <v>8.0299999999999994</v>
      </c>
      <c r="X4" s="46">
        <v>76.510000000000005</v>
      </c>
      <c r="Y4" s="44"/>
      <c r="Z4" s="41">
        <v>105.8</v>
      </c>
      <c r="AA4" s="41">
        <v>135.80000000000001</v>
      </c>
      <c r="AB4" s="42">
        <v>104.8</v>
      </c>
      <c r="AC4" s="43">
        <v>108.8</v>
      </c>
      <c r="AD4" s="44"/>
      <c r="AE4" s="45">
        <v>71</v>
      </c>
      <c r="AF4" s="45">
        <v>99.5</v>
      </c>
      <c r="AG4" s="44">
        <v>66.5</v>
      </c>
      <c r="AH4" s="46">
        <v>68.8</v>
      </c>
      <c r="AI4" s="44"/>
      <c r="AJ4" s="41">
        <v>16.23</v>
      </c>
      <c r="AK4" s="45">
        <v>4.3099999999999996</v>
      </c>
      <c r="AL4" s="42">
        <v>11.18</v>
      </c>
      <c r="AM4" s="43">
        <v>15.93</v>
      </c>
      <c r="AN4" s="44"/>
      <c r="AO4" s="41">
        <v>11.761312</v>
      </c>
      <c r="AP4" s="41">
        <v>12.83549</v>
      </c>
      <c r="AQ4" s="42">
        <v>10.840550179999999</v>
      </c>
      <c r="AR4" s="43">
        <v>11.113594000000001</v>
      </c>
      <c r="AS4" s="44"/>
      <c r="AT4" s="45">
        <v>7.6062159999999999</v>
      </c>
      <c r="AU4" s="45">
        <v>4.2124712500000001</v>
      </c>
      <c r="AV4" s="44">
        <v>1.9543755</v>
      </c>
      <c r="AW4" s="46">
        <v>1.9913000000000001</v>
      </c>
      <c r="AX4" s="44"/>
      <c r="AY4" s="45">
        <v>8.4</v>
      </c>
      <c r="AZ4" s="45">
        <v>5.15</v>
      </c>
      <c r="BA4" s="44">
        <v>6.03</v>
      </c>
      <c r="BB4" s="46">
        <v>3.8</v>
      </c>
      <c r="BC4" s="44"/>
      <c r="BD4" s="45">
        <v>23.05</v>
      </c>
      <c r="BE4" s="45">
        <v>28.48</v>
      </c>
      <c r="BF4" s="42">
        <v>118.74</v>
      </c>
      <c r="BG4" s="43">
        <v>149.61000000000001</v>
      </c>
      <c r="BH4" s="44"/>
      <c r="BI4" s="45">
        <v>11.7</v>
      </c>
      <c r="BJ4" s="45">
        <v>9.8000000000000007</v>
      </c>
      <c r="BK4" s="44">
        <v>5.7</v>
      </c>
      <c r="BL4" s="46">
        <v>7.2</v>
      </c>
      <c r="BM4" s="47"/>
      <c r="BN4" s="48">
        <v>0.28999999999999998</v>
      </c>
      <c r="BO4" s="48">
        <v>0.15</v>
      </c>
      <c r="BP4" s="49">
        <v>0.02</v>
      </c>
      <c r="BQ4" s="50">
        <v>0</v>
      </c>
      <c r="BR4" s="49"/>
      <c r="BS4" s="48">
        <v>0.28999999999999998</v>
      </c>
      <c r="BT4" s="48">
        <v>0.21</v>
      </c>
      <c r="BU4" s="49">
        <v>0.02</v>
      </c>
      <c r="BV4" s="50">
        <v>0</v>
      </c>
      <c r="BW4" s="49"/>
      <c r="BX4" s="48">
        <v>0</v>
      </c>
      <c r="BY4" s="48">
        <v>0.06</v>
      </c>
      <c r="BZ4" s="49">
        <v>0</v>
      </c>
      <c r="CA4" s="50">
        <v>0</v>
      </c>
      <c r="CB4" s="49"/>
      <c r="CC4" s="48">
        <v>0.28999999999999998</v>
      </c>
      <c r="CD4" s="48">
        <v>0.15</v>
      </c>
      <c r="CE4" s="49">
        <v>0.02</v>
      </c>
      <c r="CF4" s="50">
        <v>0</v>
      </c>
      <c r="CG4" s="49"/>
      <c r="CH4" s="48">
        <v>0</v>
      </c>
      <c r="CI4" s="48">
        <v>0</v>
      </c>
      <c r="CJ4" s="49">
        <v>0</v>
      </c>
      <c r="CK4" s="50">
        <v>0</v>
      </c>
      <c r="CL4" s="49"/>
      <c r="CM4" s="48">
        <v>0</v>
      </c>
      <c r="CN4" s="48">
        <v>0</v>
      </c>
      <c r="CO4" s="49">
        <v>0</v>
      </c>
      <c r="CP4" s="50">
        <v>0</v>
      </c>
      <c r="CQ4" s="49"/>
      <c r="CR4" s="48">
        <v>0</v>
      </c>
      <c r="CS4" s="48">
        <v>0</v>
      </c>
      <c r="CT4" s="49">
        <v>0</v>
      </c>
      <c r="CU4" s="50">
        <v>0</v>
      </c>
      <c r="CV4" s="49"/>
      <c r="CW4" s="48">
        <v>0</v>
      </c>
      <c r="CX4" s="48">
        <v>0</v>
      </c>
      <c r="CY4" s="49">
        <v>0</v>
      </c>
      <c r="CZ4" s="50">
        <v>0</v>
      </c>
      <c r="DA4" s="49"/>
      <c r="DB4" s="48">
        <v>0</v>
      </c>
      <c r="DC4" s="48">
        <v>0</v>
      </c>
      <c r="DD4" s="49">
        <v>0</v>
      </c>
      <c r="DE4" s="50">
        <v>0</v>
      </c>
      <c r="DF4" s="49"/>
      <c r="DG4" s="48">
        <v>0</v>
      </c>
      <c r="DH4" s="48">
        <v>0</v>
      </c>
      <c r="DI4" s="49">
        <v>0</v>
      </c>
      <c r="DJ4" s="50">
        <v>0</v>
      </c>
      <c r="DK4" s="49"/>
      <c r="DL4" s="48">
        <v>0</v>
      </c>
      <c r="DM4" s="48">
        <v>0</v>
      </c>
      <c r="DN4" s="49">
        <v>0</v>
      </c>
      <c r="DO4" s="50">
        <v>0</v>
      </c>
      <c r="DP4" s="47"/>
      <c r="DQ4" s="51" t="s">
        <v>44</v>
      </c>
      <c r="DR4" s="52" t="s">
        <v>45</v>
      </c>
      <c r="DS4" s="52" t="s">
        <v>45</v>
      </c>
      <c r="DT4" s="53" t="s">
        <v>46</v>
      </c>
      <c r="DU4" s="54"/>
      <c r="DV4" s="51" t="s">
        <v>44</v>
      </c>
      <c r="DW4" s="55" t="s">
        <v>47</v>
      </c>
      <c r="DX4" s="47" t="s">
        <v>47</v>
      </c>
      <c r="DY4" s="56" t="s">
        <v>44</v>
      </c>
      <c r="DZ4" s="47"/>
      <c r="EA4" s="57">
        <v>34.700000000000003</v>
      </c>
      <c r="EB4" s="57">
        <v>60.3</v>
      </c>
      <c r="EC4" s="57">
        <v>0.05</v>
      </c>
      <c r="ED4" s="58">
        <v>0.2</v>
      </c>
      <c r="EE4" s="57"/>
      <c r="EF4" s="57">
        <v>39.9</v>
      </c>
      <c r="EG4" s="57">
        <v>60.4</v>
      </c>
      <c r="EH4" s="57">
        <v>4.4999999999999998E-2</v>
      </c>
      <c r="EI4" s="58">
        <v>0.2</v>
      </c>
      <c r="EJ4" s="57"/>
      <c r="EK4" s="57">
        <v>42.7</v>
      </c>
      <c r="EL4" s="57">
        <v>62.2</v>
      </c>
      <c r="EM4" s="57">
        <v>4.2000000000000003E-2</v>
      </c>
      <c r="EN4" s="58">
        <v>0</v>
      </c>
      <c r="EO4" s="57"/>
      <c r="EP4" s="57">
        <v>37.6</v>
      </c>
      <c r="EQ4" s="57">
        <v>66.099999999999994</v>
      </c>
      <c r="ER4" s="57">
        <v>6.0000000000000001E-3</v>
      </c>
      <c r="ES4" s="58">
        <v>0.1</v>
      </c>
      <c r="ET4" s="47"/>
      <c r="EU4" s="51" t="s">
        <v>44</v>
      </c>
      <c r="EV4" s="51" t="s">
        <v>44</v>
      </c>
      <c r="EW4" s="55" t="s">
        <v>47</v>
      </c>
      <c r="EX4" s="59" t="s">
        <v>44</v>
      </c>
      <c r="EY4" s="54"/>
      <c r="EZ4" s="51" t="s">
        <v>44</v>
      </c>
      <c r="FA4" s="51" t="s">
        <v>44</v>
      </c>
      <c r="FB4" s="55" t="s">
        <v>47</v>
      </c>
      <c r="FC4" s="59" t="s">
        <v>44</v>
      </c>
      <c r="FD4" s="55"/>
      <c r="FE4" s="51" t="s">
        <v>44</v>
      </c>
      <c r="FF4" s="51" t="s">
        <v>44</v>
      </c>
      <c r="FG4" s="55" t="s">
        <v>47</v>
      </c>
      <c r="FH4" s="59" t="s">
        <v>44</v>
      </c>
      <c r="FI4" s="55"/>
      <c r="FJ4" s="52" t="s">
        <v>45</v>
      </c>
      <c r="FK4" s="52" t="s">
        <v>45</v>
      </c>
      <c r="FL4" s="52" t="s">
        <v>45</v>
      </c>
      <c r="FM4" s="60" t="s">
        <v>45</v>
      </c>
    </row>
    <row r="5" spans="2:169" ht="16.5" customHeight="1">
      <c r="B5" s="37">
        <v>2</v>
      </c>
      <c r="C5" s="38" t="s">
        <v>48</v>
      </c>
      <c r="D5" s="39">
        <v>28</v>
      </c>
      <c r="E5" s="40" t="s">
        <v>49</v>
      </c>
      <c r="F5" s="41">
        <v>7.56</v>
      </c>
      <c r="G5" s="41">
        <v>6.69</v>
      </c>
      <c r="H5" s="42">
        <v>7.63</v>
      </c>
      <c r="I5" s="43">
        <v>7.46</v>
      </c>
      <c r="J5" s="44"/>
      <c r="K5" s="44">
        <v>6.1840000000000002</v>
      </c>
      <c r="L5" s="44">
        <v>1.1782999999999999</v>
      </c>
      <c r="M5" s="44">
        <v>2.8513000000000002</v>
      </c>
      <c r="N5" s="46">
        <v>4.4429999999999996</v>
      </c>
      <c r="O5" s="44"/>
      <c r="P5" s="45">
        <v>30.65</v>
      </c>
      <c r="Q5" s="45">
        <v>32.130000000000003</v>
      </c>
      <c r="R5" s="44">
        <v>29.03</v>
      </c>
      <c r="S5" s="46">
        <v>25.78</v>
      </c>
      <c r="T5" s="44"/>
      <c r="U5" s="45">
        <v>18.670000000000002</v>
      </c>
      <c r="V5" s="45">
        <v>20.05</v>
      </c>
      <c r="W5" s="44">
        <v>17.37</v>
      </c>
      <c r="X5" s="46">
        <v>15.88</v>
      </c>
      <c r="Y5" s="44"/>
      <c r="Z5" s="45">
        <v>27.9</v>
      </c>
      <c r="AA5" s="45">
        <v>29.5</v>
      </c>
      <c r="AB5" s="44">
        <v>25</v>
      </c>
      <c r="AC5" s="46">
        <v>31</v>
      </c>
      <c r="AD5" s="44"/>
      <c r="AE5" s="45">
        <v>19.3</v>
      </c>
      <c r="AF5" s="45">
        <v>19.7</v>
      </c>
      <c r="AG5" s="44">
        <v>17.100000000000001</v>
      </c>
      <c r="AH5" s="46">
        <v>25.1</v>
      </c>
      <c r="AI5" s="44"/>
      <c r="AJ5" s="45">
        <v>3.41</v>
      </c>
      <c r="AK5" s="45">
        <v>5.76</v>
      </c>
      <c r="AL5" s="44">
        <v>5.6</v>
      </c>
      <c r="AM5" s="43">
        <v>11.2</v>
      </c>
      <c r="AN5" s="44"/>
      <c r="AO5" s="45">
        <v>3.1058724999999998</v>
      </c>
      <c r="AP5" s="45">
        <v>3.2105139999999999</v>
      </c>
      <c r="AQ5" s="44">
        <v>3.21647879</v>
      </c>
      <c r="AR5" s="46">
        <v>2.6238999999999999</v>
      </c>
      <c r="AS5" s="44"/>
      <c r="AT5" s="45">
        <v>1.4282788</v>
      </c>
      <c r="AU5" s="45">
        <v>1.1261428</v>
      </c>
      <c r="AV5" s="44">
        <v>0.64124639999999999</v>
      </c>
      <c r="AW5" s="46">
        <v>0.59835000000000005</v>
      </c>
      <c r="AX5" s="44"/>
      <c r="AY5" s="45">
        <v>1.5</v>
      </c>
      <c r="AZ5" s="45">
        <v>2.67</v>
      </c>
      <c r="BA5" s="44">
        <v>2.0299999999999998</v>
      </c>
      <c r="BB5" s="46">
        <v>1.7</v>
      </c>
      <c r="BC5" s="44"/>
      <c r="BD5" s="45">
        <v>30.13</v>
      </c>
      <c r="BE5" s="45">
        <v>30.95</v>
      </c>
      <c r="BF5" s="44">
        <v>31.78</v>
      </c>
      <c r="BG5" s="46">
        <v>24.13</v>
      </c>
      <c r="BH5" s="44"/>
      <c r="BI5" s="45">
        <v>1.2</v>
      </c>
      <c r="BJ5" s="45">
        <v>0.6</v>
      </c>
      <c r="BK5" s="44">
        <v>1.1000000000000001</v>
      </c>
      <c r="BL5" s="46">
        <v>0.8</v>
      </c>
      <c r="BM5" s="47"/>
      <c r="BN5" s="48">
        <v>0.08</v>
      </c>
      <c r="BO5" s="48">
        <v>0.16</v>
      </c>
      <c r="BP5" s="49">
        <v>0.01</v>
      </c>
      <c r="BQ5" s="50">
        <v>0</v>
      </c>
      <c r="BR5" s="49"/>
      <c r="BS5" s="48">
        <v>0.08</v>
      </c>
      <c r="BT5" s="48">
        <v>0.23</v>
      </c>
      <c r="BU5" s="49">
        <v>0.01</v>
      </c>
      <c r="BV5" s="50">
        <v>0</v>
      </c>
      <c r="BW5" s="49"/>
      <c r="BX5" s="48">
        <v>0</v>
      </c>
      <c r="BY5" s="48">
        <v>0.08</v>
      </c>
      <c r="BZ5" s="49">
        <v>0</v>
      </c>
      <c r="CA5" s="50">
        <v>0</v>
      </c>
      <c r="CB5" s="49"/>
      <c r="CC5" s="48">
        <v>0.08</v>
      </c>
      <c r="CD5" s="48">
        <v>0.13</v>
      </c>
      <c r="CE5" s="49">
        <v>0.01</v>
      </c>
      <c r="CF5" s="50">
        <v>0</v>
      </c>
      <c r="CG5" s="49"/>
      <c r="CH5" s="48">
        <v>0</v>
      </c>
      <c r="CI5" s="48">
        <v>0.02</v>
      </c>
      <c r="CJ5" s="49">
        <v>0</v>
      </c>
      <c r="CK5" s="50">
        <v>0</v>
      </c>
      <c r="CL5" s="49"/>
      <c r="CM5" s="48">
        <v>0</v>
      </c>
      <c r="CN5" s="48">
        <v>0</v>
      </c>
      <c r="CO5" s="49">
        <v>0</v>
      </c>
      <c r="CP5" s="50">
        <v>0</v>
      </c>
      <c r="CQ5" s="49"/>
      <c r="CR5" s="48">
        <v>0</v>
      </c>
      <c r="CS5" s="48">
        <v>0</v>
      </c>
      <c r="CT5" s="49">
        <v>0</v>
      </c>
      <c r="CU5" s="50">
        <v>0</v>
      </c>
      <c r="CV5" s="49"/>
      <c r="CW5" s="48">
        <v>0</v>
      </c>
      <c r="CX5" s="48">
        <v>0</v>
      </c>
      <c r="CY5" s="49">
        <v>0</v>
      </c>
      <c r="CZ5" s="50">
        <v>0</v>
      </c>
      <c r="DA5" s="49"/>
      <c r="DB5" s="48">
        <v>0</v>
      </c>
      <c r="DC5" s="48">
        <v>0</v>
      </c>
      <c r="DD5" s="49">
        <v>0</v>
      </c>
      <c r="DE5" s="50">
        <v>0</v>
      </c>
      <c r="DF5" s="49"/>
      <c r="DG5" s="48">
        <v>0</v>
      </c>
      <c r="DH5" s="48">
        <v>0</v>
      </c>
      <c r="DI5" s="49">
        <v>0</v>
      </c>
      <c r="DJ5" s="50">
        <v>0</v>
      </c>
      <c r="DK5" s="49"/>
      <c r="DL5" s="48">
        <v>0</v>
      </c>
      <c r="DM5" s="48">
        <v>0</v>
      </c>
      <c r="DN5" s="49">
        <v>0</v>
      </c>
      <c r="DO5" s="50">
        <v>0</v>
      </c>
      <c r="DP5" s="47"/>
      <c r="DQ5" s="51" t="s">
        <v>44</v>
      </c>
      <c r="DR5" s="52" t="s">
        <v>45</v>
      </c>
      <c r="DS5" s="52" t="s">
        <v>45</v>
      </c>
      <c r="DT5" s="53" t="s">
        <v>46</v>
      </c>
      <c r="DU5" s="54"/>
      <c r="DV5" s="51" t="s">
        <v>44</v>
      </c>
      <c r="DW5" s="55" t="s">
        <v>47</v>
      </c>
      <c r="DX5" s="47" t="s">
        <v>47</v>
      </c>
      <c r="DY5" s="56" t="s">
        <v>44</v>
      </c>
      <c r="DZ5" s="47"/>
      <c r="EA5" s="57">
        <v>28.6</v>
      </c>
      <c r="EB5" s="57">
        <v>58.2</v>
      </c>
      <c r="EC5" s="57">
        <v>3.0000000000000001E-3</v>
      </c>
      <c r="ED5" s="58">
        <v>1.7</v>
      </c>
      <c r="EE5" s="57"/>
      <c r="EF5" s="57">
        <v>46.3</v>
      </c>
      <c r="EG5" s="57">
        <v>51.6</v>
      </c>
      <c r="EH5" s="57">
        <v>2.5329999999999999</v>
      </c>
      <c r="EI5" s="58">
        <v>0.5</v>
      </c>
      <c r="EJ5" s="57"/>
      <c r="EK5" s="57">
        <v>42.9</v>
      </c>
      <c r="EL5" s="57">
        <v>58.6</v>
      </c>
      <c r="EM5" s="57">
        <v>1.6870000000000001</v>
      </c>
      <c r="EN5" s="58">
        <v>0</v>
      </c>
      <c r="EO5" s="57"/>
      <c r="EP5" s="57">
        <v>44.8</v>
      </c>
      <c r="EQ5" s="57">
        <v>56.1</v>
      </c>
      <c r="ER5" s="57">
        <v>0.91700000000000004</v>
      </c>
      <c r="ES5" s="58">
        <v>0.1</v>
      </c>
      <c r="ET5" s="47"/>
      <c r="EU5" s="51" t="s">
        <v>44</v>
      </c>
      <c r="EV5" s="51" t="s">
        <v>44</v>
      </c>
      <c r="EW5" s="55" t="s">
        <v>47</v>
      </c>
      <c r="EX5" s="59" t="s">
        <v>44</v>
      </c>
      <c r="EY5" s="54"/>
      <c r="EZ5" s="51" t="s">
        <v>44</v>
      </c>
      <c r="FA5" s="51" t="s">
        <v>44</v>
      </c>
      <c r="FB5" s="55" t="s">
        <v>47</v>
      </c>
      <c r="FC5" s="59" t="s">
        <v>44</v>
      </c>
      <c r="FD5" s="55"/>
      <c r="FE5" s="51" t="s">
        <v>44</v>
      </c>
      <c r="FF5" s="51" t="s">
        <v>44</v>
      </c>
      <c r="FG5" s="55" t="s">
        <v>47</v>
      </c>
      <c r="FH5" s="59" t="s">
        <v>44</v>
      </c>
      <c r="FI5" s="55"/>
      <c r="FJ5" s="52" t="s">
        <v>45</v>
      </c>
      <c r="FK5" s="52" t="s">
        <v>45</v>
      </c>
      <c r="FL5" s="52" t="s">
        <v>45</v>
      </c>
      <c r="FM5" s="60" t="s">
        <v>45</v>
      </c>
    </row>
    <row r="6" spans="2:169" ht="16.5" customHeight="1">
      <c r="B6" s="37">
        <v>3</v>
      </c>
      <c r="C6" s="61" t="s">
        <v>50</v>
      </c>
      <c r="D6" s="39">
        <v>25</v>
      </c>
      <c r="E6" s="40">
        <v>35</v>
      </c>
      <c r="F6" s="41">
        <v>7.23</v>
      </c>
      <c r="G6" s="41">
        <v>7.33</v>
      </c>
      <c r="H6" s="42">
        <v>7.51</v>
      </c>
      <c r="I6" s="43">
        <v>7.32</v>
      </c>
      <c r="J6" s="44"/>
      <c r="K6" s="44">
        <v>4.34</v>
      </c>
      <c r="L6" s="44">
        <v>4.5999999999999996</v>
      </c>
      <c r="M6" s="44">
        <v>4.8632999999999997</v>
      </c>
      <c r="N6" s="46">
        <v>4.4775</v>
      </c>
      <c r="O6" s="44"/>
      <c r="P6" s="45">
        <v>29.57</v>
      </c>
      <c r="Q6" s="45">
        <v>30.9</v>
      </c>
      <c r="R6" s="44">
        <v>26.68</v>
      </c>
      <c r="S6" s="46">
        <v>31.78</v>
      </c>
      <c r="T6" s="44"/>
      <c r="U6" s="45">
        <v>20.87</v>
      </c>
      <c r="V6" s="45">
        <v>21.22</v>
      </c>
      <c r="W6" s="44">
        <v>18.649999999999999</v>
      </c>
      <c r="X6" s="46">
        <v>22.35</v>
      </c>
      <c r="Y6" s="44"/>
      <c r="Z6" s="45">
        <v>29.2</v>
      </c>
      <c r="AA6" s="45">
        <v>25.8</v>
      </c>
      <c r="AB6" s="44">
        <v>28.4</v>
      </c>
      <c r="AC6" s="46">
        <v>32.5</v>
      </c>
      <c r="AD6" s="44"/>
      <c r="AE6" s="45">
        <v>21.4</v>
      </c>
      <c r="AF6" s="45">
        <v>18.7</v>
      </c>
      <c r="AG6" s="44">
        <v>20</v>
      </c>
      <c r="AH6" s="46">
        <v>23.7</v>
      </c>
      <c r="AI6" s="44"/>
      <c r="AJ6" s="45">
        <v>6.65</v>
      </c>
      <c r="AK6" s="45">
        <v>5.1100000000000003</v>
      </c>
      <c r="AL6" s="44">
        <v>8.3699999999999992</v>
      </c>
      <c r="AM6" s="46">
        <v>6.31</v>
      </c>
      <c r="AN6" s="44"/>
      <c r="AO6" s="45">
        <v>2.9262809999999999</v>
      </c>
      <c r="AP6" s="45">
        <v>3.465055</v>
      </c>
      <c r="AQ6" s="44">
        <v>4.0972165</v>
      </c>
      <c r="AR6" s="46">
        <v>4.7122999999999999</v>
      </c>
      <c r="AS6" s="44"/>
      <c r="AT6" s="45">
        <v>1.0796604000000001</v>
      </c>
      <c r="AU6" s="45">
        <v>1.3247496000000001</v>
      </c>
      <c r="AV6" s="44">
        <v>1.4177146</v>
      </c>
      <c r="AW6" s="46">
        <v>1.72997</v>
      </c>
      <c r="AX6" s="44"/>
      <c r="AY6" s="45">
        <v>2.0499999999999998</v>
      </c>
      <c r="AZ6" s="45">
        <v>2.9</v>
      </c>
      <c r="BA6" s="44">
        <v>3.2</v>
      </c>
      <c r="BB6" s="46">
        <v>3.4</v>
      </c>
      <c r="BC6" s="44"/>
      <c r="BD6" s="45">
        <v>26.3</v>
      </c>
      <c r="BE6" s="45">
        <v>27.46</v>
      </c>
      <c r="BF6" s="44">
        <v>30.38</v>
      </c>
      <c r="BG6" s="46">
        <v>34.36</v>
      </c>
      <c r="BH6" s="44"/>
      <c r="BI6" s="45">
        <v>0.3</v>
      </c>
      <c r="BJ6" s="45">
        <v>0.6</v>
      </c>
      <c r="BK6" s="44">
        <v>0.8</v>
      </c>
      <c r="BL6" s="46">
        <v>0.9</v>
      </c>
      <c r="BM6" s="47"/>
      <c r="BN6" s="48">
        <v>0.01</v>
      </c>
      <c r="BO6" s="48">
        <v>0</v>
      </c>
      <c r="BP6" s="49">
        <v>0.02</v>
      </c>
      <c r="BQ6" s="50">
        <v>0</v>
      </c>
      <c r="BR6" s="49"/>
      <c r="BS6" s="48">
        <v>0.01</v>
      </c>
      <c r="BT6" s="48">
        <v>0</v>
      </c>
      <c r="BU6" s="49">
        <v>0.02</v>
      </c>
      <c r="BV6" s="50">
        <v>0</v>
      </c>
      <c r="BW6" s="49"/>
      <c r="BX6" s="48">
        <v>0</v>
      </c>
      <c r="BY6" s="48">
        <v>0</v>
      </c>
      <c r="BZ6" s="49">
        <v>0</v>
      </c>
      <c r="CA6" s="50">
        <v>0</v>
      </c>
      <c r="CB6" s="49"/>
      <c r="CC6" s="48">
        <v>0.01</v>
      </c>
      <c r="CD6" s="48">
        <v>0</v>
      </c>
      <c r="CE6" s="49">
        <v>0.02</v>
      </c>
      <c r="CF6" s="50">
        <v>0</v>
      </c>
      <c r="CG6" s="49"/>
      <c r="CH6" s="48">
        <v>0</v>
      </c>
      <c r="CI6" s="48">
        <v>0</v>
      </c>
      <c r="CJ6" s="49">
        <v>0</v>
      </c>
      <c r="CK6" s="50">
        <v>0</v>
      </c>
      <c r="CL6" s="49"/>
      <c r="CM6" s="48">
        <v>0</v>
      </c>
      <c r="CN6" s="48">
        <v>0</v>
      </c>
      <c r="CO6" s="49">
        <v>0</v>
      </c>
      <c r="CP6" s="50">
        <v>0</v>
      </c>
      <c r="CQ6" s="49"/>
      <c r="CR6" s="48">
        <v>0</v>
      </c>
      <c r="CS6" s="48">
        <v>0</v>
      </c>
      <c r="CT6" s="49">
        <v>0</v>
      </c>
      <c r="CU6" s="50">
        <v>0</v>
      </c>
      <c r="CV6" s="49"/>
      <c r="CW6" s="48">
        <v>0</v>
      </c>
      <c r="CX6" s="48">
        <v>0</v>
      </c>
      <c r="CY6" s="49">
        <v>0</v>
      </c>
      <c r="CZ6" s="50">
        <v>0</v>
      </c>
      <c r="DA6" s="49"/>
      <c r="DB6" s="48">
        <v>0</v>
      </c>
      <c r="DC6" s="48">
        <v>0</v>
      </c>
      <c r="DD6" s="49">
        <v>0</v>
      </c>
      <c r="DE6" s="50">
        <v>0</v>
      </c>
      <c r="DF6" s="49"/>
      <c r="DG6" s="48">
        <v>0</v>
      </c>
      <c r="DH6" s="48">
        <v>0</v>
      </c>
      <c r="DI6" s="49">
        <v>0</v>
      </c>
      <c r="DJ6" s="50">
        <v>0</v>
      </c>
      <c r="DK6" s="49"/>
      <c r="DL6" s="48">
        <v>0</v>
      </c>
      <c r="DM6" s="48">
        <v>0</v>
      </c>
      <c r="DN6" s="49">
        <v>0</v>
      </c>
      <c r="DO6" s="50">
        <v>0</v>
      </c>
      <c r="DP6" s="47"/>
      <c r="DQ6" s="51" t="s">
        <v>44</v>
      </c>
      <c r="DR6" s="52" t="s">
        <v>45</v>
      </c>
      <c r="DS6" s="52" t="s">
        <v>45</v>
      </c>
      <c r="DT6" s="53" t="s">
        <v>46</v>
      </c>
      <c r="DU6" s="54"/>
      <c r="DV6" s="51" t="s">
        <v>44</v>
      </c>
      <c r="DW6" s="55" t="s">
        <v>47</v>
      </c>
      <c r="DX6" s="47" t="s">
        <v>47</v>
      </c>
      <c r="DY6" s="56" t="s">
        <v>47</v>
      </c>
      <c r="DZ6" s="47"/>
      <c r="EA6" s="57">
        <v>31.97</v>
      </c>
      <c r="EB6" s="62">
        <v>67.14</v>
      </c>
      <c r="EC6" s="57">
        <v>7.3209999999999997</v>
      </c>
      <c r="ED6" s="58">
        <v>0.1</v>
      </c>
      <c r="EE6" s="57"/>
      <c r="EF6" s="57">
        <v>32.76</v>
      </c>
      <c r="EG6" s="57">
        <v>66.69</v>
      </c>
      <c r="EH6" s="57">
        <v>3.0219999999999998</v>
      </c>
      <c r="EI6" s="58">
        <v>0.2</v>
      </c>
      <c r="EJ6" s="57"/>
      <c r="EK6" s="57">
        <v>34.299999999999997</v>
      </c>
      <c r="EL6" s="57">
        <v>67.3</v>
      </c>
      <c r="EM6" s="57">
        <v>5.7629999999999999</v>
      </c>
      <c r="EN6" s="58">
        <v>0</v>
      </c>
      <c r="EO6" s="57"/>
      <c r="EP6" s="57">
        <v>33.6</v>
      </c>
      <c r="EQ6" s="57">
        <v>66.400000000000006</v>
      </c>
      <c r="ER6" s="57">
        <v>0.20399999999999999</v>
      </c>
      <c r="ES6" s="58">
        <v>0</v>
      </c>
      <c r="ET6" s="47"/>
      <c r="EU6" s="51" t="s">
        <v>44</v>
      </c>
      <c r="EV6" s="51" t="s">
        <v>44</v>
      </c>
      <c r="EW6" s="55" t="s">
        <v>47</v>
      </c>
      <c r="EX6" s="59" t="s">
        <v>44</v>
      </c>
      <c r="EY6" s="54"/>
      <c r="EZ6" s="55" t="s">
        <v>47</v>
      </c>
      <c r="FA6" s="51" t="s">
        <v>44</v>
      </c>
      <c r="FB6" s="55" t="s">
        <v>47</v>
      </c>
      <c r="FC6" s="59" t="s">
        <v>44</v>
      </c>
      <c r="FD6" s="55"/>
      <c r="FE6" s="51" t="s">
        <v>44</v>
      </c>
      <c r="FF6" s="51" t="s">
        <v>44</v>
      </c>
      <c r="FG6" s="55" t="s">
        <v>47</v>
      </c>
      <c r="FH6" s="59" t="s">
        <v>44</v>
      </c>
      <c r="FI6" s="55"/>
      <c r="FJ6" s="52" t="s">
        <v>45</v>
      </c>
      <c r="FK6" s="52" t="s">
        <v>45</v>
      </c>
      <c r="FL6" s="52" t="s">
        <v>45</v>
      </c>
      <c r="FM6" s="60" t="s">
        <v>45</v>
      </c>
    </row>
    <row r="7" spans="2:169" ht="16.5" customHeight="1">
      <c r="B7" s="63" t="s">
        <v>51</v>
      </c>
      <c r="C7" s="64" t="s">
        <v>52</v>
      </c>
      <c r="D7" s="39">
        <v>25</v>
      </c>
      <c r="E7" s="40">
        <v>35</v>
      </c>
      <c r="F7" s="41">
        <v>7.26</v>
      </c>
      <c r="G7" s="65"/>
      <c r="H7" s="65"/>
      <c r="I7" s="66"/>
      <c r="J7" s="67"/>
      <c r="K7" s="68" t="s">
        <v>53</v>
      </c>
      <c r="L7" s="69"/>
      <c r="M7" s="69"/>
      <c r="N7" s="70"/>
      <c r="O7" s="67"/>
      <c r="P7" s="45">
        <v>30.05</v>
      </c>
      <c r="Q7" s="71"/>
      <c r="R7" s="71"/>
      <c r="S7" s="72"/>
      <c r="T7" s="67"/>
      <c r="U7" s="45">
        <v>20.62</v>
      </c>
      <c r="V7" s="71"/>
      <c r="W7" s="71"/>
      <c r="X7" s="72"/>
      <c r="Y7" s="67"/>
      <c r="Z7" s="45">
        <v>29.7</v>
      </c>
      <c r="AA7" s="71"/>
      <c r="AB7" s="71"/>
      <c r="AC7" s="72"/>
      <c r="AD7" s="67"/>
      <c r="AE7" s="45">
        <v>21.3</v>
      </c>
      <c r="AF7" s="71"/>
      <c r="AG7" s="71"/>
      <c r="AH7" s="72"/>
      <c r="AI7" s="67"/>
      <c r="AJ7" s="68" t="s">
        <v>53</v>
      </c>
      <c r="AK7" s="71"/>
      <c r="AL7" s="71"/>
      <c r="AM7" s="72"/>
      <c r="AN7" s="67"/>
      <c r="AO7" s="68" t="s">
        <v>53</v>
      </c>
      <c r="AP7" s="71"/>
      <c r="AQ7" s="71"/>
      <c r="AR7" s="72"/>
      <c r="AS7" s="67"/>
      <c r="AT7" s="68" t="s">
        <v>53</v>
      </c>
      <c r="AU7" s="71"/>
      <c r="AV7" s="71"/>
      <c r="AW7" s="72"/>
      <c r="AX7" s="67"/>
      <c r="AY7" s="68" t="s">
        <v>53</v>
      </c>
      <c r="AZ7" s="71"/>
      <c r="BA7" s="71"/>
      <c r="BB7" s="72"/>
      <c r="BC7" s="67"/>
      <c r="BD7" s="68" t="s">
        <v>53</v>
      </c>
      <c r="BE7" s="71"/>
      <c r="BF7" s="71"/>
      <c r="BG7" s="72"/>
      <c r="BH7" s="67"/>
      <c r="BI7" s="68" t="s">
        <v>53</v>
      </c>
      <c r="BJ7" s="71"/>
      <c r="BK7" s="71"/>
      <c r="BL7" s="72"/>
      <c r="BM7" s="73"/>
      <c r="BN7" s="74" t="s">
        <v>53</v>
      </c>
      <c r="BO7" s="75"/>
      <c r="BP7" s="75"/>
      <c r="BQ7" s="76"/>
      <c r="BR7" s="77"/>
      <c r="BS7" s="74" t="s">
        <v>53</v>
      </c>
      <c r="BT7" s="75"/>
      <c r="BU7" s="75"/>
      <c r="BV7" s="76"/>
      <c r="BW7" s="77"/>
      <c r="BX7" s="74" t="s">
        <v>53</v>
      </c>
      <c r="BY7" s="75"/>
      <c r="BZ7" s="75"/>
      <c r="CA7" s="76"/>
      <c r="CB7" s="77"/>
      <c r="CC7" s="74" t="s">
        <v>53</v>
      </c>
      <c r="CD7" s="75"/>
      <c r="CE7" s="75"/>
      <c r="CF7" s="76"/>
      <c r="CG7" s="77"/>
      <c r="CH7" s="74" t="s">
        <v>53</v>
      </c>
      <c r="CI7" s="75"/>
      <c r="CJ7" s="75"/>
      <c r="CK7" s="76"/>
      <c r="CL7" s="77"/>
      <c r="CM7" s="74" t="s">
        <v>53</v>
      </c>
      <c r="CN7" s="75"/>
      <c r="CO7" s="75"/>
      <c r="CP7" s="76"/>
      <c r="CQ7" s="77"/>
      <c r="CR7" s="74" t="s">
        <v>53</v>
      </c>
      <c r="CS7" s="75"/>
      <c r="CT7" s="75"/>
      <c r="CU7" s="76"/>
      <c r="CV7" s="77"/>
      <c r="CW7" s="74" t="s">
        <v>53</v>
      </c>
      <c r="CX7" s="75"/>
      <c r="CY7" s="75"/>
      <c r="CZ7" s="76"/>
      <c r="DA7" s="77"/>
      <c r="DB7" s="74" t="s">
        <v>53</v>
      </c>
      <c r="DC7" s="75"/>
      <c r="DD7" s="75"/>
      <c r="DE7" s="76"/>
      <c r="DF7" s="77"/>
      <c r="DG7" s="74" t="s">
        <v>53</v>
      </c>
      <c r="DH7" s="75"/>
      <c r="DI7" s="75"/>
      <c r="DJ7" s="76"/>
      <c r="DK7" s="77"/>
      <c r="DL7" s="74" t="s">
        <v>53</v>
      </c>
      <c r="DM7" s="75"/>
      <c r="DN7" s="75"/>
      <c r="DO7" s="76"/>
      <c r="DP7" s="73"/>
      <c r="DQ7" s="51" t="s">
        <v>44</v>
      </c>
      <c r="DR7" s="78"/>
      <c r="DS7" s="78"/>
      <c r="DT7" s="79"/>
      <c r="DU7" s="73"/>
      <c r="DV7" s="51" t="s">
        <v>44</v>
      </c>
      <c r="DW7" s="78"/>
      <c r="DX7" s="78"/>
      <c r="DY7" s="79"/>
      <c r="DZ7" s="73"/>
      <c r="EA7" s="57">
        <v>31.97</v>
      </c>
      <c r="EB7" s="62">
        <v>67.14</v>
      </c>
      <c r="EC7" s="57">
        <v>7.3209999999999997</v>
      </c>
      <c r="ED7" s="58">
        <v>0.1</v>
      </c>
      <c r="EE7" s="80"/>
      <c r="EF7" s="81"/>
      <c r="EG7" s="81"/>
      <c r="EH7" s="81"/>
      <c r="EI7" s="82"/>
      <c r="EJ7" s="80"/>
      <c r="EK7" s="81"/>
      <c r="EL7" s="81"/>
      <c r="EM7" s="81"/>
      <c r="EN7" s="82"/>
      <c r="EO7" s="80"/>
      <c r="EP7" s="81"/>
      <c r="EQ7" s="81"/>
      <c r="ER7" s="81"/>
      <c r="ES7" s="82"/>
      <c r="ET7" s="73"/>
      <c r="EU7" s="51" t="s">
        <v>44</v>
      </c>
      <c r="EV7" s="78"/>
      <c r="EW7" s="78"/>
      <c r="EX7" s="79"/>
      <c r="EY7" s="73"/>
      <c r="EZ7" s="55" t="s">
        <v>47</v>
      </c>
      <c r="FA7" s="83"/>
      <c r="FB7" s="83"/>
      <c r="FC7" s="84"/>
      <c r="FE7" s="51" t="s">
        <v>44</v>
      </c>
      <c r="FF7" s="85"/>
      <c r="FG7" s="85"/>
      <c r="FH7" s="86"/>
      <c r="FI7" s="52"/>
      <c r="FJ7" s="52" t="s">
        <v>45</v>
      </c>
      <c r="FK7" s="83"/>
      <c r="FL7" s="83"/>
      <c r="FM7" s="87"/>
    </row>
    <row r="8" spans="2:169" ht="16.5" customHeight="1">
      <c r="B8" s="37">
        <v>4</v>
      </c>
      <c r="C8" s="38" t="s">
        <v>54</v>
      </c>
      <c r="D8" s="39">
        <v>18</v>
      </c>
      <c r="E8" s="40">
        <v>37.299999999999997</v>
      </c>
      <c r="F8" s="41">
        <v>7.38</v>
      </c>
      <c r="G8" s="41">
        <v>7.34</v>
      </c>
      <c r="H8" s="42">
        <v>7.07</v>
      </c>
      <c r="I8" s="43">
        <v>7.2</v>
      </c>
      <c r="J8" s="44"/>
      <c r="K8" s="44">
        <v>2.4849999999999999</v>
      </c>
      <c r="L8" s="44">
        <v>0.59950000000000003</v>
      </c>
      <c r="M8" s="44">
        <v>2.86</v>
      </c>
      <c r="N8" s="46">
        <v>2.1349999999999998</v>
      </c>
      <c r="O8" s="44"/>
      <c r="P8" s="45">
        <v>18.37</v>
      </c>
      <c r="Q8" s="45">
        <v>19.87</v>
      </c>
      <c r="R8" s="44">
        <v>18.13</v>
      </c>
      <c r="S8" s="46">
        <v>15.5</v>
      </c>
      <c r="T8" s="44"/>
      <c r="U8" s="45">
        <v>11.42</v>
      </c>
      <c r="V8" s="45">
        <v>12.6</v>
      </c>
      <c r="W8" s="44">
        <v>12.1</v>
      </c>
      <c r="X8" s="46">
        <v>10.130000000000001</v>
      </c>
      <c r="Y8" s="44"/>
      <c r="Z8" s="45">
        <v>17.399999999999999</v>
      </c>
      <c r="AA8" s="45">
        <v>17.7</v>
      </c>
      <c r="AB8" s="44">
        <v>17.899999999999999</v>
      </c>
      <c r="AC8" s="46">
        <v>13.4</v>
      </c>
      <c r="AD8" s="44"/>
      <c r="AE8" s="45">
        <v>11.4</v>
      </c>
      <c r="AF8" s="45">
        <v>12.1</v>
      </c>
      <c r="AG8" s="44">
        <v>12.4</v>
      </c>
      <c r="AH8" s="46">
        <v>8.4</v>
      </c>
      <c r="AI8" s="44"/>
      <c r="AJ8" s="45">
        <v>3.31</v>
      </c>
      <c r="AK8" s="45">
        <v>3.02</v>
      </c>
      <c r="AL8" s="44">
        <v>4.4800000000000004</v>
      </c>
      <c r="AM8" s="46">
        <v>2.44</v>
      </c>
      <c r="AN8" s="44"/>
      <c r="AO8" s="45">
        <v>1.473705</v>
      </c>
      <c r="AP8" s="45">
        <v>1.6427320000000001</v>
      </c>
      <c r="AQ8" s="44">
        <v>2.5989756499999999</v>
      </c>
      <c r="AR8" s="46">
        <v>1.9654</v>
      </c>
      <c r="AS8" s="44"/>
      <c r="AT8" s="45">
        <v>0.51341970000000003</v>
      </c>
      <c r="AU8" s="45">
        <v>0.60110249999999998</v>
      </c>
      <c r="AV8" s="44">
        <v>0.631795</v>
      </c>
      <c r="AW8" s="46">
        <v>0.6643</v>
      </c>
      <c r="AX8" s="44"/>
      <c r="AY8" s="45">
        <v>1.03</v>
      </c>
      <c r="AZ8" s="45">
        <v>1.85</v>
      </c>
      <c r="BA8" s="44">
        <v>2</v>
      </c>
      <c r="BB8" s="46">
        <v>1.3</v>
      </c>
      <c r="BC8" s="44"/>
      <c r="BD8" s="45">
        <v>21.63</v>
      </c>
      <c r="BE8" s="45">
        <v>17.850000000000001</v>
      </c>
      <c r="BF8" s="44">
        <v>19.21</v>
      </c>
      <c r="BG8" s="46">
        <v>15.47</v>
      </c>
      <c r="BH8" s="44"/>
      <c r="BI8" s="45">
        <v>0</v>
      </c>
      <c r="BJ8" s="45">
        <v>0.3</v>
      </c>
      <c r="BK8" s="44">
        <v>0.5</v>
      </c>
      <c r="BL8" s="46">
        <v>0.4</v>
      </c>
      <c r="BM8" s="47"/>
      <c r="BN8" s="48">
        <v>0</v>
      </c>
      <c r="BO8" s="48">
        <v>0.01</v>
      </c>
      <c r="BP8" s="49">
        <v>0.19</v>
      </c>
      <c r="BQ8" s="50">
        <v>0</v>
      </c>
      <c r="BR8" s="49"/>
      <c r="BS8" s="48">
        <v>0</v>
      </c>
      <c r="BT8" s="48">
        <v>0.01</v>
      </c>
      <c r="BU8" s="49">
        <v>0.27</v>
      </c>
      <c r="BV8" s="50">
        <v>0</v>
      </c>
      <c r="BW8" s="49"/>
      <c r="BX8" s="48">
        <v>0</v>
      </c>
      <c r="BY8" s="48">
        <v>0.01</v>
      </c>
      <c r="BZ8" s="49">
        <v>0.08</v>
      </c>
      <c r="CA8" s="50">
        <v>0</v>
      </c>
      <c r="CB8" s="49"/>
      <c r="CC8" s="48">
        <v>0.01</v>
      </c>
      <c r="CD8" s="48">
        <v>0.01</v>
      </c>
      <c r="CE8" s="49">
        <v>0.17</v>
      </c>
      <c r="CF8" s="50">
        <v>0</v>
      </c>
      <c r="CG8" s="49"/>
      <c r="CH8" s="48">
        <v>0</v>
      </c>
      <c r="CI8" s="48">
        <v>0</v>
      </c>
      <c r="CJ8" s="49">
        <v>0.01</v>
      </c>
      <c r="CK8" s="50">
        <v>0</v>
      </c>
      <c r="CL8" s="49"/>
      <c r="CM8" s="48">
        <v>0</v>
      </c>
      <c r="CN8" s="48">
        <v>0</v>
      </c>
      <c r="CO8" s="49">
        <v>0</v>
      </c>
      <c r="CP8" s="50">
        <v>0</v>
      </c>
      <c r="CQ8" s="49"/>
      <c r="CR8" s="48">
        <v>0</v>
      </c>
      <c r="CS8" s="48">
        <v>0</v>
      </c>
      <c r="CT8" s="49">
        <v>0</v>
      </c>
      <c r="CU8" s="50">
        <v>0</v>
      </c>
      <c r="CV8" s="49"/>
      <c r="CW8" s="48">
        <v>0</v>
      </c>
      <c r="CX8" s="48">
        <v>0</v>
      </c>
      <c r="CY8" s="49">
        <v>0</v>
      </c>
      <c r="CZ8" s="50">
        <v>0</v>
      </c>
      <c r="DA8" s="49"/>
      <c r="DB8" s="48">
        <v>0</v>
      </c>
      <c r="DC8" s="48">
        <v>0</v>
      </c>
      <c r="DD8" s="49">
        <v>0</v>
      </c>
      <c r="DE8" s="50">
        <v>0</v>
      </c>
      <c r="DF8" s="49"/>
      <c r="DG8" s="48">
        <v>0</v>
      </c>
      <c r="DH8" s="48">
        <v>0</v>
      </c>
      <c r="DI8" s="49">
        <v>0</v>
      </c>
      <c r="DJ8" s="50">
        <v>0</v>
      </c>
      <c r="DK8" s="49"/>
      <c r="DL8" s="48">
        <v>0</v>
      </c>
      <c r="DM8" s="48">
        <v>0</v>
      </c>
      <c r="DN8" s="49">
        <v>0</v>
      </c>
      <c r="DO8" s="50">
        <v>0</v>
      </c>
      <c r="DP8" s="47"/>
      <c r="DQ8" s="51" t="s">
        <v>44</v>
      </c>
      <c r="DR8" s="52" t="s">
        <v>45</v>
      </c>
      <c r="DS8" s="52" t="s">
        <v>45</v>
      </c>
      <c r="DT8" s="53" t="s">
        <v>46</v>
      </c>
      <c r="DU8" s="54"/>
      <c r="DV8" s="51" t="s">
        <v>44</v>
      </c>
      <c r="DW8" s="55" t="s">
        <v>47</v>
      </c>
      <c r="DX8" s="47" t="s">
        <v>47</v>
      </c>
      <c r="DY8" s="56" t="s">
        <v>44</v>
      </c>
      <c r="DZ8" s="47"/>
      <c r="EA8" s="57">
        <v>34.299999999999997</v>
      </c>
      <c r="EB8" s="57">
        <v>61.2</v>
      </c>
      <c r="EC8" s="57">
        <v>0.29699999999999999</v>
      </c>
      <c r="ED8" s="58">
        <v>0.1</v>
      </c>
      <c r="EE8" s="57"/>
      <c r="EF8" s="57">
        <v>36.1</v>
      </c>
      <c r="EG8" s="57">
        <v>62.78</v>
      </c>
      <c r="EH8" s="57">
        <v>0.10299999999999999</v>
      </c>
      <c r="EI8" s="58">
        <v>0.2</v>
      </c>
      <c r="EJ8" s="57"/>
      <c r="EK8" s="57">
        <v>35.9</v>
      </c>
      <c r="EL8" s="57">
        <v>57</v>
      </c>
      <c r="EM8" s="57">
        <v>0.158</v>
      </c>
      <c r="EN8" s="58">
        <v>1.7</v>
      </c>
      <c r="EO8" s="57"/>
      <c r="EP8" s="57">
        <v>39.799999999999997</v>
      </c>
      <c r="EQ8" s="57">
        <v>63.8</v>
      </c>
      <c r="ER8" s="57">
        <v>0.16800000000000001</v>
      </c>
      <c r="ES8" s="58">
        <v>0</v>
      </c>
      <c r="ET8" s="47"/>
      <c r="EU8" s="51" t="s">
        <v>44</v>
      </c>
      <c r="EV8" s="51" t="s">
        <v>44</v>
      </c>
      <c r="EW8" s="55" t="s">
        <v>47</v>
      </c>
      <c r="EX8" s="59" t="s">
        <v>44</v>
      </c>
      <c r="EY8" s="54"/>
      <c r="EZ8" s="55" t="s">
        <v>47</v>
      </c>
      <c r="FA8" s="51" t="s">
        <v>44</v>
      </c>
      <c r="FB8" s="55" t="s">
        <v>47</v>
      </c>
      <c r="FC8" s="59" t="s">
        <v>44</v>
      </c>
      <c r="FD8" s="55"/>
      <c r="FE8" s="51" t="s">
        <v>44</v>
      </c>
      <c r="FF8" s="51" t="s">
        <v>44</v>
      </c>
      <c r="FG8" s="55" t="s">
        <v>47</v>
      </c>
      <c r="FH8" s="59" t="s">
        <v>44</v>
      </c>
      <c r="FI8" s="55"/>
      <c r="FJ8" s="52" t="s">
        <v>45</v>
      </c>
      <c r="FK8" s="52" t="s">
        <v>45</v>
      </c>
      <c r="FL8" s="52" t="s">
        <v>45</v>
      </c>
      <c r="FM8" s="60" t="s">
        <v>45</v>
      </c>
    </row>
    <row r="9" spans="2:169" ht="16.5" customHeight="1">
      <c r="B9" s="88">
        <v>5</v>
      </c>
      <c r="C9" s="89" t="s">
        <v>55</v>
      </c>
      <c r="D9" s="90">
        <v>26</v>
      </c>
      <c r="E9" s="91">
        <v>34.1</v>
      </c>
      <c r="F9" s="92">
        <v>7.19</v>
      </c>
      <c r="G9" s="92">
        <v>7.49</v>
      </c>
      <c r="H9" s="93">
        <v>7.34</v>
      </c>
      <c r="I9" s="94">
        <v>7.34</v>
      </c>
      <c r="J9" s="95"/>
      <c r="K9" s="95">
        <v>3.19</v>
      </c>
      <c r="L9" s="95">
        <v>0.70250000000000001</v>
      </c>
      <c r="M9" s="95">
        <v>4.3013000000000003</v>
      </c>
      <c r="N9" s="96">
        <v>3.3824999999999998</v>
      </c>
      <c r="O9" s="95"/>
      <c r="P9" s="97">
        <v>25.17</v>
      </c>
      <c r="Q9" s="97">
        <v>29.7</v>
      </c>
      <c r="R9" s="95">
        <v>25.77</v>
      </c>
      <c r="S9" s="96">
        <v>26.65</v>
      </c>
      <c r="T9" s="95"/>
      <c r="U9" s="97">
        <v>14.58</v>
      </c>
      <c r="V9" s="97">
        <v>14.85</v>
      </c>
      <c r="W9" s="95">
        <v>13.1</v>
      </c>
      <c r="X9" s="96">
        <v>16.649999999999999</v>
      </c>
      <c r="Y9" s="95"/>
      <c r="Z9" s="97">
        <v>22.8</v>
      </c>
      <c r="AA9" s="97">
        <v>23.3</v>
      </c>
      <c r="AB9" s="95">
        <v>23.05</v>
      </c>
      <c r="AC9" s="96">
        <v>24.3</v>
      </c>
      <c r="AD9" s="95"/>
      <c r="AE9" s="97">
        <v>13.5</v>
      </c>
      <c r="AF9" s="97">
        <v>14.2</v>
      </c>
      <c r="AG9" s="95">
        <v>13.85</v>
      </c>
      <c r="AH9" s="96">
        <v>16.7</v>
      </c>
      <c r="AI9" s="95"/>
      <c r="AJ9" s="97">
        <v>4.04</v>
      </c>
      <c r="AK9" s="97">
        <v>3.8</v>
      </c>
      <c r="AL9" s="95">
        <v>5.33</v>
      </c>
      <c r="AM9" s="96">
        <v>4.57</v>
      </c>
      <c r="AN9" s="95"/>
      <c r="AO9" s="97">
        <v>2.229044</v>
      </c>
      <c r="AP9" s="97">
        <v>2.0494530000000002</v>
      </c>
      <c r="AQ9" s="95">
        <v>3.11062635</v>
      </c>
      <c r="AR9" s="96">
        <v>3.4472999999999998</v>
      </c>
      <c r="AS9" s="95"/>
      <c r="AT9" s="97">
        <v>0.58948179999999994</v>
      </c>
      <c r="AU9" s="97">
        <v>0.72259070000000003</v>
      </c>
      <c r="AV9" s="95">
        <v>0.98880820000000003</v>
      </c>
      <c r="AW9" s="96">
        <v>1.3888</v>
      </c>
      <c r="AX9" s="95"/>
      <c r="AY9" s="97">
        <v>1.38</v>
      </c>
      <c r="AZ9" s="97">
        <v>2.2000000000000002</v>
      </c>
      <c r="BA9" s="95">
        <v>2.0699999999999998</v>
      </c>
      <c r="BB9" s="96">
        <v>2.6</v>
      </c>
      <c r="BC9" s="95"/>
      <c r="BD9" s="97">
        <v>26.99</v>
      </c>
      <c r="BE9" s="97">
        <v>22.63</v>
      </c>
      <c r="BF9" s="95">
        <v>25.74</v>
      </c>
      <c r="BG9" s="96">
        <v>26.73</v>
      </c>
      <c r="BH9" s="95"/>
      <c r="BI9" s="97">
        <v>10.9</v>
      </c>
      <c r="BJ9" s="97">
        <v>0.4</v>
      </c>
      <c r="BK9" s="95">
        <v>0.6</v>
      </c>
      <c r="BL9" s="96">
        <v>0.6</v>
      </c>
      <c r="BM9" s="98"/>
      <c r="BN9" s="99">
        <v>0.01</v>
      </c>
      <c r="BO9" s="99">
        <v>0</v>
      </c>
      <c r="BP9" s="100">
        <v>0.01</v>
      </c>
      <c r="BQ9" s="101">
        <v>0</v>
      </c>
      <c r="BR9" s="100"/>
      <c r="BS9" s="99">
        <v>0.01</v>
      </c>
      <c r="BT9" s="99">
        <v>0</v>
      </c>
      <c r="BU9" s="100">
        <v>0.01</v>
      </c>
      <c r="BV9" s="101">
        <v>0</v>
      </c>
      <c r="BW9" s="100"/>
      <c r="BX9" s="99">
        <v>0</v>
      </c>
      <c r="BY9" s="99">
        <v>0</v>
      </c>
      <c r="BZ9" s="100">
        <v>0</v>
      </c>
      <c r="CA9" s="101">
        <v>0</v>
      </c>
      <c r="CB9" s="100"/>
      <c r="CC9" s="99">
        <v>0.01</v>
      </c>
      <c r="CD9" s="99">
        <v>0</v>
      </c>
      <c r="CE9" s="100">
        <v>0.01</v>
      </c>
      <c r="CF9" s="101">
        <v>0</v>
      </c>
      <c r="CG9" s="100"/>
      <c r="CH9" s="99">
        <v>0</v>
      </c>
      <c r="CI9" s="99">
        <v>0</v>
      </c>
      <c r="CJ9" s="100">
        <v>0</v>
      </c>
      <c r="CK9" s="101">
        <v>0</v>
      </c>
      <c r="CL9" s="100"/>
      <c r="CM9" s="99">
        <v>0</v>
      </c>
      <c r="CN9" s="99">
        <v>0</v>
      </c>
      <c r="CO9" s="100">
        <v>0</v>
      </c>
      <c r="CP9" s="101">
        <v>0</v>
      </c>
      <c r="CQ9" s="100"/>
      <c r="CR9" s="99">
        <v>0</v>
      </c>
      <c r="CS9" s="99">
        <v>0</v>
      </c>
      <c r="CT9" s="100">
        <v>0</v>
      </c>
      <c r="CU9" s="101">
        <v>0</v>
      </c>
      <c r="CV9" s="100"/>
      <c r="CW9" s="99">
        <v>0</v>
      </c>
      <c r="CX9" s="99">
        <v>0</v>
      </c>
      <c r="CY9" s="100">
        <v>0</v>
      </c>
      <c r="CZ9" s="101">
        <v>0</v>
      </c>
      <c r="DA9" s="100"/>
      <c r="DB9" s="99">
        <v>0</v>
      </c>
      <c r="DC9" s="99">
        <v>0</v>
      </c>
      <c r="DD9" s="100">
        <v>0</v>
      </c>
      <c r="DE9" s="101">
        <v>0</v>
      </c>
      <c r="DF9" s="100"/>
      <c r="DG9" s="99">
        <v>0</v>
      </c>
      <c r="DH9" s="99">
        <v>0</v>
      </c>
      <c r="DI9" s="100">
        <v>0</v>
      </c>
      <c r="DJ9" s="101">
        <v>0</v>
      </c>
      <c r="DK9" s="100"/>
      <c r="DL9" s="99">
        <v>0</v>
      </c>
      <c r="DM9" s="99">
        <v>0</v>
      </c>
      <c r="DN9" s="100">
        <v>0</v>
      </c>
      <c r="DO9" s="101">
        <v>0</v>
      </c>
      <c r="DP9" s="98"/>
      <c r="DQ9" s="102" t="s">
        <v>44</v>
      </c>
      <c r="DR9" s="103" t="s">
        <v>45</v>
      </c>
      <c r="DS9" s="103" t="s">
        <v>45</v>
      </c>
      <c r="DT9" s="104" t="s">
        <v>46</v>
      </c>
      <c r="DU9" s="105"/>
      <c r="DV9" s="102" t="s">
        <v>44</v>
      </c>
      <c r="DW9" s="106" t="s">
        <v>47</v>
      </c>
      <c r="DX9" s="98" t="s">
        <v>47</v>
      </c>
      <c r="DY9" s="107" t="s">
        <v>44</v>
      </c>
      <c r="DZ9" s="98"/>
      <c r="EA9" s="108">
        <v>34.299999999999997</v>
      </c>
      <c r="EB9" s="108">
        <v>60.7</v>
      </c>
      <c r="EC9" s="108">
        <v>6.0000000000000001E-3</v>
      </c>
      <c r="ED9" s="109">
        <v>0</v>
      </c>
      <c r="EE9" s="108"/>
      <c r="EF9" s="108">
        <v>30.37</v>
      </c>
      <c r="EG9" s="108">
        <v>65.06</v>
      </c>
      <c r="EH9" s="108">
        <v>1E-3</v>
      </c>
      <c r="EI9" s="109">
        <v>0.4</v>
      </c>
      <c r="EJ9" s="108"/>
      <c r="EK9" s="108">
        <v>36.04</v>
      </c>
      <c r="EL9" s="108">
        <v>61.4</v>
      </c>
      <c r="EM9" s="108">
        <v>8.0000000000000002E-3</v>
      </c>
      <c r="EN9" s="109">
        <v>0.17</v>
      </c>
      <c r="EO9" s="108"/>
      <c r="EP9" s="108">
        <v>32.75</v>
      </c>
      <c r="EQ9" s="108">
        <v>63.62</v>
      </c>
      <c r="ER9" s="108">
        <v>8.9999999999999993E-3</v>
      </c>
      <c r="ES9" s="109">
        <v>0.3</v>
      </c>
      <c r="ET9" s="98"/>
      <c r="EU9" s="102" t="s">
        <v>44</v>
      </c>
      <c r="EV9" s="102" t="s">
        <v>44</v>
      </c>
      <c r="EW9" s="106" t="s">
        <v>47</v>
      </c>
      <c r="EX9" s="110" t="s">
        <v>44</v>
      </c>
      <c r="EY9" s="105"/>
      <c r="EZ9" s="106" t="s">
        <v>47</v>
      </c>
      <c r="FA9" s="102" t="s">
        <v>44</v>
      </c>
      <c r="FB9" s="106" t="s">
        <v>47</v>
      </c>
      <c r="FC9" s="110" t="s">
        <v>44</v>
      </c>
      <c r="FD9" s="106"/>
      <c r="FE9" s="102" t="s">
        <v>44</v>
      </c>
      <c r="FF9" s="102" t="s">
        <v>44</v>
      </c>
      <c r="FG9" s="106" t="s">
        <v>47</v>
      </c>
      <c r="FH9" s="110" t="s">
        <v>44</v>
      </c>
      <c r="FI9" s="106"/>
      <c r="FJ9" s="103" t="s">
        <v>45</v>
      </c>
      <c r="FK9" s="103" t="s">
        <v>45</v>
      </c>
      <c r="FL9" s="103" t="s">
        <v>45</v>
      </c>
      <c r="FM9" s="111" t="s">
        <v>45</v>
      </c>
    </row>
    <row r="10" spans="2:169" ht="16.5" customHeight="1">
      <c r="B10" s="37">
        <v>6</v>
      </c>
      <c r="C10" s="112" t="s">
        <v>56</v>
      </c>
      <c r="D10" s="39">
        <v>40</v>
      </c>
      <c r="E10" s="40">
        <v>38</v>
      </c>
      <c r="F10" s="41">
        <v>7.83</v>
      </c>
      <c r="G10" s="41">
        <v>8.16</v>
      </c>
      <c r="H10" s="42">
        <v>7.99</v>
      </c>
      <c r="I10" s="43">
        <v>7.99</v>
      </c>
      <c r="J10" s="44"/>
      <c r="K10" s="42">
        <v>11.135</v>
      </c>
      <c r="L10" s="44">
        <v>2.1804999999999999</v>
      </c>
      <c r="M10" s="44">
        <v>4.335</v>
      </c>
      <c r="N10" s="43">
        <v>11.54</v>
      </c>
      <c r="O10" s="44"/>
      <c r="P10" s="45">
        <v>24.22</v>
      </c>
      <c r="Q10" s="45">
        <v>15.03</v>
      </c>
      <c r="R10" s="44">
        <v>8.75</v>
      </c>
      <c r="S10" s="46">
        <v>23.38</v>
      </c>
      <c r="T10" s="44"/>
      <c r="U10" s="45">
        <v>14.55</v>
      </c>
      <c r="V10" s="45">
        <v>7.33</v>
      </c>
      <c r="W10" s="44">
        <v>3.02</v>
      </c>
      <c r="X10" s="46">
        <v>12.43</v>
      </c>
      <c r="Y10" s="44"/>
      <c r="Z10" s="45">
        <v>20.399999999999999</v>
      </c>
      <c r="AA10" s="45">
        <v>10.4</v>
      </c>
      <c r="AB10" s="44">
        <v>4.3</v>
      </c>
      <c r="AC10" s="46">
        <v>15.8</v>
      </c>
      <c r="AD10" s="44"/>
      <c r="AE10" s="45">
        <v>14.3</v>
      </c>
      <c r="AF10" s="45">
        <v>7.1</v>
      </c>
      <c r="AG10" s="44">
        <v>2.1</v>
      </c>
      <c r="AH10" s="46">
        <v>11.1</v>
      </c>
      <c r="AI10" s="44"/>
      <c r="AJ10" s="45">
        <v>4.9400000000000004</v>
      </c>
      <c r="AK10" s="45">
        <v>1.59</v>
      </c>
      <c r="AL10" s="44">
        <v>0.35</v>
      </c>
      <c r="AM10" s="46">
        <v>4.5</v>
      </c>
      <c r="AN10" s="44"/>
      <c r="AO10" s="45">
        <v>3.676339</v>
      </c>
      <c r="AP10" s="45">
        <v>2.9368449999999999</v>
      </c>
      <c r="AQ10" s="44">
        <v>3.5318201600000001</v>
      </c>
      <c r="AR10" s="46">
        <v>4.1947000000000001</v>
      </c>
      <c r="AS10" s="44"/>
      <c r="AT10" s="45">
        <v>2.524842</v>
      </c>
      <c r="AU10" s="45">
        <v>2.1445310000000002</v>
      </c>
      <c r="AV10" s="44">
        <v>2.2060629999999999</v>
      </c>
      <c r="AW10" s="46">
        <v>2.3919999999999999</v>
      </c>
      <c r="AX10" s="44"/>
      <c r="AY10" s="45">
        <v>2.0299999999999998</v>
      </c>
      <c r="AZ10" s="45">
        <v>1.5</v>
      </c>
      <c r="BA10" s="44">
        <v>1.7649999999999999</v>
      </c>
      <c r="BB10" s="46">
        <v>0.35</v>
      </c>
      <c r="BC10" s="44"/>
      <c r="BD10" s="45">
        <v>53.01</v>
      </c>
      <c r="BE10" s="45">
        <v>12.12</v>
      </c>
      <c r="BF10" s="44">
        <v>20.5</v>
      </c>
      <c r="BG10" s="46">
        <v>19.79</v>
      </c>
      <c r="BH10" s="44"/>
      <c r="BI10" s="45">
        <v>3.3</v>
      </c>
      <c r="BJ10" s="45">
        <v>3.2</v>
      </c>
      <c r="BK10" s="44">
        <v>2.7</v>
      </c>
      <c r="BL10" s="46">
        <v>2.6</v>
      </c>
      <c r="BM10" s="47"/>
      <c r="BN10" s="48">
        <v>0.03</v>
      </c>
      <c r="BO10" s="48">
        <v>0.03</v>
      </c>
      <c r="BP10" s="49">
        <v>0</v>
      </c>
      <c r="BQ10" s="50">
        <v>0</v>
      </c>
      <c r="BR10" s="49"/>
      <c r="BS10" s="48">
        <v>0.03</v>
      </c>
      <c r="BT10" s="48">
        <v>0.03</v>
      </c>
      <c r="BU10" s="49">
        <v>0</v>
      </c>
      <c r="BV10" s="50">
        <v>0</v>
      </c>
      <c r="BW10" s="49"/>
      <c r="BX10" s="48">
        <v>0</v>
      </c>
      <c r="BY10" s="48">
        <v>0</v>
      </c>
      <c r="BZ10" s="49">
        <v>0</v>
      </c>
      <c r="CA10" s="50">
        <v>0</v>
      </c>
      <c r="CB10" s="49"/>
      <c r="CC10" s="48">
        <v>0.03</v>
      </c>
      <c r="CD10" s="48">
        <v>0.02</v>
      </c>
      <c r="CE10" s="49">
        <v>0</v>
      </c>
      <c r="CF10" s="50">
        <v>0</v>
      </c>
      <c r="CG10" s="49"/>
      <c r="CH10" s="48">
        <v>0</v>
      </c>
      <c r="CI10" s="48">
        <v>0.01</v>
      </c>
      <c r="CJ10" s="49">
        <v>0</v>
      </c>
      <c r="CK10" s="50">
        <v>0</v>
      </c>
      <c r="CL10" s="49"/>
      <c r="CM10" s="48">
        <v>0</v>
      </c>
      <c r="CN10" s="48">
        <v>0</v>
      </c>
      <c r="CO10" s="49">
        <v>0</v>
      </c>
      <c r="CP10" s="50">
        <v>0</v>
      </c>
      <c r="CQ10" s="49"/>
      <c r="CR10" s="48">
        <v>0</v>
      </c>
      <c r="CS10" s="48">
        <v>0</v>
      </c>
      <c r="CT10" s="49">
        <v>0</v>
      </c>
      <c r="CU10" s="50">
        <v>0</v>
      </c>
      <c r="CV10" s="49"/>
      <c r="CW10" s="48">
        <v>0</v>
      </c>
      <c r="CX10" s="48">
        <v>0</v>
      </c>
      <c r="CY10" s="49">
        <v>0</v>
      </c>
      <c r="CZ10" s="50">
        <v>0</v>
      </c>
      <c r="DA10" s="49"/>
      <c r="DB10" s="48">
        <v>0</v>
      </c>
      <c r="DC10" s="48">
        <v>0</v>
      </c>
      <c r="DD10" s="49">
        <v>0</v>
      </c>
      <c r="DE10" s="50">
        <v>0</v>
      </c>
      <c r="DF10" s="49"/>
      <c r="DG10" s="48">
        <v>0</v>
      </c>
      <c r="DH10" s="48">
        <v>0</v>
      </c>
      <c r="DI10" s="49">
        <v>0</v>
      </c>
      <c r="DJ10" s="50">
        <v>0</v>
      </c>
      <c r="DK10" s="49"/>
      <c r="DL10" s="48">
        <v>0</v>
      </c>
      <c r="DM10" s="48">
        <v>0</v>
      </c>
      <c r="DN10" s="49">
        <v>0</v>
      </c>
      <c r="DO10" s="50">
        <v>0</v>
      </c>
      <c r="DP10" s="47"/>
      <c r="DQ10" s="51" t="s">
        <v>44</v>
      </c>
      <c r="DR10" s="52" t="s">
        <v>45</v>
      </c>
      <c r="DS10" s="52" t="s">
        <v>45</v>
      </c>
      <c r="DT10" s="53" t="s">
        <v>46</v>
      </c>
      <c r="DU10" s="54"/>
      <c r="DV10" s="51" t="s">
        <v>44</v>
      </c>
      <c r="DW10" s="55" t="s">
        <v>47</v>
      </c>
      <c r="DX10" s="47" t="s">
        <v>47</v>
      </c>
      <c r="DY10" s="56" t="s">
        <v>44</v>
      </c>
      <c r="DZ10" s="47"/>
      <c r="EA10" s="57">
        <v>20.25</v>
      </c>
      <c r="EB10" s="57">
        <v>65.25</v>
      </c>
      <c r="EC10" s="57">
        <v>1.1839999999999999</v>
      </c>
      <c r="ED10" s="58">
        <v>0.1</v>
      </c>
      <c r="EE10" s="57"/>
      <c r="EF10" s="57">
        <v>21.9</v>
      </c>
      <c r="EG10" s="57">
        <v>49.3</v>
      </c>
      <c r="EH10" s="57">
        <v>1.4E-2</v>
      </c>
      <c r="EI10" s="58">
        <v>5.4</v>
      </c>
      <c r="EJ10" s="57"/>
      <c r="EK10" s="57">
        <v>30.2</v>
      </c>
      <c r="EL10" s="57">
        <v>65.099999999999994</v>
      </c>
      <c r="EM10" s="57">
        <v>4.2000000000000003E-2</v>
      </c>
      <c r="EN10" s="58">
        <v>0.6</v>
      </c>
      <c r="EO10" s="57"/>
      <c r="EP10" s="57">
        <v>27.2</v>
      </c>
      <c r="EQ10" s="57">
        <v>57.9</v>
      </c>
      <c r="ER10" s="57">
        <v>0.11</v>
      </c>
      <c r="ES10" s="58">
        <v>2.7</v>
      </c>
      <c r="ET10" s="47"/>
      <c r="EU10" s="51" t="s">
        <v>44</v>
      </c>
      <c r="EV10" s="51" t="s">
        <v>44</v>
      </c>
      <c r="EW10" s="55" t="s">
        <v>47</v>
      </c>
      <c r="EX10" s="59" t="s">
        <v>44</v>
      </c>
      <c r="EY10" s="54"/>
      <c r="EZ10" s="51" t="s">
        <v>44</v>
      </c>
      <c r="FA10" s="51" t="s">
        <v>44</v>
      </c>
      <c r="FB10" s="55" t="s">
        <v>47</v>
      </c>
      <c r="FC10" s="59" t="s">
        <v>44</v>
      </c>
      <c r="FD10" s="55"/>
      <c r="FE10" s="51" t="s">
        <v>44</v>
      </c>
      <c r="FF10" s="51" t="s">
        <v>44</v>
      </c>
      <c r="FG10" s="55" t="s">
        <v>47</v>
      </c>
      <c r="FH10" s="59" t="s">
        <v>44</v>
      </c>
      <c r="FI10" s="55"/>
      <c r="FJ10" s="52" t="s">
        <v>45</v>
      </c>
      <c r="FK10" s="52" t="s">
        <v>45</v>
      </c>
      <c r="FL10" s="52" t="s">
        <v>45</v>
      </c>
      <c r="FM10" s="60" t="s">
        <v>45</v>
      </c>
    </row>
    <row r="11" spans="2:169" ht="16.5" customHeight="1">
      <c r="B11" s="37">
        <v>7</v>
      </c>
      <c r="C11" s="112" t="s">
        <v>57</v>
      </c>
      <c r="D11" s="39">
        <v>22.6</v>
      </c>
      <c r="E11" s="40">
        <v>35</v>
      </c>
      <c r="F11" s="41">
        <v>6.98</v>
      </c>
      <c r="G11" s="41">
        <v>7.11</v>
      </c>
      <c r="H11" s="42">
        <v>7.43</v>
      </c>
      <c r="I11" s="43">
        <v>7.37</v>
      </c>
      <c r="J11" s="44"/>
      <c r="K11" s="44">
        <v>1.734</v>
      </c>
      <c r="L11" s="44">
        <v>0.3775</v>
      </c>
      <c r="M11" s="44">
        <v>1.6339999999999999</v>
      </c>
      <c r="N11" s="46">
        <v>3.8140000000000001</v>
      </c>
      <c r="O11" s="44"/>
      <c r="P11" s="45">
        <v>25.53</v>
      </c>
      <c r="Q11" s="45">
        <v>21.22</v>
      </c>
      <c r="R11" s="44">
        <v>21.47</v>
      </c>
      <c r="S11" s="46">
        <v>19.329999999999998</v>
      </c>
      <c r="T11" s="44"/>
      <c r="U11" s="45">
        <v>14.72</v>
      </c>
      <c r="V11" s="45">
        <v>12.27</v>
      </c>
      <c r="W11" s="44">
        <v>13.4</v>
      </c>
      <c r="X11" s="46">
        <v>12.75</v>
      </c>
      <c r="Y11" s="44"/>
      <c r="Z11" s="45">
        <v>26.3</v>
      </c>
      <c r="AA11" s="45">
        <v>21</v>
      </c>
      <c r="AB11" s="44">
        <v>22</v>
      </c>
      <c r="AC11" s="46">
        <v>17.899999999999999</v>
      </c>
      <c r="AD11" s="44"/>
      <c r="AE11" s="45">
        <v>15.6</v>
      </c>
      <c r="AF11" s="45">
        <v>12.3</v>
      </c>
      <c r="AG11" s="44">
        <v>14.2</v>
      </c>
      <c r="AH11" s="46">
        <v>12.2</v>
      </c>
      <c r="AI11" s="44"/>
      <c r="AJ11" s="45">
        <v>4.78</v>
      </c>
      <c r="AK11" s="45">
        <v>2.37</v>
      </c>
      <c r="AL11" s="44">
        <v>6.25</v>
      </c>
      <c r="AM11" s="46">
        <v>4.13</v>
      </c>
      <c r="AN11" s="44"/>
      <c r="AO11" s="45">
        <v>1.6004750000000001</v>
      </c>
      <c r="AP11" s="45">
        <v>1.4367300000000001</v>
      </c>
      <c r="AQ11" s="44">
        <v>2.5857980399999998</v>
      </c>
      <c r="AR11" s="46">
        <v>2.6728999999999998</v>
      </c>
      <c r="AS11" s="44"/>
      <c r="AT11" s="45">
        <v>0.41094710000000001</v>
      </c>
      <c r="AU11" s="45">
        <v>0.50708149999999996</v>
      </c>
      <c r="AV11" s="44">
        <v>0.6982931</v>
      </c>
      <c r="AW11" s="46">
        <v>1.0355000000000001</v>
      </c>
      <c r="AX11" s="44"/>
      <c r="AY11" s="45">
        <v>2.3199999999999998</v>
      </c>
      <c r="AZ11" s="45">
        <v>1.5</v>
      </c>
      <c r="BA11" s="44">
        <v>2.2799999999999998</v>
      </c>
      <c r="BB11" s="46">
        <v>0.9</v>
      </c>
      <c r="BC11" s="44"/>
      <c r="BD11" s="45">
        <v>17.440000000000001</v>
      </c>
      <c r="BE11" s="45">
        <v>27.87</v>
      </c>
      <c r="BF11" s="44">
        <v>24.8</v>
      </c>
      <c r="BG11" s="46">
        <v>19.989999999999998</v>
      </c>
      <c r="BH11" s="44"/>
      <c r="BI11" s="45">
        <v>0.2</v>
      </c>
      <c r="BJ11" s="45">
        <v>1</v>
      </c>
      <c r="BK11" s="44">
        <v>0.3</v>
      </c>
      <c r="BL11" s="46">
        <v>0.2</v>
      </c>
      <c r="BM11" s="47"/>
      <c r="BN11" s="48">
        <v>0</v>
      </c>
      <c r="BO11" s="48">
        <v>0.01</v>
      </c>
      <c r="BP11" s="49">
        <v>0.01</v>
      </c>
      <c r="BQ11" s="50">
        <v>0</v>
      </c>
      <c r="BR11" s="49"/>
      <c r="BS11" s="48">
        <v>0</v>
      </c>
      <c r="BT11" s="48">
        <v>0.01</v>
      </c>
      <c r="BU11" s="49">
        <v>0.01</v>
      </c>
      <c r="BV11" s="50">
        <v>0</v>
      </c>
      <c r="BW11" s="49"/>
      <c r="BX11" s="48">
        <v>0</v>
      </c>
      <c r="BY11" s="48">
        <v>0</v>
      </c>
      <c r="BZ11" s="49">
        <v>0</v>
      </c>
      <c r="CA11" s="50">
        <v>0</v>
      </c>
      <c r="CB11" s="49"/>
      <c r="CC11" s="48">
        <v>0</v>
      </c>
      <c r="CD11" s="48">
        <v>0.01</v>
      </c>
      <c r="CE11" s="49">
        <v>0.01</v>
      </c>
      <c r="CF11" s="50">
        <v>0</v>
      </c>
      <c r="CG11" s="49"/>
      <c r="CH11" s="48">
        <v>0</v>
      </c>
      <c r="CI11" s="48">
        <v>0</v>
      </c>
      <c r="CJ11" s="49">
        <v>0</v>
      </c>
      <c r="CK11" s="50">
        <v>0</v>
      </c>
      <c r="CL11" s="49"/>
      <c r="CM11" s="48">
        <v>0</v>
      </c>
      <c r="CN11" s="48">
        <v>0</v>
      </c>
      <c r="CO11" s="49">
        <v>0</v>
      </c>
      <c r="CP11" s="50">
        <v>0</v>
      </c>
      <c r="CQ11" s="49"/>
      <c r="CR11" s="48">
        <v>0</v>
      </c>
      <c r="CS11" s="48">
        <v>0</v>
      </c>
      <c r="CT11" s="49">
        <v>0</v>
      </c>
      <c r="CU11" s="50">
        <v>0</v>
      </c>
      <c r="CV11" s="49"/>
      <c r="CW11" s="48">
        <v>0</v>
      </c>
      <c r="CX11" s="48">
        <v>0</v>
      </c>
      <c r="CY11" s="49">
        <v>0</v>
      </c>
      <c r="CZ11" s="50">
        <v>0</v>
      </c>
      <c r="DA11" s="49"/>
      <c r="DB11" s="48">
        <v>0</v>
      </c>
      <c r="DC11" s="48">
        <v>0</v>
      </c>
      <c r="DD11" s="49">
        <v>0</v>
      </c>
      <c r="DE11" s="50">
        <v>0</v>
      </c>
      <c r="DF11" s="49"/>
      <c r="DG11" s="48">
        <v>0</v>
      </c>
      <c r="DH11" s="48">
        <v>0</v>
      </c>
      <c r="DI11" s="49">
        <v>0</v>
      </c>
      <c r="DJ11" s="50">
        <v>0</v>
      </c>
      <c r="DK11" s="49"/>
      <c r="DL11" s="48">
        <v>0</v>
      </c>
      <c r="DM11" s="48">
        <v>0</v>
      </c>
      <c r="DN11" s="49">
        <v>0</v>
      </c>
      <c r="DO11" s="50">
        <v>0</v>
      </c>
      <c r="DP11" s="47"/>
      <c r="DQ11" s="51" t="s">
        <v>44</v>
      </c>
      <c r="DR11" s="52" t="s">
        <v>45</v>
      </c>
      <c r="DS11" s="52" t="s">
        <v>45</v>
      </c>
      <c r="DT11" s="53" t="s">
        <v>46</v>
      </c>
      <c r="DU11" s="54"/>
      <c r="DV11" s="51" t="s">
        <v>44</v>
      </c>
      <c r="DW11" s="55" t="s">
        <v>47</v>
      </c>
      <c r="DX11" s="47" t="s">
        <v>47</v>
      </c>
      <c r="DY11" s="56" t="s">
        <v>44</v>
      </c>
      <c r="DZ11" s="47"/>
      <c r="EA11" s="57">
        <v>34.200000000000003</v>
      </c>
      <c r="EB11" s="57">
        <v>65.8</v>
      </c>
      <c r="EC11" s="57">
        <v>2E-3</v>
      </c>
      <c r="ED11" s="58">
        <v>0</v>
      </c>
      <c r="EE11" s="57"/>
      <c r="EF11" s="57">
        <v>25</v>
      </c>
      <c r="EG11" s="57">
        <v>63.3</v>
      </c>
      <c r="EH11" s="57">
        <v>2E-3</v>
      </c>
      <c r="EI11" s="58">
        <v>1.8</v>
      </c>
      <c r="EJ11" s="57"/>
      <c r="EK11" s="57">
        <v>32.700000000000003</v>
      </c>
      <c r="EL11" s="57">
        <v>64.400000000000006</v>
      </c>
      <c r="EM11" s="57">
        <v>0</v>
      </c>
      <c r="EN11" s="58">
        <v>0.6</v>
      </c>
      <c r="EO11" s="57"/>
      <c r="EP11" s="57">
        <v>30.2</v>
      </c>
      <c r="EQ11" s="57">
        <v>62.4</v>
      </c>
      <c r="ER11" s="57">
        <v>2E-3</v>
      </c>
      <c r="ES11" s="58">
        <v>0.5</v>
      </c>
      <c r="ET11" s="47"/>
      <c r="EU11" s="51" t="s">
        <v>44</v>
      </c>
      <c r="EV11" s="51" t="s">
        <v>44</v>
      </c>
      <c r="EW11" s="55" t="s">
        <v>47</v>
      </c>
      <c r="EX11" s="59" t="s">
        <v>44</v>
      </c>
      <c r="EY11" s="54"/>
      <c r="EZ11" s="51" t="s">
        <v>44</v>
      </c>
      <c r="FA11" s="51" t="s">
        <v>44</v>
      </c>
      <c r="FB11" s="55" t="s">
        <v>47</v>
      </c>
      <c r="FC11" s="59" t="s">
        <v>44</v>
      </c>
      <c r="FD11" s="55"/>
      <c r="FE11" s="51" t="s">
        <v>44</v>
      </c>
      <c r="FF11" s="51" t="s">
        <v>44</v>
      </c>
      <c r="FG11" s="55" t="s">
        <v>47</v>
      </c>
      <c r="FH11" s="59" t="s">
        <v>44</v>
      </c>
      <c r="FI11" s="55"/>
      <c r="FJ11" s="52" t="s">
        <v>45</v>
      </c>
      <c r="FK11" s="52" t="s">
        <v>45</v>
      </c>
      <c r="FL11" s="52" t="s">
        <v>45</v>
      </c>
      <c r="FM11" s="60" t="s">
        <v>45</v>
      </c>
    </row>
    <row r="12" spans="2:169" ht="16.5" customHeight="1">
      <c r="B12" s="37">
        <v>8</v>
      </c>
      <c r="C12" s="112" t="s">
        <v>58</v>
      </c>
      <c r="D12" s="39">
        <v>14.4</v>
      </c>
      <c r="E12" s="40">
        <v>35.1</v>
      </c>
      <c r="F12" s="41">
        <v>7.24</v>
      </c>
      <c r="G12" s="41">
        <v>7.56</v>
      </c>
      <c r="H12" s="42">
        <v>7.53</v>
      </c>
      <c r="I12" s="43">
        <v>7.33</v>
      </c>
      <c r="J12" s="44"/>
      <c r="K12" s="44">
        <v>3.0179999999999998</v>
      </c>
      <c r="L12" s="44">
        <v>0.62050000000000005</v>
      </c>
      <c r="M12" s="44">
        <v>1.5740000000000001</v>
      </c>
      <c r="N12" s="46">
        <v>3.8260000000000001</v>
      </c>
      <c r="O12" s="44"/>
      <c r="P12" s="45">
        <v>18.2</v>
      </c>
      <c r="Q12" s="45">
        <v>17.87</v>
      </c>
      <c r="R12" s="44">
        <v>12.83</v>
      </c>
      <c r="S12" s="46">
        <v>18.579999999999998</v>
      </c>
      <c r="T12" s="44"/>
      <c r="U12" s="45">
        <v>11.2</v>
      </c>
      <c r="V12" s="45">
        <v>10.23</v>
      </c>
      <c r="W12" s="44">
        <v>8.18</v>
      </c>
      <c r="X12" s="46">
        <v>11.93</v>
      </c>
      <c r="Y12" s="44"/>
      <c r="Z12" s="45">
        <v>17.600000000000001</v>
      </c>
      <c r="AA12" s="45">
        <v>16.8</v>
      </c>
      <c r="AB12" s="44">
        <v>12.2</v>
      </c>
      <c r="AC12" s="46">
        <v>17.3</v>
      </c>
      <c r="AD12" s="44"/>
      <c r="AE12" s="45">
        <v>10.9</v>
      </c>
      <c r="AF12" s="45">
        <v>10.4</v>
      </c>
      <c r="AG12" s="44">
        <v>8.4</v>
      </c>
      <c r="AH12" s="46">
        <v>11.2</v>
      </c>
      <c r="AI12" s="44"/>
      <c r="AJ12" s="45">
        <v>3.65</v>
      </c>
      <c r="AK12" s="45">
        <v>1.7</v>
      </c>
      <c r="AL12" s="44">
        <v>3.1</v>
      </c>
      <c r="AM12" s="46">
        <v>3.73</v>
      </c>
      <c r="AN12" s="44"/>
      <c r="AO12" s="45">
        <v>1.6163215</v>
      </c>
      <c r="AP12" s="45">
        <v>1.7853479999999999</v>
      </c>
      <c r="AQ12" s="44">
        <v>2.1658714799999998</v>
      </c>
      <c r="AR12" s="46">
        <v>1.7726</v>
      </c>
      <c r="AS12" s="44"/>
      <c r="AT12" s="45">
        <v>0.7247036</v>
      </c>
      <c r="AU12" s="45">
        <v>0.71571149999999994</v>
      </c>
      <c r="AV12" s="44">
        <v>0.66765680000000005</v>
      </c>
      <c r="AW12" s="46">
        <v>0.92964999999999998</v>
      </c>
      <c r="AX12" s="44"/>
      <c r="AY12" s="45">
        <v>0.88</v>
      </c>
      <c r="AZ12" s="45">
        <v>1.53</v>
      </c>
      <c r="BA12" s="44">
        <v>1.28</v>
      </c>
      <c r="BB12" s="46">
        <v>1.65</v>
      </c>
      <c r="BC12" s="44"/>
      <c r="BD12" s="45">
        <v>15.41</v>
      </c>
      <c r="BE12" s="45">
        <v>21.26</v>
      </c>
      <c r="BF12" s="44">
        <v>91.71</v>
      </c>
      <c r="BG12" s="46">
        <v>18.510000000000002</v>
      </c>
      <c r="BH12" s="44"/>
      <c r="BI12" s="45">
        <v>0.5</v>
      </c>
      <c r="BJ12" s="45">
        <v>1</v>
      </c>
      <c r="BK12" s="44">
        <v>37.299999999999997</v>
      </c>
      <c r="BL12" s="46">
        <v>0.9</v>
      </c>
      <c r="BM12" s="47"/>
      <c r="BN12" s="48">
        <v>0</v>
      </c>
      <c r="BO12" s="48">
        <v>0.22</v>
      </c>
      <c r="BP12" s="49">
        <v>1.01</v>
      </c>
      <c r="BQ12" s="50">
        <v>0</v>
      </c>
      <c r="BR12" s="49"/>
      <c r="BS12" s="48">
        <v>7.0000000000000007E-2</v>
      </c>
      <c r="BT12" s="48">
        <v>0.44</v>
      </c>
      <c r="BU12" s="49">
        <v>6.29</v>
      </c>
      <c r="BV12" s="50">
        <v>0</v>
      </c>
      <c r="BW12" s="49"/>
      <c r="BX12" s="48">
        <v>0.13</v>
      </c>
      <c r="BY12" s="48">
        <v>0.22</v>
      </c>
      <c r="BZ12" s="49">
        <v>5.28</v>
      </c>
      <c r="CA12" s="50">
        <v>0</v>
      </c>
      <c r="CB12" s="49"/>
      <c r="CC12" s="48">
        <v>0</v>
      </c>
      <c r="CD12" s="48">
        <v>0.19</v>
      </c>
      <c r="CE12" s="49">
        <v>1.01</v>
      </c>
      <c r="CF12" s="50">
        <v>0</v>
      </c>
      <c r="CG12" s="49"/>
      <c r="CH12" s="48">
        <v>0</v>
      </c>
      <c r="CI12" s="48">
        <v>0.02</v>
      </c>
      <c r="CJ12" s="49">
        <v>0</v>
      </c>
      <c r="CK12" s="50">
        <v>0</v>
      </c>
      <c r="CL12" s="49"/>
      <c r="CM12" s="48">
        <v>0</v>
      </c>
      <c r="CN12" s="48">
        <v>0</v>
      </c>
      <c r="CO12" s="49">
        <v>0</v>
      </c>
      <c r="CP12" s="50">
        <v>0</v>
      </c>
      <c r="CQ12" s="49"/>
      <c r="CR12" s="48">
        <v>0</v>
      </c>
      <c r="CS12" s="48">
        <v>0</v>
      </c>
      <c r="CT12" s="49">
        <v>0</v>
      </c>
      <c r="CU12" s="50">
        <v>0</v>
      </c>
      <c r="CV12" s="49"/>
      <c r="CW12" s="48">
        <v>0</v>
      </c>
      <c r="CX12" s="48">
        <v>0</v>
      </c>
      <c r="CY12" s="49">
        <v>0</v>
      </c>
      <c r="CZ12" s="50">
        <v>0</v>
      </c>
      <c r="DA12" s="49"/>
      <c r="DB12" s="48">
        <v>0</v>
      </c>
      <c r="DC12" s="48">
        <v>0</v>
      </c>
      <c r="DD12" s="49">
        <v>0</v>
      </c>
      <c r="DE12" s="50">
        <v>0</v>
      </c>
      <c r="DF12" s="49"/>
      <c r="DG12" s="48">
        <v>0</v>
      </c>
      <c r="DH12" s="48">
        <v>0</v>
      </c>
      <c r="DI12" s="49">
        <v>0</v>
      </c>
      <c r="DJ12" s="50">
        <v>0</v>
      </c>
      <c r="DK12" s="49"/>
      <c r="DL12" s="48">
        <v>0</v>
      </c>
      <c r="DM12" s="48">
        <v>0</v>
      </c>
      <c r="DN12" s="49">
        <v>0</v>
      </c>
      <c r="DO12" s="50">
        <v>0</v>
      </c>
      <c r="DP12" s="47"/>
      <c r="DQ12" s="51" t="s">
        <v>44</v>
      </c>
      <c r="DR12" s="52" t="s">
        <v>45</v>
      </c>
      <c r="DS12" s="52" t="s">
        <v>45</v>
      </c>
      <c r="DT12" s="53" t="s">
        <v>46</v>
      </c>
      <c r="DU12" s="54"/>
      <c r="DV12" s="51" t="s">
        <v>44</v>
      </c>
      <c r="DW12" s="55" t="s">
        <v>47</v>
      </c>
      <c r="DX12" s="47" t="s">
        <v>47</v>
      </c>
      <c r="DY12" s="56" t="s">
        <v>44</v>
      </c>
      <c r="DZ12" s="47"/>
      <c r="EA12" s="57">
        <v>33.6</v>
      </c>
      <c r="EB12" s="57">
        <v>62.2</v>
      </c>
      <c r="EC12" s="57">
        <v>1E-3</v>
      </c>
      <c r="ED12" s="58">
        <v>0.2</v>
      </c>
      <c r="EE12" s="57"/>
      <c r="EF12" s="57">
        <v>31.3</v>
      </c>
      <c r="EG12" s="57">
        <v>57</v>
      </c>
      <c r="EH12" s="57">
        <v>5.0000000000000001E-3</v>
      </c>
      <c r="EI12" s="58">
        <v>0.5</v>
      </c>
      <c r="EJ12" s="57"/>
      <c r="EK12" s="57">
        <v>30.7</v>
      </c>
      <c r="EL12" s="57">
        <v>55.7</v>
      </c>
      <c r="EM12" s="57">
        <v>3.0000000000000001E-3</v>
      </c>
      <c r="EN12" s="58">
        <v>0.8</v>
      </c>
      <c r="EO12" s="57"/>
      <c r="EP12" s="57">
        <v>27.8</v>
      </c>
      <c r="EQ12" s="57">
        <v>59.2</v>
      </c>
      <c r="ER12" s="57">
        <v>1E-3</v>
      </c>
      <c r="ES12" s="58">
        <v>0.5</v>
      </c>
      <c r="ET12" s="47"/>
      <c r="EU12" s="51" t="s">
        <v>44</v>
      </c>
      <c r="EV12" s="51" t="s">
        <v>44</v>
      </c>
      <c r="EW12" s="55" t="s">
        <v>47</v>
      </c>
      <c r="EX12" s="59" t="s">
        <v>44</v>
      </c>
      <c r="EY12" s="54"/>
      <c r="EZ12" s="51" t="s">
        <v>44</v>
      </c>
      <c r="FA12" s="51" t="s">
        <v>44</v>
      </c>
      <c r="FB12" s="55" t="s">
        <v>47</v>
      </c>
      <c r="FC12" s="59" t="s">
        <v>44</v>
      </c>
      <c r="FD12" s="55"/>
      <c r="FE12" s="51" t="s">
        <v>44</v>
      </c>
      <c r="FF12" s="51" t="s">
        <v>44</v>
      </c>
      <c r="FG12" s="55" t="s">
        <v>47</v>
      </c>
      <c r="FH12" s="59" t="s">
        <v>44</v>
      </c>
      <c r="FI12" s="55"/>
      <c r="FJ12" s="52" t="s">
        <v>45</v>
      </c>
      <c r="FK12" s="52" t="s">
        <v>45</v>
      </c>
      <c r="FL12" s="52" t="s">
        <v>45</v>
      </c>
      <c r="FM12" s="60" t="s">
        <v>45</v>
      </c>
    </row>
    <row r="13" spans="2:169" ht="16.5" customHeight="1">
      <c r="B13" s="37">
        <v>9</v>
      </c>
      <c r="C13" s="38" t="s">
        <v>59</v>
      </c>
      <c r="D13" s="39">
        <v>39</v>
      </c>
      <c r="E13" s="40">
        <v>36.200000000000003</v>
      </c>
      <c r="F13" s="41">
        <v>8.0500000000000007</v>
      </c>
      <c r="G13" s="41">
        <v>8.32</v>
      </c>
      <c r="H13" s="42">
        <v>7.85</v>
      </c>
      <c r="I13" s="43">
        <v>7.98</v>
      </c>
      <c r="J13" s="44"/>
      <c r="K13" s="42">
        <v>13.856</v>
      </c>
      <c r="L13" s="44">
        <v>1.2427999999999999</v>
      </c>
      <c r="M13" s="44">
        <v>5.3109999999999999</v>
      </c>
      <c r="N13" s="46">
        <v>3.6739999999999999</v>
      </c>
      <c r="O13" s="44"/>
      <c r="P13" s="45">
        <v>45</v>
      </c>
      <c r="Q13" s="45">
        <v>47.6</v>
      </c>
      <c r="R13" s="44">
        <v>43.25</v>
      </c>
      <c r="S13" s="46">
        <v>61.78</v>
      </c>
      <c r="T13" s="44"/>
      <c r="U13" s="45">
        <v>26.05</v>
      </c>
      <c r="V13" s="45">
        <v>26.4</v>
      </c>
      <c r="W13" s="44">
        <v>26.47</v>
      </c>
      <c r="X13" s="46">
        <v>36.979999999999997</v>
      </c>
      <c r="Y13" s="44"/>
      <c r="Z13" s="45">
        <v>42.7</v>
      </c>
      <c r="AA13" s="45">
        <v>26</v>
      </c>
      <c r="AB13" s="44">
        <v>58.6</v>
      </c>
      <c r="AC13" s="46">
        <v>55.9</v>
      </c>
      <c r="AD13" s="44"/>
      <c r="AE13" s="45">
        <v>24.8</v>
      </c>
      <c r="AF13" s="45">
        <v>17.3</v>
      </c>
      <c r="AG13" s="44">
        <v>40.1</v>
      </c>
      <c r="AH13" s="46">
        <v>35.5</v>
      </c>
      <c r="AI13" s="44"/>
      <c r="AJ13" s="45">
        <v>8.1</v>
      </c>
      <c r="AK13" s="45">
        <v>5.67</v>
      </c>
      <c r="AL13" s="42">
        <v>10.96</v>
      </c>
      <c r="AM13" s="46">
        <v>7.64</v>
      </c>
      <c r="AN13" s="44"/>
      <c r="AO13" s="45">
        <v>6.9406739999999996</v>
      </c>
      <c r="AP13" s="45">
        <v>8.197813</v>
      </c>
      <c r="AQ13" s="44">
        <v>7.94152608</v>
      </c>
      <c r="AR13" s="46">
        <v>7.3253000000000004</v>
      </c>
      <c r="AS13" s="44"/>
      <c r="AT13" s="45">
        <v>3.8136730000000001</v>
      </c>
      <c r="AU13" s="45">
        <v>1.50803825</v>
      </c>
      <c r="AV13" s="44">
        <v>3.264335</v>
      </c>
      <c r="AW13" s="46">
        <v>1.1398999999999999</v>
      </c>
      <c r="AX13" s="44"/>
      <c r="AY13" s="45">
        <v>2.52</v>
      </c>
      <c r="AZ13" s="45">
        <v>3.12</v>
      </c>
      <c r="BA13" s="44">
        <v>2.5299999999999998</v>
      </c>
      <c r="BB13" s="46">
        <v>3.45</v>
      </c>
      <c r="BC13" s="44"/>
      <c r="BD13" s="45">
        <v>50.3</v>
      </c>
      <c r="BE13" s="41">
        <v>117.91</v>
      </c>
      <c r="BF13" s="44">
        <v>51.03</v>
      </c>
      <c r="BG13" s="46">
        <v>45.1</v>
      </c>
      <c r="BH13" s="44"/>
      <c r="BI13" s="45">
        <v>16.3</v>
      </c>
      <c r="BJ13" s="45">
        <v>11.1</v>
      </c>
      <c r="BK13" s="44">
        <v>10.9</v>
      </c>
      <c r="BL13" s="46">
        <v>9.6</v>
      </c>
      <c r="BM13" s="47"/>
      <c r="BN13" s="48">
        <v>0.05</v>
      </c>
      <c r="BO13" s="48">
        <v>0.33</v>
      </c>
      <c r="BP13" s="49">
        <v>7.0000000000000007E-2</v>
      </c>
      <c r="BQ13" s="50">
        <v>0</v>
      </c>
      <c r="BR13" s="49"/>
      <c r="BS13" s="48">
        <v>0.05</v>
      </c>
      <c r="BT13" s="48">
        <v>0.44</v>
      </c>
      <c r="BU13" s="49">
        <v>7.0000000000000007E-2</v>
      </c>
      <c r="BV13" s="50">
        <v>0</v>
      </c>
      <c r="BW13" s="49"/>
      <c r="BX13" s="48">
        <v>0</v>
      </c>
      <c r="BY13" s="48">
        <v>0.11</v>
      </c>
      <c r="BZ13" s="49">
        <v>0</v>
      </c>
      <c r="CA13" s="50">
        <v>0</v>
      </c>
      <c r="CB13" s="49"/>
      <c r="CC13" s="48">
        <v>0.04</v>
      </c>
      <c r="CD13" s="48">
        <v>0.19</v>
      </c>
      <c r="CE13" s="49">
        <v>7.0000000000000007E-2</v>
      </c>
      <c r="CF13" s="50">
        <v>0</v>
      </c>
      <c r="CG13" s="49"/>
      <c r="CH13" s="48">
        <v>0.01</v>
      </c>
      <c r="CI13" s="48">
        <v>0.12</v>
      </c>
      <c r="CJ13" s="49">
        <v>0</v>
      </c>
      <c r="CK13" s="50">
        <v>0</v>
      </c>
      <c r="CL13" s="49"/>
      <c r="CM13" s="48">
        <v>0</v>
      </c>
      <c r="CN13" s="48">
        <v>0</v>
      </c>
      <c r="CO13" s="49">
        <v>0</v>
      </c>
      <c r="CP13" s="50">
        <v>0</v>
      </c>
      <c r="CQ13" s="49"/>
      <c r="CR13" s="48">
        <v>0</v>
      </c>
      <c r="CS13" s="48">
        <v>0</v>
      </c>
      <c r="CT13" s="49">
        <v>0</v>
      </c>
      <c r="CU13" s="50">
        <v>0</v>
      </c>
      <c r="CV13" s="49"/>
      <c r="CW13" s="48">
        <v>0</v>
      </c>
      <c r="CX13" s="48">
        <v>0</v>
      </c>
      <c r="CY13" s="49">
        <v>0</v>
      </c>
      <c r="CZ13" s="50">
        <v>0</v>
      </c>
      <c r="DA13" s="49"/>
      <c r="DB13" s="48">
        <v>0</v>
      </c>
      <c r="DC13" s="48">
        <v>0.02</v>
      </c>
      <c r="DD13" s="49">
        <v>0</v>
      </c>
      <c r="DE13" s="50">
        <v>0</v>
      </c>
      <c r="DF13" s="49"/>
      <c r="DG13" s="48">
        <v>0</v>
      </c>
      <c r="DH13" s="48">
        <v>0</v>
      </c>
      <c r="DI13" s="49">
        <v>0</v>
      </c>
      <c r="DJ13" s="50">
        <v>0</v>
      </c>
      <c r="DK13" s="49"/>
      <c r="DL13" s="48">
        <v>0</v>
      </c>
      <c r="DM13" s="48">
        <v>0</v>
      </c>
      <c r="DN13" s="49">
        <v>0</v>
      </c>
      <c r="DO13" s="50">
        <v>0</v>
      </c>
      <c r="DP13" s="47"/>
      <c r="DQ13" s="51" t="s">
        <v>44</v>
      </c>
      <c r="DR13" s="52" t="s">
        <v>45</v>
      </c>
      <c r="DS13" s="52" t="s">
        <v>45</v>
      </c>
      <c r="DT13" s="53" t="s">
        <v>46</v>
      </c>
      <c r="DU13" s="54"/>
      <c r="DV13" s="51" t="s">
        <v>44</v>
      </c>
      <c r="DW13" s="55" t="s">
        <v>47</v>
      </c>
      <c r="DX13" s="47" t="s">
        <v>47</v>
      </c>
      <c r="DY13" s="56" t="s">
        <v>44</v>
      </c>
      <c r="DZ13" s="47"/>
      <c r="EA13" s="57">
        <v>36.799999999999997</v>
      </c>
      <c r="EB13" s="57">
        <v>59.5</v>
      </c>
      <c r="EC13" s="57">
        <v>6.8000000000000005E-2</v>
      </c>
      <c r="ED13" s="58">
        <v>0.3</v>
      </c>
      <c r="EE13" s="57"/>
      <c r="EF13" s="57">
        <v>26.7</v>
      </c>
      <c r="EG13" s="57">
        <v>65</v>
      </c>
      <c r="EH13" s="57">
        <v>0.01</v>
      </c>
      <c r="EI13" s="58">
        <v>1.1000000000000001</v>
      </c>
      <c r="EJ13" s="57"/>
      <c r="EK13" s="57">
        <v>43.1</v>
      </c>
      <c r="EL13" s="57">
        <v>60.9</v>
      </c>
      <c r="EM13" s="57">
        <v>3.2000000000000001E-2</v>
      </c>
      <c r="EN13" s="58">
        <v>0.1</v>
      </c>
      <c r="EO13" s="57"/>
      <c r="EP13" s="57">
        <v>38.93</v>
      </c>
      <c r="EQ13" s="57">
        <v>60.47</v>
      </c>
      <c r="ER13" s="57">
        <v>8.5000000000000006E-2</v>
      </c>
      <c r="ES13" s="58">
        <v>0.1</v>
      </c>
      <c r="ET13" s="47"/>
      <c r="EU13" s="51" t="s">
        <v>44</v>
      </c>
      <c r="EV13" s="51" t="s">
        <v>44</v>
      </c>
      <c r="EW13" s="55" t="s">
        <v>47</v>
      </c>
      <c r="EX13" s="59" t="s">
        <v>44</v>
      </c>
      <c r="EY13" s="54"/>
      <c r="EZ13" s="51" t="s">
        <v>44</v>
      </c>
      <c r="FA13" s="51" t="s">
        <v>44</v>
      </c>
      <c r="FB13" s="55" t="s">
        <v>47</v>
      </c>
      <c r="FC13" s="59" t="s">
        <v>44</v>
      </c>
      <c r="FD13" s="55"/>
      <c r="FE13" s="51" t="s">
        <v>44</v>
      </c>
      <c r="FF13" s="51" t="s">
        <v>44</v>
      </c>
      <c r="FG13" s="55" t="s">
        <v>47</v>
      </c>
      <c r="FH13" s="59" t="s">
        <v>44</v>
      </c>
      <c r="FI13" s="55"/>
      <c r="FJ13" s="52" t="s">
        <v>45</v>
      </c>
      <c r="FK13" s="52" t="s">
        <v>45</v>
      </c>
      <c r="FL13" s="52" t="s">
        <v>45</v>
      </c>
      <c r="FM13" s="60" t="s">
        <v>45</v>
      </c>
    </row>
    <row r="14" spans="2:169" ht="16.5" customHeight="1">
      <c r="B14" s="37">
        <v>10</v>
      </c>
      <c r="C14" s="112" t="s">
        <v>60</v>
      </c>
      <c r="D14" s="39">
        <v>22.3</v>
      </c>
      <c r="E14" s="40">
        <v>36.6</v>
      </c>
      <c r="F14" s="41">
        <v>7.26</v>
      </c>
      <c r="G14" s="41">
        <v>7.35</v>
      </c>
      <c r="H14" s="42">
        <v>7.38</v>
      </c>
      <c r="I14" s="43">
        <v>7.69</v>
      </c>
      <c r="J14" s="44"/>
      <c r="K14" s="44">
        <v>3.8420000000000001</v>
      </c>
      <c r="L14" s="44">
        <v>0</v>
      </c>
      <c r="M14" s="44">
        <v>1.9330000000000001</v>
      </c>
      <c r="N14" s="46">
        <v>3.7349999999999999</v>
      </c>
      <c r="O14" s="44"/>
      <c r="P14" s="45">
        <v>28.9</v>
      </c>
      <c r="Q14" s="45">
        <v>32.9</v>
      </c>
      <c r="R14" s="44">
        <v>35.03</v>
      </c>
      <c r="S14" s="46">
        <v>27.7</v>
      </c>
      <c r="T14" s="44"/>
      <c r="U14" s="45">
        <v>15.8</v>
      </c>
      <c r="V14" s="45">
        <v>17.899999999999999</v>
      </c>
      <c r="W14" s="44">
        <v>18.68</v>
      </c>
      <c r="X14" s="46">
        <v>16.18</v>
      </c>
      <c r="Y14" s="44"/>
      <c r="Z14" s="45">
        <v>28.9</v>
      </c>
      <c r="AA14" s="45">
        <v>27.6</v>
      </c>
      <c r="AB14" s="44">
        <v>52.2</v>
      </c>
      <c r="AC14" s="46">
        <v>28.1</v>
      </c>
      <c r="AD14" s="44"/>
      <c r="AE14" s="45">
        <v>16.3</v>
      </c>
      <c r="AF14" s="45">
        <v>16.100000000000001</v>
      </c>
      <c r="AG14" s="44">
        <v>29.2</v>
      </c>
      <c r="AH14" s="46">
        <v>16.5</v>
      </c>
      <c r="AI14" s="44"/>
      <c r="AJ14" s="45">
        <v>5.28</v>
      </c>
      <c r="AK14" s="45">
        <v>3.39</v>
      </c>
      <c r="AL14" s="42">
        <v>10.89</v>
      </c>
      <c r="AM14" s="46">
        <v>6.54</v>
      </c>
      <c r="AN14" s="44"/>
      <c r="AO14" s="45">
        <v>2.0864275000000001</v>
      </c>
      <c r="AP14" s="45">
        <v>1.9015565000000001</v>
      </c>
      <c r="AQ14" s="44">
        <v>3.0900265500000001</v>
      </c>
      <c r="AR14" s="46">
        <v>2.6579000000000002</v>
      </c>
      <c r="AS14" s="44"/>
      <c r="AT14" s="45">
        <v>0.84724820000000001</v>
      </c>
      <c r="AU14" s="45">
        <v>0.65709269999999997</v>
      </c>
      <c r="AV14" s="44">
        <v>0.83245820000000004</v>
      </c>
      <c r="AW14" s="46">
        <v>1.3533599999999999</v>
      </c>
      <c r="AX14" s="44"/>
      <c r="AY14" s="45">
        <v>1.85</v>
      </c>
      <c r="AZ14" s="45">
        <v>2.6</v>
      </c>
      <c r="BA14" s="44">
        <v>2.5299999999999998</v>
      </c>
      <c r="BB14" s="46">
        <v>1.3</v>
      </c>
      <c r="BC14" s="44"/>
      <c r="BD14" s="45">
        <v>19.260000000000002</v>
      </c>
      <c r="BE14" s="45">
        <v>36.9</v>
      </c>
      <c r="BF14" s="44">
        <v>33.6</v>
      </c>
      <c r="BG14" s="46">
        <v>12.54</v>
      </c>
      <c r="BH14" s="44"/>
      <c r="BI14" s="45">
        <v>0.3</v>
      </c>
      <c r="BJ14" s="45">
        <v>0.8</v>
      </c>
      <c r="BK14" s="44">
        <v>1</v>
      </c>
      <c r="BL14" s="46">
        <v>0.4</v>
      </c>
      <c r="BM14" s="47"/>
      <c r="BN14" s="48">
        <v>0</v>
      </c>
      <c r="BO14" s="48">
        <v>0.02</v>
      </c>
      <c r="BP14" s="49">
        <v>0</v>
      </c>
      <c r="BQ14" s="50">
        <v>0</v>
      </c>
      <c r="BR14" s="49"/>
      <c r="BS14" s="48">
        <v>0</v>
      </c>
      <c r="BT14" s="48">
        <v>0.02</v>
      </c>
      <c r="BU14" s="49">
        <v>0.02</v>
      </c>
      <c r="BV14" s="50">
        <v>0</v>
      </c>
      <c r="BW14" s="49"/>
      <c r="BX14" s="48">
        <v>0</v>
      </c>
      <c r="BY14" s="48">
        <v>0</v>
      </c>
      <c r="BZ14" s="49">
        <v>0.02</v>
      </c>
      <c r="CA14" s="50">
        <v>0</v>
      </c>
      <c r="CB14" s="49"/>
      <c r="CC14" s="48">
        <v>0</v>
      </c>
      <c r="CD14" s="48">
        <v>0.01</v>
      </c>
      <c r="CE14" s="49">
        <v>0</v>
      </c>
      <c r="CF14" s="50">
        <v>0</v>
      </c>
      <c r="CG14" s="49"/>
      <c r="CH14" s="48">
        <v>0</v>
      </c>
      <c r="CI14" s="48">
        <v>0.01</v>
      </c>
      <c r="CJ14" s="49">
        <v>0</v>
      </c>
      <c r="CK14" s="50">
        <v>0</v>
      </c>
      <c r="CL14" s="49"/>
      <c r="CM14" s="48">
        <v>0</v>
      </c>
      <c r="CN14" s="48">
        <v>0</v>
      </c>
      <c r="CO14" s="49">
        <v>0</v>
      </c>
      <c r="CP14" s="50">
        <v>0</v>
      </c>
      <c r="CQ14" s="49"/>
      <c r="CR14" s="48">
        <v>0</v>
      </c>
      <c r="CS14" s="48">
        <v>0</v>
      </c>
      <c r="CT14" s="49">
        <v>0</v>
      </c>
      <c r="CU14" s="50">
        <v>0</v>
      </c>
      <c r="CV14" s="49"/>
      <c r="CW14" s="48">
        <v>0</v>
      </c>
      <c r="CX14" s="48">
        <v>0</v>
      </c>
      <c r="CY14" s="49">
        <v>0</v>
      </c>
      <c r="CZ14" s="50">
        <v>0</v>
      </c>
      <c r="DA14" s="49"/>
      <c r="DB14" s="48">
        <v>0</v>
      </c>
      <c r="DC14" s="48">
        <v>0</v>
      </c>
      <c r="DD14" s="49">
        <v>0</v>
      </c>
      <c r="DE14" s="50">
        <v>0</v>
      </c>
      <c r="DF14" s="49"/>
      <c r="DG14" s="48">
        <v>0</v>
      </c>
      <c r="DH14" s="48">
        <v>0</v>
      </c>
      <c r="DI14" s="49">
        <v>0</v>
      </c>
      <c r="DJ14" s="50">
        <v>0</v>
      </c>
      <c r="DK14" s="49"/>
      <c r="DL14" s="48">
        <v>0</v>
      </c>
      <c r="DM14" s="48">
        <v>0</v>
      </c>
      <c r="DN14" s="49">
        <v>0</v>
      </c>
      <c r="DO14" s="50">
        <v>0</v>
      </c>
      <c r="DP14" s="47"/>
      <c r="DQ14" s="51" t="s">
        <v>44</v>
      </c>
      <c r="DR14" s="52" t="s">
        <v>45</v>
      </c>
      <c r="DS14" s="52" t="s">
        <v>45</v>
      </c>
      <c r="DT14" s="53" t="s">
        <v>46</v>
      </c>
      <c r="DU14" s="54"/>
      <c r="DV14" s="51" t="s">
        <v>44</v>
      </c>
      <c r="DW14" s="55" t="s">
        <v>47</v>
      </c>
      <c r="DX14" s="47" t="s">
        <v>47</v>
      </c>
      <c r="DY14" s="56" t="s">
        <v>44</v>
      </c>
      <c r="DZ14" s="47"/>
      <c r="EA14" s="57">
        <v>27.9</v>
      </c>
      <c r="EB14" s="57">
        <v>67.5</v>
      </c>
      <c r="EC14" s="57">
        <v>1E-3</v>
      </c>
      <c r="ED14" s="58">
        <v>0.3</v>
      </c>
      <c r="EE14" s="57"/>
      <c r="EF14" s="57">
        <v>36</v>
      </c>
      <c r="EG14" s="57">
        <v>54.3</v>
      </c>
      <c r="EH14" s="57">
        <v>5.6000000000000001E-2</v>
      </c>
      <c r="EI14" s="58">
        <v>1.8</v>
      </c>
      <c r="EJ14" s="57"/>
      <c r="EK14" s="57">
        <v>38.200000000000003</v>
      </c>
      <c r="EL14" s="57">
        <v>60.5</v>
      </c>
      <c r="EM14" s="57">
        <v>5.1999999999999998E-2</v>
      </c>
      <c r="EN14" s="58">
        <v>0.1</v>
      </c>
      <c r="EO14" s="57"/>
      <c r="EP14" s="57">
        <v>34.299999999999997</v>
      </c>
      <c r="EQ14" s="57">
        <v>64.099999999999994</v>
      </c>
      <c r="ER14" s="57">
        <v>0.14099999999999999</v>
      </c>
      <c r="ES14" s="58">
        <v>0.1</v>
      </c>
      <c r="ET14" s="47"/>
      <c r="EU14" s="51" t="s">
        <v>44</v>
      </c>
      <c r="EV14" s="51" t="s">
        <v>44</v>
      </c>
      <c r="EW14" s="55" t="s">
        <v>47</v>
      </c>
      <c r="EX14" s="56" t="s">
        <v>44</v>
      </c>
      <c r="EY14" s="54"/>
      <c r="EZ14" s="51" t="s">
        <v>44</v>
      </c>
      <c r="FA14" s="51" t="s">
        <v>44</v>
      </c>
      <c r="FB14" s="55" t="s">
        <v>47</v>
      </c>
      <c r="FC14" s="56" t="s">
        <v>44</v>
      </c>
      <c r="FD14" s="47"/>
      <c r="FE14" s="51" t="s">
        <v>44</v>
      </c>
      <c r="FF14" s="51" t="s">
        <v>44</v>
      </c>
      <c r="FG14" s="55" t="s">
        <v>47</v>
      </c>
      <c r="FH14" s="56" t="s">
        <v>44</v>
      </c>
      <c r="FI14" s="47"/>
      <c r="FJ14" s="52" t="s">
        <v>45</v>
      </c>
      <c r="FK14" s="52" t="s">
        <v>45</v>
      </c>
      <c r="FL14" s="52" t="s">
        <v>45</v>
      </c>
      <c r="FM14" s="60" t="s">
        <v>45</v>
      </c>
    </row>
    <row r="15" spans="2:169" ht="16.5" customHeight="1">
      <c r="B15" s="37">
        <v>11</v>
      </c>
      <c r="C15" s="112" t="s">
        <v>61</v>
      </c>
      <c r="D15" s="39">
        <v>36</v>
      </c>
      <c r="E15" s="40">
        <v>33</v>
      </c>
      <c r="F15" s="41">
        <v>7.4</v>
      </c>
      <c r="G15" s="41">
        <v>7.37</v>
      </c>
      <c r="H15" s="42">
        <v>7.28</v>
      </c>
      <c r="I15" s="43">
        <v>7.59</v>
      </c>
      <c r="J15" s="44"/>
      <c r="K15" s="44">
        <v>1.7730999999999999</v>
      </c>
      <c r="L15" s="44">
        <v>0.49430000000000002</v>
      </c>
      <c r="M15" s="44">
        <v>1.44</v>
      </c>
      <c r="N15" s="46">
        <v>3.3849999999999998</v>
      </c>
      <c r="O15" s="44"/>
      <c r="P15" s="45">
        <v>36.4</v>
      </c>
      <c r="Q15" s="45">
        <v>25.98</v>
      </c>
      <c r="R15" s="44">
        <v>25.85</v>
      </c>
      <c r="S15" s="46">
        <v>25.13</v>
      </c>
      <c r="T15" s="44"/>
      <c r="U15" s="45">
        <v>19.079999999999998</v>
      </c>
      <c r="V15" s="45">
        <v>14.78</v>
      </c>
      <c r="W15" s="44">
        <v>15.85</v>
      </c>
      <c r="X15" s="46">
        <v>15.8</v>
      </c>
      <c r="Y15" s="44"/>
      <c r="Z15" s="45">
        <v>35.6</v>
      </c>
      <c r="AA15" s="45">
        <v>24.6</v>
      </c>
      <c r="AB15" s="44">
        <v>26.2</v>
      </c>
      <c r="AC15" s="46">
        <v>24.6</v>
      </c>
      <c r="AD15" s="44"/>
      <c r="AE15" s="45">
        <v>20.100000000000001</v>
      </c>
      <c r="AF15" s="45">
        <v>15.3</v>
      </c>
      <c r="AG15" s="44">
        <v>16.600000000000001</v>
      </c>
      <c r="AH15" s="46">
        <v>16.3</v>
      </c>
      <c r="AI15" s="44"/>
      <c r="AJ15" s="45">
        <v>4.88</v>
      </c>
      <c r="AK15" s="45">
        <v>2.68</v>
      </c>
      <c r="AL15" s="44">
        <v>8.02</v>
      </c>
      <c r="AM15" s="46">
        <v>6.36</v>
      </c>
      <c r="AN15" s="44"/>
      <c r="AO15" s="45">
        <v>1.6374500000000001</v>
      </c>
      <c r="AP15" s="45">
        <v>1.7853479999999999</v>
      </c>
      <c r="AQ15" s="44">
        <v>2.7937010500000001</v>
      </c>
      <c r="AR15" s="46">
        <v>2.8658000000000001</v>
      </c>
      <c r="AS15" s="44"/>
      <c r="AT15" s="45">
        <v>0.44263960000000002</v>
      </c>
      <c r="AU15" s="45">
        <v>0.3623518</v>
      </c>
      <c r="AV15" s="44">
        <v>0.53454760000000001</v>
      </c>
      <c r="AW15" s="46">
        <v>1.1842999999999999</v>
      </c>
      <c r="AX15" s="44"/>
      <c r="AY15" s="45">
        <v>1.8</v>
      </c>
      <c r="AZ15" s="45">
        <v>1.77</v>
      </c>
      <c r="BA15" s="44">
        <v>4.25</v>
      </c>
      <c r="BB15" s="46">
        <v>1.75</v>
      </c>
      <c r="BC15" s="44"/>
      <c r="BD15" s="45">
        <v>20.52</v>
      </c>
      <c r="BE15" s="45">
        <v>43.86</v>
      </c>
      <c r="BF15" s="44">
        <v>25.97</v>
      </c>
      <c r="BG15" s="46">
        <v>27.38</v>
      </c>
      <c r="BH15" s="44"/>
      <c r="BI15" s="45">
        <v>0.6</v>
      </c>
      <c r="BJ15" s="45">
        <v>0.3</v>
      </c>
      <c r="BK15" s="44">
        <v>0.4</v>
      </c>
      <c r="BL15" s="46">
        <v>0.4</v>
      </c>
      <c r="BM15" s="47"/>
      <c r="BN15" s="48">
        <v>0</v>
      </c>
      <c r="BO15" s="48">
        <v>0.03</v>
      </c>
      <c r="BP15" s="49">
        <v>0.01</v>
      </c>
      <c r="BQ15" s="50">
        <v>0</v>
      </c>
      <c r="BR15" s="49"/>
      <c r="BS15" s="48">
        <v>0</v>
      </c>
      <c r="BT15" s="48">
        <v>0.03</v>
      </c>
      <c r="BU15" s="49">
        <v>0.01</v>
      </c>
      <c r="BV15" s="50">
        <v>0</v>
      </c>
      <c r="BW15" s="49"/>
      <c r="BX15" s="48">
        <v>0</v>
      </c>
      <c r="BY15" s="48">
        <v>0</v>
      </c>
      <c r="BZ15" s="49">
        <v>0</v>
      </c>
      <c r="CA15" s="50">
        <v>0</v>
      </c>
      <c r="CB15" s="49"/>
      <c r="CC15" s="48">
        <v>0</v>
      </c>
      <c r="CD15" s="48">
        <v>0.01</v>
      </c>
      <c r="CE15" s="49">
        <v>0.01</v>
      </c>
      <c r="CF15" s="50">
        <v>0</v>
      </c>
      <c r="CG15" s="49"/>
      <c r="CH15" s="48">
        <v>0</v>
      </c>
      <c r="CI15" s="48">
        <v>0.01</v>
      </c>
      <c r="CJ15" s="49">
        <v>0</v>
      </c>
      <c r="CK15" s="50">
        <v>0</v>
      </c>
      <c r="CL15" s="49"/>
      <c r="CM15" s="48">
        <v>0</v>
      </c>
      <c r="CN15" s="48">
        <v>0</v>
      </c>
      <c r="CO15" s="49">
        <v>0</v>
      </c>
      <c r="CP15" s="50">
        <v>0</v>
      </c>
      <c r="CQ15" s="49"/>
      <c r="CR15" s="48">
        <v>0</v>
      </c>
      <c r="CS15" s="48">
        <v>0</v>
      </c>
      <c r="CT15" s="49">
        <v>0</v>
      </c>
      <c r="CU15" s="50">
        <v>0</v>
      </c>
      <c r="CV15" s="49"/>
      <c r="CW15" s="48">
        <v>0</v>
      </c>
      <c r="CX15" s="48">
        <v>0</v>
      </c>
      <c r="CY15" s="49">
        <v>0</v>
      </c>
      <c r="CZ15" s="50">
        <v>0</v>
      </c>
      <c r="DA15" s="49"/>
      <c r="DB15" s="48">
        <v>0</v>
      </c>
      <c r="DC15" s="48">
        <v>0</v>
      </c>
      <c r="DD15" s="49">
        <v>0</v>
      </c>
      <c r="DE15" s="50">
        <v>0</v>
      </c>
      <c r="DF15" s="49"/>
      <c r="DG15" s="48">
        <v>0</v>
      </c>
      <c r="DH15" s="48">
        <v>0</v>
      </c>
      <c r="DI15" s="49">
        <v>0</v>
      </c>
      <c r="DJ15" s="50">
        <v>0</v>
      </c>
      <c r="DK15" s="49"/>
      <c r="DL15" s="48">
        <v>0</v>
      </c>
      <c r="DM15" s="48">
        <v>0</v>
      </c>
      <c r="DN15" s="49">
        <v>0</v>
      </c>
      <c r="DO15" s="50">
        <v>0</v>
      </c>
      <c r="DP15" s="47"/>
      <c r="DQ15" s="51" t="s">
        <v>44</v>
      </c>
      <c r="DR15" s="52" t="s">
        <v>45</v>
      </c>
      <c r="DS15" s="52" t="s">
        <v>45</v>
      </c>
      <c r="DT15" s="53" t="s">
        <v>46</v>
      </c>
      <c r="DU15" s="54"/>
      <c r="DV15" s="51" t="s">
        <v>44</v>
      </c>
      <c r="DW15" s="55" t="s">
        <v>47</v>
      </c>
      <c r="DX15" s="47" t="s">
        <v>47</v>
      </c>
      <c r="DY15" s="56" t="s">
        <v>44</v>
      </c>
      <c r="DZ15" s="47"/>
      <c r="EA15" s="113">
        <v>29.46</v>
      </c>
      <c r="EB15" s="113">
        <v>69.55</v>
      </c>
      <c r="EC15" s="57">
        <v>5.8999999999999997E-2</v>
      </c>
      <c r="ED15" s="58">
        <v>0</v>
      </c>
      <c r="EE15" s="57"/>
      <c r="EF15" s="113">
        <v>28.1</v>
      </c>
      <c r="EG15" s="113">
        <v>70.5</v>
      </c>
      <c r="EH15" s="57">
        <v>0.107</v>
      </c>
      <c r="EI15" s="58">
        <v>0.1</v>
      </c>
      <c r="EJ15" s="57"/>
      <c r="EK15" s="113">
        <v>34</v>
      </c>
      <c r="EL15" s="113">
        <v>69.900000000000006</v>
      </c>
      <c r="EM15" s="57">
        <v>0.129</v>
      </c>
      <c r="EN15" s="58">
        <v>0.2</v>
      </c>
      <c r="EO15" s="57"/>
      <c r="EP15" s="113">
        <v>33.6</v>
      </c>
      <c r="EQ15" s="113">
        <v>64.3</v>
      </c>
      <c r="ER15" s="57">
        <v>2E-3</v>
      </c>
      <c r="ES15" s="58">
        <v>0.4</v>
      </c>
      <c r="ET15" s="47"/>
      <c r="EU15" s="51" t="s">
        <v>44</v>
      </c>
      <c r="EV15" s="51" t="s">
        <v>44</v>
      </c>
      <c r="EW15" s="55" t="s">
        <v>47</v>
      </c>
      <c r="EX15" s="56" t="s">
        <v>44</v>
      </c>
      <c r="EY15" s="54"/>
      <c r="EZ15" s="51" t="s">
        <v>44</v>
      </c>
      <c r="FA15" s="51" t="s">
        <v>44</v>
      </c>
      <c r="FB15" s="55" t="s">
        <v>47</v>
      </c>
      <c r="FC15" s="56" t="s">
        <v>44</v>
      </c>
      <c r="FD15" s="47"/>
      <c r="FE15" s="51" t="s">
        <v>44</v>
      </c>
      <c r="FF15" s="51" t="s">
        <v>44</v>
      </c>
      <c r="FG15" s="55" t="s">
        <v>47</v>
      </c>
      <c r="FH15" s="56" t="s">
        <v>44</v>
      </c>
      <c r="FI15" s="47"/>
      <c r="FJ15" s="52" t="s">
        <v>45</v>
      </c>
      <c r="FK15" s="52" t="s">
        <v>45</v>
      </c>
      <c r="FL15" s="52" t="s">
        <v>45</v>
      </c>
      <c r="FM15" s="60" t="s">
        <v>45</v>
      </c>
    </row>
    <row r="16" spans="2:169" ht="16.5" customHeight="1">
      <c r="B16" s="114" t="s">
        <v>62</v>
      </c>
      <c r="C16" s="115" t="s">
        <v>63</v>
      </c>
      <c r="D16" s="90">
        <v>40</v>
      </c>
      <c r="E16" s="91">
        <v>35</v>
      </c>
      <c r="F16" s="92">
        <v>7.47</v>
      </c>
      <c r="G16" s="116"/>
      <c r="H16" s="116"/>
      <c r="I16" s="117"/>
      <c r="J16" s="118"/>
      <c r="K16" s="119" t="s">
        <v>53</v>
      </c>
      <c r="L16" s="120"/>
      <c r="M16" s="120"/>
      <c r="N16" s="121"/>
      <c r="O16" s="118"/>
      <c r="P16" s="97">
        <v>35.619999999999997</v>
      </c>
      <c r="Q16" s="122"/>
      <c r="R16" s="122"/>
      <c r="S16" s="123"/>
      <c r="T16" s="118"/>
      <c r="U16" s="97">
        <v>18.47</v>
      </c>
      <c r="V16" s="122"/>
      <c r="W16" s="122"/>
      <c r="X16" s="123"/>
      <c r="Y16" s="118"/>
      <c r="Z16" s="97">
        <v>35</v>
      </c>
      <c r="AA16" s="122"/>
      <c r="AB16" s="122"/>
      <c r="AC16" s="123"/>
      <c r="AD16" s="118"/>
      <c r="AE16" s="97">
        <v>20</v>
      </c>
      <c r="AF16" s="122"/>
      <c r="AG16" s="122"/>
      <c r="AH16" s="123"/>
      <c r="AI16" s="118"/>
      <c r="AJ16" s="119" t="s">
        <v>53</v>
      </c>
      <c r="AK16" s="122"/>
      <c r="AL16" s="122"/>
      <c r="AM16" s="123"/>
      <c r="AN16" s="118"/>
      <c r="AO16" s="119" t="s">
        <v>53</v>
      </c>
      <c r="AP16" s="122"/>
      <c r="AQ16" s="122"/>
      <c r="AR16" s="123"/>
      <c r="AS16" s="118"/>
      <c r="AT16" s="119" t="s">
        <v>53</v>
      </c>
      <c r="AU16" s="122"/>
      <c r="AV16" s="122"/>
      <c r="AW16" s="123"/>
      <c r="AX16" s="118"/>
      <c r="AY16" s="119" t="s">
        <v>53</v>
      </c>
      <c r="AZ16" s="122"/>
      <c r="BA16" s="122"/>
      <c r="BB16" s="123"/>
      <c r="BC16" s="118"/>
      <c r="BD16" s="119" t="s">
        <v>53</v>
      </c>
      <c r="BE16" s="122"/>
      <c r="BF16" s="122"/>
      <c r="BG16" s="123"/>
      <c r="BH16" s="118"/>
      <c r="BI16" s="119" t="s">
        <v>53</v>
      </c>
      <c r="BJ16" s="122"/>
      <c r="BK16" s="122"/>
      <c r="BL16" s="123"/>
      <c r="BM16" s="124"/>
      <c r="BN16" s="125" t="s">
        <v>53</v>
      </c>
      <c r="BO16" s="126"/>
      <c r="BP16" s="126"/>
      <c r="BQ16" s="127"/>
      <c r="BR16" s="128"/>
      <c r="BS16" s="125" t="s">
        <v>53</v>
      </c>
      <c r="BT16" s="126"/>
      <c r="BU16" s="126"/>
      <c r="BV16" s="127"/>
      <c r="BW16" s="128"/>
      <c r="BX16" s="125" t="s">
        <v>53</v>
      </c>
      <c r="BY16" s="126"/>
      <c r="BZ16" s="126"/>
      <c r="CA16" s="127"/>
      <c r="CB16" s="128"/>
      <c r="CC16" s="125" t="s">
        <v>53</v>
      </c>
      <c r="CD16" s="126"/>
      <c r="CE16" s="126"/>
      <c r="CF16" s="127"/>
      <c r="CG16" s="128"/>
      <c r="CH16" s="125" t="s">
        <v>53</v>
      </c>
      <c r="CI16" s="126"/>
      <c r="CJ16" s="126"/>
      <c r="CK16" s="127"/>
      <c r="CL16" s="128"/>
      <c r="CM16" s="125" t="s">
        <v>53</v>
      </c>
      <c r="CN16" s="126"/>
      <c r="CO16" s="126"/>
      <c r="CP16" s="127"/>
      <c r="CQ16" s="128"/>
      <c r="CR16" s="125" t="s">
        <v>53</v>
      </c>
      <c r="CS16" s="126"/>
      <c r="CT16" s="126"/>
      <c r="CU16" s="127"/>
      <c r="CV16" s="128"/>
      <c r="CW16" s="125" t="s">
        <v>53</v>
      </c>
      <c r="CX16" s="126"/>
      <c r="CY16" s="126"/>
      <c r="CZ16" s="127"/>
      <c r="DA16" s="128"/>
      <c r="DB16" s="125" t="s">
        <v>53</v>
      </c>
      <c r="DC16" s="126"/>
      <c r="DD16" s="126"/>
      <c r="DE16" s="127"/>
      <c r="DF16" s="128"/>
      <c r="DG16" s="125" t="s">
        <v>53</v>
      </c>
      <c r="DH16" s="126"/>
      <c r="DI16" s="126"/>
      <c r="DJ16" s="127"/>
      <c r="DK16" s="128"/>
      <c r="DL16" s="125" t="s">
        <v>53</v>
      </c>
      <c r="DM16" s="126"/>
      <c r="DN16" s="126"/>
      <c r="DO16" s="127"/>
      <c r="DP16" s="124"/>
      <c r="DQ16" s="98" t="s">
        <v>44</v>
      </c>
      <c r="DR16" s="129"/>
      <c r="DS16" s="129"/>
      <c r="DT16" s="130"/>
      <c r="DU16" s="124"/>
      <c r="DV16" s="98" t="s">
        <v>44</v>
      </c>
      <c r="DW16" s="129"/>
      <c r="DX16" s="129"/>
      <c r="DY16" s="130"/>
      <c r="DZ16" s="124"/>
      <c r="EA16" s="131">
        <v>29.67</v>
      </c>
      <c r="EB16" s="131">
        <v>68.91</v>
      </c>
      <c r="EC16" s="108">
        <v>6.6000000000000003E-2</v>
      </c>
      <c r="ED16" s="109">
        <v>0</v>
      </c>
      <c r="EE16" s="132"/>
      <c r="EF16" s="133"/>
      <c r="EG16" s="134"/>
      <c r="EH16" s="134"/>
      <c r="EI16" s="135"/>
      <c r="EJ16" s="132"/>
      <c r="EK16" s="133"/>
      <c r="EL16" s="134"/>
      <c r="EM16" s="134"/>
      <c r="EN16" s="135"/>
      <c r="EO16" s="132"/>
      <c r="EP16" s="133"/>
      <c r="EQ16" s="134"/>
      <c r="ER16" s="134"/>
      <c r="ES16" s="135"/>
      <c r="ET16" s="124"/>
      <c r="EU16" s="102" t="s">
        <v>44</v>
      </c>
      <c r="EV16" s="129"/>
      <c r="EW16" s="136"/>
      <c r="EX16" s="137"/>
      <c r="EY16" s="124"/>
      <c r="EZ16" s="106" t="s">
        <v>47</v>
      </c>
      <c r="FA16" s="136"/>
      <c r="FB16" s="136"/>
      <c r="FC16" s="137"/>
      <c r="FD16" s="138"/>
      <c r="FE16" s="106" t="s">
        <v>47</v>
      </c>
      <c r="FF16" s="139"/>
      <c r="FG16" s="139"/>
      <c r="FH16" s="140"/>
      <c r="FI16" s="103"/>
      <c r="FJ16" s="103" t="s">
        <v>45</v>
      </c>
      <c r="FK16" s="136"/>
      <c r="FL16" s="136"/>
      <c r="FM16" s="141"/>
    </row>
    <row r="17" spans="2:169" ht="16.5" customHeight="1">
      <c r="B17" s="37">
        <v>12</v>
      </c>
      <c r="C17" s="38" t="s">
        <v>64</v>
      </c>
      <c r="D17" s="39">
        <v>24</v>
      </c>
      <c r="E17" s="40" t="s">
        <v>49</v>
      </c>
      <c r="F17" s="41">
        <v>7.69</v>
      </c>
      <c r="G17" s="41">
        <v>7.87</v>
      </c>
      <c r="H17" s="42">
        <v>7.74</v>
      </c>
      <c r="I17" s="43">
        <v>7.79</v>
      </c>
      <c r="J17" s="44"/>
      <c r="K17" s="42">
        <v>14.5875</v>
      </c>
      <c r="L17" s="42">
        <v>13.73</v>
      </c>
      <c r="M17" s="42">
        <v>13.178000000000001</v>
      </c>
      <c r="N17" s="142">
        <v>13.43</v>
      </c>
      <c r="O17" s="44"/>
      <c r="P17" s="45">
        <v>20.71</v>
      </c>
      <c r="Q17" s="45">
        <v>23.33</v>
      </c>
      <c r="R17" s="44">
        <v>30.67</v>
      </c>
      <c r="S17" s="46">
        <v>32.5</v>
      </c>
      <c r="T17" s="44"/>
      <c r="U17" s="45">
        <v>9.85</v>
      </c>
      <c r="V17" s="45">
        <v>11.8</v>
      </c>
      <c r="W17" s="44">
        <v>16.649999999999999</v>
      </c>
      <c r="X17" s="46">
        <v>17.149999999999999</v>
      </c>
      <c r="Y17" s="44"/>
      <c r="Z17" s="45">
        <v>12</v>
      </c>
      <c r="AA17" s="45">
        <v>15.6</v>
      </c>
      <c r="AB17" s="44">
        <v>22.7</v>
      </c>
      <c r="AC17" s="46">
        <v>22.2</v>
      </c>
      <c r="AD17" s="44"/>
      <c r="AE17" s="45">
        <v>8.6999999999999993</v>
      </c>
      <c r="AF17" s="45">
        <v>11.6</v>
      </c>
      <c r="AG17" s="44">
        <v>15.2</v>
      </c>
      <c r="AH17" s="46">
        <v>14.9</v>
      </c>
      <c r="AI17" s="44"/>
      <c r="AJ17" s="45">
        <v>1.95</v>
      </c>
      <c r="AK17" s="45">
        <v>1.95</v>
      </c>
      <c r="AL17" s="44">
        <v>7.1</v>
      </c>
      <c r="AM17" s="46">
        <v>4.28</v>
      </c>
      <c r="AN17" s="44"/>
      <c r="AO17" s="45">
        <v>5.2398389999999999</v>
      </c>
      <c r="AP17" s="45">
        <v>4.0883419999999999</v>
      </c>
      <c r="AQ17" s="44">
        <v>4.9028421</v>
      </c>
      <c r="AR17" s="46">
        <v>5.1528999999999998</v>
      </c>
      <c r="AS17" s="44"/>
      <c r="AT17" s="45">
        <v>3.4439259999999998</v>
      </c>
      <c r="AU17" s="45">
        <v>2.5987909999999999</v>
      </c>
      <c r="AV17" s="44">
        <v>3.2696174999999998</v>
      </c>
      <c r="AW17" s="46">
        <v>2.5510000000000002</v>
      </c>
      <c r="AX17" s="44"/>
      <c r="AY17" s="45">
        <v>1.48</v>
      </c>
      <c r="AZ17" s="45">
        <v>1.37</v>
      </c>
      <c r="BA17" s="44">
        <v>2.95</v>
      </c>
      <c r="BB17" s="46">
        <v>2.65</v>
      </c>
      <c r="BC17" s="44"/>
      <c r="BD17" s="45">
        <v>15.94</v>
      </c>
      <c r="BE17" s="45">
        <v>23.24</v>
      </c>
      <c r="BF17" s="44">
        <v>28.96</v>
      </c>
      <c r="BG17" s="46">
        <v>26.37</v>
      </c>
      <c r="BH17" s="44"/>
      <c r="BI17" s="45">
        <v>2.6</v>
      </c>
      <c r="BJ17" s="45">
        <v>5.2</v>
      </c>
      <c r="BK17" s="44">
        <v>8.1999999999999993</v>
      </c>
      <c r="BL17" s="46">
        <v>7.5</v>
      </c>
      <c r="BM17" s="47"/>
      <c r="BN17" s="48">
        <v>2.2999999999999998</v>
      </c>
      <c r="BO17" s="48">
        <v>1.3</v>
      </c>
      <c r="BP17" s="49">
        <v>0</v>
      </c>
      <c r="BQ17" s="50">
        <v>0.15</v>
      </c>
      <c r="BR17" s="49"/>
      <c r="BS17" s="48">
        <v>2.2999999999999998</v>
      </c>
      <c r="BT17" s="48">
        <v>1.44</v>
      </c>
      <c r="BU17" s="49">
        <v>0.02</v>
      </c>
      <c r="BV17" s="50">
        <v>0.15</v>
      </c>
      <c r="BW17" s="49"/>
      <c r="BX17" s="48">
        <v>0</v>
      </c>
      <c r="BY17" s="48">
        <v>0.14000000000000001</v>
      </c>
      <c r="BZ17" s="49">
        <v>0.02</v>
      </c>
      <c r="CA17" s="50">
        <v>0</v>
      </c>
      <c r="CB17" s="49"/>
      <c r="CC17" s="48">
        <v>2.1</v>
      </c>
      <c r="CD17" s="48">
        <v>1.06</v>
      </c>
      <c r="CE17" s="49">
        <v>0</v>
      </c>
      <c r="CF17" s="50">
        <v>7.0000000000000007E-2</v>
      </c>
      <c r="CG17" s="49"/>
      <c r="CH17" s="48">
        <v>0.08</v>
      </c>
      <c r="CI17" s="48">
        <v>0.18</v>
      </c>
      <c r="CJ17" s="49">
        <v>0</v>
      </c>
      <c r="CK17" s="50">
        <v>0</v>
      </c>
      <c r="CL17" s="49"/>
      <c r="CM17" s="48">
        <v>0.02</v>
      </c>
      <c r="CN17" s="48">
        <v>0</v>
      </c>
      <c r="CO17" s="49">
        <v>0</v>
      </c>
      <c r="CP17" s="50">
        <v>0.02</v>
      </c>
      <c r="CQ17" s="49"/>
      <c r="CR17" s="48">
        <v>0.03</v>
      </c>
      <c r="CS17" s="48">
        <v>0.04</v>
      </c>
      <c r="CT17" s="49">
        <v>0</v>
      </c>
      <c r="CU17" s="50">
        <v>0.02</v>
      </c>
      <c r="CV17" s="49"/>
      <c r="CW17" s="48">
        <v>0.03</v>
      </c>
      <c r="CX17" s="48">
        <v>0</v>
      </c>
      <c r="CY17" s="49">
        <v>0</v>
      </c>
      <c r="CZ17" s="50">
        <v>0</v>
      </c>
      <c r="DA17" s="49"/>
      <c r="DB17" s="48">
        <v>0</v>
      </c>
      <c r="DC17" s="48">
        <v>0.03</v>
      </c>
      <c r="DD17" s="49">
        <v>0</v>
      </c>
      <c r="DE17" s="50">
        <v>0</v>
      </c>
      <c r="DF17" s="49"/>
      <c r="DG17" s="48">
        <v>0</v>
      </c>
      <c r="DH17" s="48">
        <v>0</v>
      </c>
      <c r="DI17" s="49">
        <v>0</v>
      </c>
      <c r="DJ17" s="50">
        <v>0</v>
      </c>
      <c r="DK17" s="49"/>
      <c r="DL17" s="48">
        <v>0.04</v>
      </c>
      <c r="DM17" s="48">
        <v>0</v>
      </c>
      <c r="DN17" s="49">
        <v>0</v>
      </c>
      <c r="DO17" s="50">
        <v>0.03</v>
      </c>
      <c r="DP17" s="47"/>
      <c r="DQ17" s="51" t="s">
        <v>47</v>
      </c>
      <c r="DR17" s="52" t="s">
        <v>45</v>
      </c>
      <c r="DS17" s="52" t="s">
        <v>45</v>
      </c>
      <c r="DT17" s="53" t="s">
        <v>46</v>
      </c>
      <c r="DU17" s="54"/>
      <c r="DV17" s="51" t="s">
        <v>44</v>
      </c>
      <c r="DW17" s="55" t="s">
        <v>47</v>
      </c>
      <c r="DX17" s="47" t="s">
        <v>47</v>
      </c>
      <c r="DY17" s="56" t="s">
        <v>44</v>
      </c>
      <c r="DZ17" s="47"/>
      <c r="EA17" s="113">
        <v>29.8</v>
      </c>
      <c r="EB17" s="113">
        <v>68</v>
      </c>
      <c r="EC17" s="57">
        <v>1.347</v>
      </c>
      <c r="ED17" s="58">
        <v>0.2</v>
      </c>
      <c r="EE17" s="57"/>
      <c r="EF17" s="113">
        <v>32.700000000000003</v>
      </c>
      <c r="EG17" s="113">
        <v>68.599999999999994</v>
      </c>
      <c r="EH17" s="57">
        <v>0.51400000000000001</v>
      </c>
      <c r="EI17" s="58">
        <v>0.2</v>
      </c>
      <c r="EJ17" s="57"/>
      <c r="EK17" s="113">
        <v>36.299999999999997</v>
      </c>
      <c r="EL17" s="113">
        <v>65.900000000000006</v>
      </c>
      <c r="EM17" s="57">
        <v>0.19400000000000001</v>
      </c>
      <c r="EN17" s="58">
        <v>0.1</v>
      </c>
      <c r="EO17" s="57"/>
      <c r="EP17" s="113">
        <v>33.1</v>
      </c>
      <c r="EQ17" s="113">
        <v>68.099999999999994</v>
      </c>
      <c r="ER17" s="57">
        <v>0.57099999999999995</v>
      </c>
      <c r="ES17" s="58">
        <v>0</v>
      </c>
      <c r="ET17" s="47"/>
      <c r="EU17" s="51" t="s">
        <v>44</v>
      </c>
      <c r="EV17" s="51" t="s">
        <v>44</v>
      </c>
      <c r="EW17" s="55" t="s">
        <v>47</v>
      </c>
      <c r="EX17" s="59" t="s">
        <v>44</v>
      </c>
      <c r="EY17" s="54"/>
      <c r="EZ17" s="51" t="s">
        <v>44</v>
      </c>
      <c r="FA17" s="51" t="s">
        <v>44</v>
      </c>
      <c r="FB17" s="55" t="s">
        <v>47</v>
      </c>
      <c r="FC17" s="59" t="s">
        <v>44</v>
      </c>
      <c r="FD17" s="55"/>
      <c r="FE17" s="51" t="s">
        <v>44</v>
      </c>
      <c r="FF17" s="51" t="s">
        <v>44</v>
      </c>
      <c r="FG17" s="55" t="s">
        <v>47</v>
      </c>
      <c r="FH17" s="59" t="s">
        <v>44</v>
      </c>
      <c r="FI17" s="55"/>
      <c r="FJ17" s="52" t="s">
        <v>45</v>
      </c>
      <c r="FK17" s="52" t="s">
        <v>45</v>
      </c>
      <c r="FL17" s="52" t="s">
        <v>45</v>
      </c>
      <c r="FM17" s="60" t="s">
        <v>45</v>
      </c>
    </row>
    <row r="18" spans="2:169" ht="16.5" customHeight="1">
      <c r="B18" s="143">
        <v>13</v>
      </c>
      <c r="C18" s="144" t="s">
        <v>65</v>
      </c>
      <c r="D18" s="39">
        <v>30</v>
      </c>
      <c r="E18" s="145" t="s">
        <v>66</v>
      </c>
      <c r="F18" s="41">
        <v>7.4</v>
      </c>
      <c r="G18" s="41">
        <v>7.66</v>
      </c>
      <c r="H18" s="42">
        <v>7.31</v>
      </c>
      <c r="I18" s="43">
        <v>7.29</v>
      </c>
      <c r="J18" s="44"/>
      <c r="K18" s="44">
        <v>7.2859999999999996</v>
      </c>
      <c r="L18" s="44">
        <v>6.7986666666666702</v>
      </c>
      <c r="M18" s="44">
        <v>5.8120000000000003</v>
      </c>
      <c r="N18" s="46">
        <v>7.298</v>
      </c>
      <c r="O18" s="44"/>
      <c r="P18" s="45">
        <v>35.32</v>
      </c>
      <c r="Q18" s="45">
        <v>35.47</v>
      </c>
      <c r="R18" s="44">
        <v>36.47</v>
      </c>
      <c r="S18" s="46">
        <v>25.533999999999999</v>
      </c>
      <c r="T18" s="44"/>
      <c r="U18" s="45">
        <v>17.149999999999999</v>
      </c>
      <c r="V18" s="45">
        <v>17.88</v>
      </c>
      <c r="W18" s="44">
        <v>20.399999999999999</v>
      </c>
      <c r="X18" s="46">
        <v>11.77</v>
      </c>
      <c r="Y18" s="44"/>
      <c r="Z18" s="45">
        <v>29.8</v>
      </c>
      <c r="AA18" s="45">
        <v>25.5</v>
      </c>
      <c r="AB18" s="44">
        <v>31.1</v>
      </c>
      <c r="AC18" s="46">
        <v>18.463333333333299</v>
      </c>
      <c r="AD18" s="44"/>
      <c r="AE18" s="45">
        <v>19</v>
      </c>
      <c r="AF18" s="45">
        <v>17.2</v>
      </c>
      <c r="AG18" s="44">
        <v>21.2</v>
      </c>
      <c r="AH18" s="46">
        <v>12.33</v>
      </c>
      <c r="AI18" s="44"/>
      <c r="AJ18" s="45">
        <v>4.42</v>
      </c>
      <c r="AK18" s="45">
        <v>2.86</v>
      </c>
      <c r="AL18" s="44">
        <v>7.64</v>
      </c>
      <c r="AM18" s="46">
        <v>2.4</v>
      </c>
      <c r="AN18" s="44"/>
      <c r="AO18" s="45">
        <v>3.9193150000000001</v>
      </c>
      <c r="AP18" s="45">
        <v>4.2468050000000002</v>
      </c>
      <c r="AQ18" s="44">
        <v>3.6669008999999999</v>
      </c>
      <c r="AR18" s="46">
        <v>3.9443402999999999</v>
      </c>
      <c r="AS18" s="44"/>
      <c r="AT18" s="45">
        <v>2.598792</v>
      </c>
      <c r="AU18" s="45">
        <v>2.3244220000000002</v>
      </c>
      <c r="AV18" s="44">
        <v>1.7937996</v>
      </c>
      <c r="AW18" s="46">
        <v>2.239004533333333</v>
      </c>
      <c r="AX18" s="44"/>
      <c r="AY18" s="45">
        <v>1.73</v>
      </c>
      <c r="AZ18" s="45">
        <v>2.63</v>
      </c>
      <c r="BA18" s="44">
        <v>0</v>
      </c>
      <c r="BB18" s="46">
        <v>3.5</v>
      </c>
      <c r="BC18" s="44"/>
      <c r="BD18" s="45">
        <v>26.88</v>
      </c>
      <c r="BE18" s="45">
        <v>27.79</v>
      </c>
      <c r="BF18" s="44">
        <v>32.11</v>
      </c>
      <c r="BG18" s="46">
        <v>18.39</v>
      </c>
      <c r="BH18" s="44"/>
      <c r="BI18" s="45">
        <v>4.7</v>
      </c>
      <c r="BJ18" s="45">
        <v>2.9</v>
      </c>
      <c r="BK18" s="44">
        <v>2</v>
      </c>
      <c r="BL18" s="46">
        <v>3.36</v>
      </c>
      <c r="BM18" s="47"/>
      <c r="BN18" s="48">
        <v>0.1</v>
      </c>
      <c r="BO18" s="48">
        <v>0.03</v>
      </c>
      <c r="BP18" s="49">
        <v>0</v>
      </c>
      <c r="BQ18" s="50">
        <v>0.15</v>
      </c>
      <c r="BR18" s="49"/>
      <c r="BS18" s="48">
        <v>0.1</v>
      </c>
      <c r="BT18" s="48">
        <v>0.03</v>
      </c>
      <c r="BU18" s="49">
        <v>0</v>
      </c>
      <c r="BV18" s="50">
        <v>0.15</v>
      </c>
      <c r="BW18" s="49"/>
      <c r="BX18" s="48">
        <v>0</v>
      </c>
      <c r="BY18" s="48">
        <v>0</v>
      </c>
      <c r="BZ18" s="49">
        <v>0</v>
      </c>
      <c r="CA18" s="50">
        <v>0</v>
      </c>
      <c r="CB18" s="49"/>
      <c r="CC18" s="48">
        <v>0.1</v>
      </c>
      <c r="CD18" s="48">
        <v>0.02</v>
      </c>
      <c r="CE18" s="49">
        <v>0</v>
      </c>
      <c r="CF18" s="50">
        <v>0.11</v>
      </c>
      <c r="CG18" s="49"/>
      <c r="CH18" s="48">
        <v>0</v>
      </c>
      <c r="CI18" s="48">
        <v>0.01</v>
      </c>
      <c r="CJ18" s="49">
        <v>0</v>
      </c>
      <c r="CK18" s="50">
        <v>0</v>
      </c>
      <c r="CL18" s="49"/>
      <c r="CM18" s="48">
        <v>0</v>
      </c>
      <c r="CN18" s="48">
        <v>0</v>
      </c>
      <c r="CO18" s="49">
        <v>0</v>
      </c>
      <c r="CP18" s="50">
        <v>0</v>
      </c>
      <c r="CQ18" s="49"/>
      <c r="CR18" s="48">
        <v>0</v>
      </c>
      <c r="CS18" s="48">
        <v>0</v>
      </c>
      <c r="CT18" s="49">
        <v>0</v>
      </c>
      <c r="CU18" s="50">
        <v>0.02</v>
      </c>
      <c r="CV18" s="49"/>
      <c r="CW18" s="48">
        <v>0</v>
      </c>
      <c r="CX18" s="48">
        <v>0</v>
      </c>
      <c r="CY18" s="49">
        <v>0</v>
      </c>
      <c r="CZ18" s="50">
        <v>0.01</v>
      </c>
      <c r="DA18" s="49"/>
      <c r="DB18" s="48">
        <v>0</v>
      </c>
      <c r="DC18" s="48">
        <v>0</v>
      </c>
      <c r="DD18" s="49">
        <v>0</v>
      </c>
      <c r="DE18" s="50">
        <v>0</v>
      </c>
      <c r="DF18" s="49"/>
      <c r="DG18" s="48">
        <v>0</v>
      </c>
      <c r="DH18" s="48">
        <v>0</v>
      </c>
      <c r="DI18" s="49">
        <v>0</v>
      </c>
      <c r="DJ18" s="50">
        <v>0</v>
      </c>
      <c r="DK18" s="49"/>
      <c r="DL18" s="48">
        <v>0</v>
      </c>
      <c r="DM18" s="48">
        <v>0</v>
      </c>
      <c r="DN18" s="49">
        <v>0</v>
      </c>
      <c r="DO18" s="50">
        <v>0</v>
      </c>
      <c r="DP18" s="47"/>
      <c r="DQ18" s="51" t="s">
        <v>44</v>
      </c>
      <c r="DR18" s="52" t="s">
        <v>45</v>
      </c>
      <c r="DS18" s="52" t="s">
        <v>45</v>
      </c>
      <c r="DT18" s="53" t="s">
        <v>46</v>
      </c>
      <c r="DU18" s="54"/>
      <c r="DV18" s="51" t="s">
        <v>44</v>
      </c>
      <c r="DW18" s="55" t="s">
        <v>47</v>
      </c>
      <c r="DX18" s="47" t="s">
        <v>47</v>
      </c>
      <c r="DY18" s="56" t="s">
        <v>44</v>
      </c>
      <c r="DZ18" s="47"/>
      <c r="EA18" s="113">
        <v>38.76</v>
      </c>
      <c r="EB18" s="113">
        <v>63.22</v>
      </c>
      <c r="EC18" s="57">
        <v>2.24E-2</v>
      </c>
      <c r="ED18" s="58">
        <v>0.22</v>
      </c>
      <c r="EE18" s="57"/>
      <c r="EF18" s="113">
        <v>38.14</v>
      </c>
      <c r="EG18" s="113">
        <v>62.01</v>
      </c>
      <c r="EH18" s="57">
        <v>2.5899999999999999E-2</v>
      </c>
      <c r="EI18" s="58">
        <v>0.11</v>
      </c>
      <c r="EJ18" s="57"/>
      <c r="EK18" s="113">
        <v>38.42</v>
      </c>
      <c r="EL18" s="113">
        <v>61.41</v>
      </c>
      <c r="EM18" s="57">
        <v>2.5950000000000001E-2</v>
      </c>
      <c r="EN18" s="58">
        <v>0.11</v>
      </c>
      <c r="EO18" s="57"/>
      <c r="EP18" s="113">
        <v>38.700000000000003</v>
      </c>
      <c r="EQ18" s="113">
        <v>60.8</v>
      </c>
      <c r="ER18" s="57">
        <v>2.5999999999999999E-2</v>
      </c>
      <c r="ES18" s="58">
        <v>0</v>
      </c>
      <c r="ET18" s="47"/>
      <c r="EU18" s="51" t="s">
        <v>44</v>
      </c>
      <c r="EV18" s="51" t="s">
        <v>47</v>
      </c>
      <c r="EW18" s="55" t="s">
        <v>47</v>
      </c>
      <c r="EX18" s="59" t="s">
        <v>44</v>
      </c>
      <c r="EY18" s="54"/>
      <c r="EZ18" s="51" t="s">
        <v>44</v>
      </c>
      <c r="FA18" s="51" t="s">
        <v>47</v>
      </c>
      <c r="FB18" s="55" t="s">
        <v>47</v>
      </c>
      <c r="FC18" s="59" t="s">
        <v>44</v>
      </c>
      <c r="FD18" s="55"/>
      <c r="FE18" s="51" t="s">
        <v>44</v>
      </c>
      <c r="FF18" s="55" t="s">
        <v>47</v>
      </c>
      <c r="FG18" s="55" t="s">
        <v>47</v>
      </c>
      <c r="FH18" s="59" t="s">
        <v>44</v>
      </c>
      <c r="FI18" s="55"/>
      <c r="FJ18" s="52" t="s">
        <v>45</v>
      </c>
      <c r="FK18" s="52" t="s">
        <v>45</v>
      </c>
      <c r="FL18" s="52" t="s">
        <v>45</v>
      </c>
      <c r="FM18" s="60" t="s">
        <v>45</v>
      </c>
    </row>
    <row r="19" spans="2:169" ht="16.5" customHeight="1" thickBot="1">
      <c r="B19" s="146">
        <v>14</v>
      </c>
      <c r="C19" s="147" t="s">
        <v>67</v>
      </c>
      <c r="D19" s="148">
        <v>8</v>
      </c>
      <c r="E19" s="149" t="s">
        <v>68</v>
      </c>
      <c r="F19" s="150">
        <v>7.85</v>
      </c>
      <c r="G19" s="150">
        <v>7.67</v>
      </c>
      <c r="H19" s="151">
        <v>7.84</v>
      </c>
      <c r="I19" s="152">
        <v>8.01</v>
      </c>
      <c r="J19" s="153"/>
      <c r="K19" s="151">
        <v>12.919</v>
      </c>
      <c r="L19" s="151">
        <v>11.28</v>
      </c>
      <c r="M19" s="151">
        <v>12.401999999999999</v>
      </c>
      <c r="N19" s="154">
        <v>8.5399999999999991</v>
      </c>
      <c r="O19" s="153"/>
      <c r="P19" s="155">
        <v>37.409999999999997</v>
      </c>
      <c r="Q19" s="155">
        <v>31.08</v>
      </c>
      <c r="R19" s="153">
        <v>25.67</v>
      </c>
      <c r="S19" s="154">
        <v>35.08</v>
      </c>
      <c r="T19" s="153"/>
      <c r="U19" s="155">
        <v>19.21</v>
      </c>
      <c r="V19" s="155">
        <v>16.77</v>
      </c>
      <c r="W19" s="153">
        <v>12.73</v>
      </c>
      <c r="X19" s="154">
        <v>17.899999999999999</v>
      </c>
      <c r="Y19" s="153"/>
      <c r="Z19" s="155">
        <v>30.5</v>
      </c>
      <c r="AA19" s="155">
        <v>29.4</v>
      </c>
      <c r="AB19" s="153">
        <v>20.7</v>
      </c>
      <c r="AC19" s="154">
        <v>26.3</v>
      </c>
      <c r="AD19" s="153"/>
      <c r="AE19" s="155">
        <v>13.1</v>
      </c>
      <c r="AF19" s="155">
        <v>21.8</v>
      </c>
      <c r="AG19" s="153">
        <v>13.4</v>
      </c>
      <c r="AH19" s="154">
        <v>17.8</v>
      </c>
      <c r="AI19" s="153"/>
      <c r="AJ19" s="155">
        <v>3.08</v>
      </c>
      <c r="AK19" s="155">
        <v>1.72</v>
      </c>
      <c r="AL19" s="153">
        <v>2.88</v>
      </c>
      <c r="AM19" s="154">
        <v>2.39</v>
      </c>
      <c r="AN19" s="153"/>
      <c r="AO19" s="155">
        <v>4.9123489999999999</v>
      </c>
      <c r="AP19" s="155">
        <v>4.7750139999999996</v>
      </c>
      <c r="AQ19" s="153">
        <v>4.4170393199999998</v>
      </c>
      <c r="AR19" s="154">
        <v>4.9741</v>
      </c>
      <c r="AS19" s="153"/>
      <c r="AT19" s="155">
        <v>1.3205235</v>
      </c>
      <c r="AU19" s="155">
        <v>3.4861825</v>
      </c>
      <c r="AV19" s="153">
        <v>2.7572540000000001</v>
      </c>
      <c r="AW19" s="154">
        <v>2.6089000000000002</v>
      </c>
      <c r="AX19" s="153"/>
      <c r="AY19" s="155">
        <v>1.95</v>
      </c>
      <c r="AZ19" s="155">
        <v>1.67</v>
      </c>
      <c r="BA19" s="153">
        <v>0</v>
      </c>
      <c r="BB19" s="154">
        <v>1.85</v>
      </c>
      <c r="BC19" s="153"/>
      <c r="BD19" s="155">
        <v>32.15</v>
      </c>
      <c r="BE19" s="155">
        <v>36.880000000000003</v>
      </c>
      <c r="BF19" s="153">
        <v>25.94</v>
      </c>
      <c r="BG19" s="154">
        <v>28.83</v>
      </c>
      <c r="BH19" s="153"/>
      <c r="BI19" s="155">
        <v>3.1</v>
      </c>
      <c r="BJ19" s="155">
        <v>13.4</v>
      </c>
      <c r="BK19" s="153">
        <v>7.6</v>
      </c>
      <c r="BL19" s="154">
        <v>8.4</v>
      </c>
      <c r="BM19" s="156"/>
      <c r="BN19" s="157">
        <v>0.17</v>
      </c>
      <c r="BO19" s="157">
        <v>0.66</v>
      </c>
      <c r="BP19" s="158">
        <v>0</v>
      </c>
      <c r="BQ19" s="159">
        <v>0.08</v>
      </c>
      <c r="BR19" s="158"/>
      <c r="BS19" s="157">
        <v>0.17</v>
      </c>
      <c r="BT19" s="157">
        <v>0.76</v>
      </c>
      <c r="BU19" s="158">
        <v>0</v>
      </c>
      <c r="BV19" s="159">
        <v>0.08</v>
      </c>
      <c r="BW19" s="158"/>
      <c r="BX19" s="157">
        <v>0</v>
      </c>
      <c r="BY19" s="157">
        <v>0.1</v>
      </c>
      <c r="BZ19" s="158">
        <v>0</v>
      </c>
      <c r="CA19" s="159">
        <v>0</v>
      </c>
      <c r="CB19" s="158"/>
      <c r="CC19" s="157">
        <v>0.14000000000000001</v>
      </c>
      <c r="CD19" s="157">
        <v>0.42</v>
      </c>
      <c r="CE19" s="158">
        <v>0</v>
      </c>
      <c r="CF19" s="159">
        <v>0.04</v>
      </c>
      <c r="CG19" s="158"/>
      <c r="CH19" s="157">
        <v>0</v>
      </c>
      <c r="CI19" s="157">
        <v>0.17</v>
      </c>
      <c r="CJ19" s="158">
        <v>0</v>
      </c>
      <c r="CK19" s="159">
        <v>0</v>
      </c>
      <c r="CL19" s="158"/>
      <c r="CM19" s="157">
        <v>0.04</v>
      </c>
      <c r="CN19" s="157">
        <v>0.03</v>
      </c>
      <c r="CO19" s="158">
        <v>0</v>
      </c>
      <c r="CP19" s="159">
        <v>0.02</v>
      </c>
      <c r="CQ19" s="158"/>
      <c r="CR19" s="157">
        <v>0</v>
      </c>
      <c r="CS19" s="157">
        <v>0</v>
      </c>
      <c r="CT19" s="158">
        <v>0</v>
      </c>
      <c r="CU19" s="159">
        <v>0</v>
      </c>
      <c r="CV19" s="158"/>
      <c r="CW19" s="157">
        <v>0</v>
      </c>
      <c r="CX19" s="157">
        <v>0.02</v>
      </c>
      <c r="CY19" s="158">
        <v>0</v>
      </c>
      <c r="CZ19" s="159">
        <v>0</v>
      </c>
      <c r="DA19" s="158"/>
      <c r="DB19" s="157">
        <v>0</v>
      </c>
      <c r="DC19" s="157">
        <v>0</v>
      </c>
      <c r="DD19" s="158">
        <v>0</v>
      </c>
      <c r="DE19" s="159">
        <v>0</v>
      </c>
      <c r="DF19" s="158"/>
      <c r="DG19" s="157">
        <v>0</v>
      </c>
      <c r="DH19" s="157">
        <v>0</v>
      </c>
      <c r="DI19" s="158">
        <v>0</v>
      </c>
      <c r="DJ19" s="159">
        <v>0</v>
      </c>
      <c r="DK19" s="158"/>
      <c r="DL19" s="157">
        <v>0</v>
      </c>
      <c r="DM19" s="157">
        <v>0</v>
      </c>
      <c r="DN19" s="158">
        <v>0</v>
      </c>
      <c r="DO19" s="159">
        <v>0.02</v>
      </c>
      <c r="DP19" s="156"/>
      <c r="DQ19" s="160" t="s">
        <v>47</v>
      </c>
      <c r="DR19" s="161" t="s">
        <v>45</v>
      </c>
      <c r="DS19" s="161" t="s">
        <v>45</v>
      </c>
      <c r="DT19" s="162" t="s">
        <v>46</v>
      </c>
      <c r="DU19" s="163"/>
      <c r="DV19" s="160" t="s">
        <v>44</v>
      </c>
      <c r="DW19" s="164" t="s">
        <v>47</v>
      </c>
      <c r="DX19" s="156" t="s">
        <v>47</v>
      </c>
      <c r="DY19" s="165" t="s">
        <v>44</v>
      </c>
      <c r="DZ19" s="156"/>
      <c r="EA19" s="166">
        <v>35.1</v>
      </c>
      <c r="EB19" s="166">
        <v>62.4</v>
      </c>
      <c r="EC19" s="167">
        <v>0.218</v>
      </c>
      <c r="ED19" s="168">
        <v>0</v>
      </c>
      <c r="EE19" s="167"/>
      <c r="EF19" s="166">
        <v>38.799999999999997</v>
      </c>
      <c r="EG19" s="166">
        <v>62.7</v>
      </c>
      <c r="EH19" s="167">
        <v>3.6999999999999998E-2</v>
      </c>
      <c r="EI19" s="168">
        <v>0.1</v>
      </c>
      <c r="EJ19" s="167"/>
      <c r="EK19" s="166">
        <v>39.700000000000003</v>
      </c>
      <c r="EL19" s="166">
        <v>63.5</v>
      </c>
      <c r="EM19" s="167">
        <v>0.159</v>
      </c>
      <c r="EN19" s="168">
        <v>0.1</v>
      </c>
      <c r="EO19" s="167"/>
      <c r="EP19" s="166">
        <v>37.700000000000003</v>
      </c>
      <c r="EQ19" s="166">
        <v>64.599999999999994</v>
      </c>
      <c r="ER19" s="167">
        <v>8.7999999999999995E-2</v>
      </c>
      <c r="ES19" s="168">
        <v>0.1</v>
      </c>
      <c r="ET19" s="156"/>
      <c r="EU19" s="160" t="s">
        <v>44</v>
      </c>
      <c r="EV19" s="160" t="s">
        <v>44</v>
      </c>
      <c r="EW19" s="164" t="s">
        <v>47</v>
      </c>
      <c r="EX19" s="169" t="s">
        <v>44</v>
      </c>
      <c r="EY19" s="163"/>
      <c r="EZ19" s="160" t="s">
        <v>44</v>
      </c>
      <c r="FA19" s="160" t="s">
        <v>44</v>
      </c>
      <c r="FB19" s="164" t="s">
        <v>47</v>
      </c>
      <c r="FC19" s="169" t="s">
        <v>44</v>
      </c>
      <c r="FD19" s="164"/>
      <c r="FE19" s="160" t="s">
        <v>44</v>
      </c>
      <c r="FF19" s="160" t="s">
        <v>44</v>
      </c>
      <c r="FG19" s="164" t="s">
        <v>47</v>
      </c>
      <c r="FH19" s="169" t="s">
        <v>44</v>
      </c>
      <c r="FI19" s="164"/>
      <c r="FJ19" s="161" t="s">
        <v>45</v>
      </c>
      <c r="FK19" s="161" t="s">
        <v>45</v>
      </c>
      <c r="FL19" s="161" t="s">
        <v>45</v>
      </c>
      <c r="FM19" s="170" t="s">
        <v>45</v>
      </c>
    </row>
    <row r="20" spans="2:169" ht="16.5" customHeight="1">
      <c r="B20" s="37">
        <v>15</v>
      </c>
      <c r="C20" s="38" t="s">
        <v>69</v>
      </c>
      <c r="D20" s="39">
        <v>21.8</v>
      </c>
      <c r="E20" s="40">
        <v>35</v>
      </c>
      <c r="F20" s="41">
        <v>6.95</v>
      </c>
      <c r="G20" s="41">
        <v>7.36</v>
      </c>
      <c r="H20" s="42">
        <v>7.48</v>
      </c>
      <c r="I20" s="43">
        <v>7.45</v>
      </c>
      <c r="J20" s="44"/>
      <c r="K20" s="44">
        <v>0.94</v>
      </c>
      <c r="L20" s="44">
        <v>1.4755</v>
      </c>
      <c r="M20" s="44">
        <v>2.7675000000000001</v>
      </c>
      <c r="N20" s="46">
        <v>5.95</v>
      </c>
      <c r="O20" s="44"/>
      <c r="P20" s="45">
        <v>18.57</v>
      </c>
      <c r="Q20" s="45">
        <v>29.3</v>
      </c>
      <c r="R20" s="44">
        <v>25.52</v>
      </c>
      <c r="S20" s="46">
        <v>26.58</v>
      </c>
      <c r="T20" s="44"/>
      <c r="U20" s="45">
        <v>13.57</v>
      </c>
      <c r="V20" s="45">
        <v>20.03</v>
      </c>
      <c r="W20" s="44">
        <v>18.28</v>
      </c>
      <c r="X20" s="46">
        <v>19.600000000000001</v>
      </c>
      <c r="Y20" s="44"/>
      <c r="Z20" s="45">
        <v>17.8</v>
      </c>
      <c r="AA20" s="45">
        <v>15.1</v>
      </c>
      <c r="AB20" s="44">
        <v>29.7</v>
      </c>
      <c r="AC20" s="46">
        <v>26.6</v>
      </c>
      <c r="AD20" s="44"/>
      <c r="AE20" s="45">
        <v>13.5</v>
      </c>
      <c r="AF20" s="45">
        <v>14.1</v>
      </c>
      <c r="AG20" s="44">
        <v>20.3</v>
      </c>
      <c r="AH20" s="46">
        <v>20.5</v>
      </c>
      <c r="AI20" s="44"/>
      <c r="AJ20" s="45">
        <v>2.09</v>
      </c>
      <c r="AK20" s="45">
        <v>4.47</v>
      </c>
      <c r="AL20" s="44">
        <v>9.23</v>
      </c>
      <c r="AM20" s="46">
        <v>6.18</v>
      </c>
      <c r="AN20" s="44"/>
      <c r="AO20" s="45">
        <v>1.5106790000000001</v>
      </c>
      <c r="AP20" s="45">
        <v>1.8064770000000001</v>
      </c>
      <c r="AQ20" s="44">
        <v>3.56731584</v>
      </c>
      <c r="AR20" s="46">
        <v>3.7050000000000001</v>
      </c>
      <c r="AS20" s="44"/>
      <c r="AT20" s="45">
        <v>0.37608520000000001</v>
      </c>
      <c r="AU20" s="45">
        <v>0.73315490000000005</v>
      </c>
      <c r="AV20" s="44">
        <v>0.65445165000000005</v>
      </c>
      <c r="AW20" s="46">
        <v>1.5117</v>
      </c>
      <c r="AX20" s="44"/>
      <c r="AY20" s="45">
        <v>1.1499999999999999</v>
      </c>
      <c r="AZ20" s="45">
        <v>1.7</v>
      </c>
      <c r="BA20" s="44">
        <v>0</v>
      </c>
      <c r="BB20" s="46">
        <v>2.25</v>
      </c>
      <c r="BC20" s="44"/>
      <c r="BD20" s="45">
        <v>42.73</v>
      </c>
      <c r="BE20" s="45">
        <v>28.15</v>
      </c>
      <c r="BF20" s="44">
        <v>31.87</v>
      </c>
      <c r="BG20" s="46">
        <v>32.9</v>
      </c>
      <c r="BH20" s="44"/>
      <c r="BI20" s="45">
        <v>0.3</v>
      </c>
      <c r="BJ20" s="45">
        <v>0.6</v>
      </c>
      <c r="BK20" s="44">
        <v>0.5</v>
      </c>
      <c r="BL20" s="46">
        <v>0.5</v>
      </c>
      <c r="BM20" s="47"/>
      <c r="BN20" s="48">
        <v>0</v>
      </c>
      <c r="BO20" s="48">
        <v>0.12</v>
      </c>
      <c r="BP20" s="49">
        <v>0</v>
      </c>
      <c r="BQ20" s="50">
        <v>0.06</v>
      </c>
      <c r="BR20" s="49"/>
      <c r="BS20" s="48">
        <v>0</v>
      </c>
      <c r="BT20" s="48">
        <v>0.12</v>
      </c>
      <c r="BU20" s="49">
        <v>0</v>
      </c>
      <c r="BV20" s="50">
        <v>0.06</v>
      </c>
      <c r="BW20" s="49"/>
      <c r="BX20" s="48">
        <v>0</v>
      </c>
      <c r="BY20" s="48">
        <v>0</v>
      </c>
      <c r="BZ20" s="49">
        <v>0</v>
      </c>
      <c r="CA20" s="50">
        <v>0</v>
      </c>
      <c r="CB20" s="49"/>
      <c r="CC20" s="48">
        <v>0</v>
      </c>
      <c r="CD20" s="48">
        <v>0.06</v>
      </c>
      <c r="CE20" s="49">
        <v>0</v>
      </c>
      <c r="CF20" s="50">
        <v>0</v>
      </c>
      <c r="CG20" s="49"/>
      <c r="CH20" s="48">
        <v>0</v>
      </c>
      <c r="CI20" s="48">
        <v>0.03</v>
      </c>
      <c r="CJ20" s="49">
        <v>0</v>
      </c>
      <c r="CK20" s="50">
        <v>0</v>
      </c>
      <c r="CL20" s="49"/>
      <c r="CM20" s="48">
        <v>0</v>
      </c>
      <c r="CN20" s="48">
        <v>0</v>
      </c>
      <c r="CO20" s="49">
        <v>0</v>
      </c>
      <c r="CP20" s="50">
        <v>0</v>
      </c>
      <c r="CQ20" s="49"/>
      <c r="CR20" s="48">
        <v>0</v>
      </c>
      <c r="CS20" s="48">
        <v>0.01</v>
      </c>
      <c r="CT20" s="49">
        <v>0</v>
      </c>
      <c r="CU20" s="50">
        <v>0</v>
      </c>
      <c r="CV20" s="49"/>
      <c r="CW20" s="48">
        <v>0</v>
      </c>
      <c r="CX20" s="48">
        <v>0.01</v>
      </c>
      <c r="CY20" s="49">
        <v>0</v>
      </c>
      <c r="CZ20" s="50">
        <v>0</v>
      </c>
      <c r="DA20" s="49"/>
      <c r="DB20" s="48">
        <v>0</v>
      </c>
      <c r="DC20" s="48">
        <v>0.01</v>
      </c>
      <c r="DD20" s="49">
        <v>0</v>
      </c>
      <c r="DE20" s="50">
        <v>0</v>
      </c>
      <c r="DF20" s="49"/>
      <c r="DG20" s="48">
        <v>0</v>
      </c>
      <c r="DH20" s="48">
        <v>0</v>
      </c>
      <c r="DI20" s="49">
        <v>0</v>
      </c>
      <c r="DJ20" s="50">
        <v>0</v>
      </c>
      <c r="DK20" s="49"/>
      <c r="DL20" s="48">
        <v>0</v>
      </c>
      <c r="DM20" s="48">
        <v>0</v>
      </c>
      <c r="DN20" s="49">
        <v>0</v>
      </c>
      <c r="DO20" s="50">
        <v>0.06</v>
      </c>
      <c r="DP20" s="47"/>
      <c r="DQ20" s="51" t="s">
        <v>44</v>
      </c>
      <c r="DR20" s="52" t="s">
        <v>45</v>
      </c>
      <c r="DS20" s="52" t="s">
        <v>45</v>
      </c>
      <c r="DT20" s="53" t="s">
        <v>46</v>
      </c>
      <c r="DU20" s="54"/>
      <c r="DV20" s="51" t="s">
        <v>44</v>
      </c>
      <c r="DW20" s="55" t="s">
        <v>47</v>
      </c>
      <c r="DX20" s="47" t="s">
        <v>47</v>
      </c>
      <c r="DY20" s="56" t="s">
        <v>44</v>
      </c>
      <c r="DZ20" s="47"/>
      <c r="EA20" s="171" t="s">
        <v>53</v>
      </c>
      <c r="EB20" s="171" t="s">
        <v>53</v>
      </c>
      <c r="EC20" s="171" t="s">
        <v>53</v>
      </c>
      <c r="ED20" s="172" t="s">
        <v>53</v>
      </c>
      <c r="EE20" s="57"/>
      <c r="EF20" s="113">
        <v>35</v>
      </c>
      <c r="EG20" s="113">
        <v>65.099999999999994</v>
      </c>
      <c r="EH20" s="113">
        <v>2.077</v>
      </c>
      <c r="EI20" s="173">
        <v>0</v>
      </c>
      <c r="EJ20" s="57"/>
      <c r="EK20" s="113">
        <v>37.1</v>
      </c>
      <c r="EL20" s="113">
        <v>65.900000000000006</v>
      </c>
      <c r="EM20" s="113">
        <v>2.2879999999999998</v>
      </c>
      <c r="EN20" s="173">
        <v>0.1</v>
      </c>
      <c r="EO20" s="57"/>
      <c r="EP20" s="113">
        <v>33.4</v>
      </c>
      <c r="EQ20" s="113">
        <v>64.7</v>
      </c>
      <c r="ER20" s="113">
        <v>2.7290000000000001</v>
      </c>
      <c r="ES20" s="173">
        <v>0.1</v>
      </c>
      <c r="ET20" s="47"/>
      <c r="EU20" s="51" t="s">
        <v>44</v>
      </c>
      <c r="EV20" s="51" t="s">
        <v>44</v>
      </c>
      <c r="EW20" s="55" t="s">
        <v>47</v>
      </c>
      <c r="EX20" s="59" t="s">
        <v>44</v>
      </c>
      <c r="EY20" s="54"/>
      <c r="EZ20" s="51" t="s">
        <v>44</v>
      </c>
      <c r="FA20" s="51" t="s">
        <v>44</v>
      </c>
      <c r="FB20" s="55" t="s">
        <v>47</v>
      </c>
      <c r="FC20" s="59" t="s">
        <v>44</v>
      </c>
      <c r="FD20" s="55"/>
      <c r="FE20" s="51" t="s">
        <v>44</v>
      </c>
      <c r="FF20" s="51" t="s">
        <v>44</v>
      </c>
      <c r="FG20" s="55" t="s">
        <v>47</v>
      </c>
      <c r="FH20" s="59" t="s">
        <v>44</v>
      </c>
      <c r="FI20" s="55"/>
      <c r="FJ20" s="52" t="s">
        <v>45</v>
      </c>
      <c r="FK20" s="52" t="s">
        <v>45</v>
      </c>
      <c r="FL20" s="52" t="s">
        <v>45</v>
      </c>
      <c r="FM20" s="60" t="s">
        <v>45</v>
      </c>
    </row>
    <row r="21" spans="2:169" ht="16.5" customHeight="1">
      <c r="B21" s="37">
        <v>16</v>
      </c>
      <c r="C21" s="38" t="s">
        <v>70</v>
      </c>
      <c r="D21" s="39">
        <v>31</v>
      </c>
      <c r="E21" s="40">
        <v>35</v>
      </c>
      <c r="F21" s="41">
        <v>6.83</v>
      </c>
      <c r="G21" s="41">
        <v>6.79</v>
      </c>
      <c r="H21" s="42">
        <v>6.82</v>
      </c>
      <c r="I21" s="43">
        <v>6.89</v>
      </c>
      <c r="J21" s="44"/>
      <c r="K21" s="44">
        <v>1.61</v>
      </c>
      <c r="L21" s="44">
        <v>0.42749999999999999</v>
      </c>
      <c r="M21" s="44">
        <v>0.82750000000000001</v>
      </c>
      <c r="N21" s="46">
        <v>2.35</v>
      </c>
      <c r="O21" s="44"/>
      <c r="P21" s="45">
        <v>18.5</v>
      </c>
      <c r="Q21" s="45">
        <v>31</v>
      </c>
      <c r="R21" s="44">
        <v>13.55</v>
      </c>
      <c r="S21" s="46">
        <v>14.53</v>
      </c>
      <c r="T21" s="44"/>
      <c r="U21" s="45">
        <v>14.37</v>
      </c>
      <c r="V21" s="45">
        <v>21.32</v>
      </c>
      <c r="W21" s="44">
        <v>9.42</v>
      </c>
      <c r="X21" s="46">
        <v>10.53</v>
      </c>
      <c r="Y21" s="44"/>
      <c r="Z21" s="45">
        <v>18.5</v>
      </c>
      <c r="AA21" s="45">
        <v>34</v>
      </c>
      <c r="AB21" s="44">
        <v>10.4</v>
      </c>
      <c r="AC21" s="46">
        <v>14.1</v>
      </c>
      <c r="AD21" s="44"/>
      <c r="AE21" s="45">
        <v>13.6</v>
      </c>
      <c r="AF21" s="45">
        <v>23.2</v>
      </c>
      <c r="AG21" s="44">
        <v>7.1</v>
      </c>
      <c r="AH21" s="46">
        <v>14.1</v>
      </c>
      <c r="AI21" s="44"/>
      <c r="AJ21" s="45">
        <v>3.01</v>
      </c>
      <c r="AK21" s="45">
        <v>6.45</v>
      </c>
      <c r="AL21" s="44">
        <v>2.79</v>
      </c>
      <c r="AM21" s="46">
        <v>3.94</v>
      </c>
      <c r="AN21" s="44"/>
      <c r="AO21" s="45">
        <v>1.325806</v>
      </c>
      <c r="AP21" s="45">
        <v>1.99135</v>
      </c>
      <c r="AQ21" s="44">
        <v>1.3870774400000001</v>
      </c>
      <c r="AR21" s="46">
        <v>1.7485999999999999</v>
      </c>
      <c r="AS21" s="44"/>
      <c r="AT21" s="45">
        <v>0.16691420000000001</v>
      </c>
      <c r="AU21" s="45">
        <v>0.26780225000000002</v>
      </c>
      <c r="AV21" s="44">
        <v>0.18487334999999999</v>
      </c>
      <c r="AW21" s="46">
        <v>0.49740000000000001</v>
      </c>
      <c r="AX21" s="44"/>
      <c r="AY21" s="45">
        <v>1.4</v>
      </c>
      <c r="AZ21" s="45">
        <v>4.2</v>
      </c>
      <c r="BA21" s="44">
        <v>1.28</v>
      </c>
      <c r="BB21" s="46">
        <v>1.75</v>
      </c>
      <c r="BC21" s="44"/>
      <c r="BD21" s="45">
        <v>18.260000000000002</v>
      </c>
      <c r="BE21" s="45">
        <v>39.450000000000003</v>
      </c>
      <c r="BF21" s="44">
        <v>14.94</v>
      </c>
      <c r="BG21" s="46">
        <v>8.39</v>
      </c>
      <c r="BH21" s="44"/>
      <c r="BI21" s="45">
        <v>4.5</v>
      </c>
      <c r="BJ21" s="45">
        <v>0.6</v>
      </c>
      <c r="BK21" s="44">
        <v>1</v>
      </c>
      <c r="BL21" s="46">
        <v>0.6</v>
      </c>
      <c r="BM21" s="47"/>
      <c r="BN21" s="48">
        <v>0.03</v>
      </c>
      <c r="BO21" s="48">
        <v>0.02</v>
      </c>
      <c r="BP21" s="49">
        <v>0.01</v>
      </c>
      <c r="BQ21" s="50">
        <v>0</v>
      </c>
      <c r="BR21" s="49"/>
      <c r="BS21" s="48">
        <v>0.03</v>
      </c>
      <c r="BT21" s="48">
        <v>0.02</v>
      </c>
      <c r="BU21" s="49">
        <v>0.01</v>
      </c>
      <c r="BV21" s="50">
        <v>0</v>
      </c>
      <c r="BW21" s="49"/>
      <c r="BX21" s="48">
        <v>0</v>
      </c>
      <c r="BY21" s="48">
        <v>0</v>
      </c>
      <c r="BZ21" s="49">
        <v>0</v>
      </c>
      <c r="CA21" s="50">
        <v>0</v>
      </c>
      <c r="CB21" s="49"/>
      <c r="CC21" s="48">
        <v>0.03</v>
      </c>
      <c r="CD21" s="48">
        <v>0.01</v>
      </c>
      <c r="CE21" s="49">
        <v>0.01</v>
      </c>
      <c r="CF21" s="50">
        <v>0</v>
      </c>
      <c r="CG21" s="49"/>
      <c r="CH21" s="48">
        <v>0</v>
      </c>
      <c r="CI21" s="48">
        <v>0</v>
      </c>
      <c r="CJ21" s="49">
        <v>0</v>
      </c>
      <c r="CK21" s="50">
        <v>0</v>
      </c>
      <c r="CL21" s="49"/>
      <c r="CM21" s="48">
        <v>0</v>
      </c>
      <c r="CN21" s="48">
        <v>0</v>
      </c>
      <c r="CO21" s="49">
        <v>0</v>
      </c>
      <c r="CP21" s="50">
        <v>0</v>
      </c>
      <c r="CQ21" s="49"/>
      <c r="CR21" s="48">
        <v>0</v>
      </c>
      <c r="CS21" s="48">
        <v>0</v>
      </c>
      <c r="CT21" s="49">
        <v>0</v>
      </c>
      <c r="CU21" s="50">
        <v>0</v>
      </c>
      <c r="CV21" s="49"/>
      <c r="CW21" s="48">
        <v>0</v>
      </c>
      <c r="CX21" s="48">
        <v>0</v>
      </c>
      <c r="CY21" s="49">
        <v>0</v>
      </c>
      <c r="CZ21" s="50">
        <v>0</v>
      </c>
      <c r="DA21" s="49"/>
      <c r="DB21" s="48">
        <v>0</v>
      </c>
      <c r="DC21" s="48">
        <v>0</v>
      </c>
      <c r="DD21" s="49">
        <v>0</v>
      </c>
      <c r="DE21" s="50">
        <v>0</v>
      </c>
      <c r="DF21" s="49"/>
      <c r="DG21" s="48">
        <v>0</v>
      </c>
      <c r="DH21" s="48">
        <v>0</v>
      </c>
      <c r="DI21" s="49">
        <v>0</v>
      </c>
      <c r="DJ21" s="50">
        <v>0</v>
      </c>
      <c r="DK21" s="49"/>
      <c r="DL21" s="48">
        <v>0</v>
      </c>
      <c r="DM21" s="48">
        <v>0</v>
      </c>
      <c r="DN21" s="49">
        <v>0</v>
      </c>
      <c r="DO21" s="50">
        <v>0</v>
      </c>
      <c r="DP21" s="47"/>
      <c r="DQ21" s="51" t="s">
        <v>44</v>
      </c>
      <c r="DR21" s="52" t="s">
        <v>45</v>
      </c>
      <c r="DS21" s="52" t="s">
        <v>45</v>
      </c>
      <c r="DT21" s="53" t="s">
        <v>46</v>
      </c>
      <c r="DU21" s="54"/>
      <c r="DV21" s="51" t="s">
        <v>44</v>
      </c>
      <c r="DW21" s="55" t="s">
        <v>47</v>
      </c>
      <c r="DX21" s="47" t="s">
        <v>47</v>
      </c>
      <c r="DY21" s="56" t="s">
        <v>44</v>
      </c>
      <c r="DZ21" s="47"/>
      <c r="EA21" s="113">
        <v>24</v>
      </c>
      <c r="EB21" s="113">
        <v>60</v>
      </c>
      <c r="EC21" s="57" t="s">
        <v>71</v>
      </c>
      <c r="ED21" s="58">
        <v>0</v>
      </c>
      <c r="EE21" s="57"/>
      <c r="EF21" s="113">
        <v>38.6</v>
      </c>
      <c r="EG21" s="113">
        <v>61.3</v>
      </c>
      <c r="EH21" s="113">
        <v>1.6120000000000001</v>
      </c>
      <c r="EI21" s="173">
        <v>0.2</v>
      </c>
      <c r="EJ21" s="57"/>
      <c r="EK21" s="113">
        <v>39.200000000000003</v>
      </c>
      <c r="EL21" s="113">
        <v>60.5</v>
      </c>
      <c r="EM21" s="113">
        <v>1.5880000000000001</v>
      </c>
      <c r="EN21" s="173">
        <v>0.2</v>
      </c>
      <c r="EO21" s="57"/>
      <c r="EP21" s="113">
        <v>37.200000000000003</v>
      </c>
      <c r="EQ21" s="113">
        <v>65.400000000000006</v>
      </c>
      <c r="ER21" s="113">
        <v>1.3859999999999999</v>
      </c>
      <c r="ES21" s="173">
        <v>0</v>
      </c>
      <c r="ET21" s="47"/>
      <c r="EU21" s="51" t="s">
        <v>44</v>
      </c>
      <c r="EV21" s="51" t="s">
        <v>44</v>
      </c>
      <c r="EW21" s="55" t="s">
        <v>47</v>
      </c>
      <c r="EX21" s="59" t="s">
        <v>44</v>
      </c>
      <c r="EY21" s="54"/>
      <c r="EZ21" s="51" t="s">
        <v>44</v>
      </c>
      <c r="FA21" s="51" t="s">
        <v>44</v>
      </c>
      <c r="FB21" s="55" t="s">
        <v>47</v>
      </c>
      <c r="FC21" s="59" t="s">
        <v>44</v>
      </c>
      <c r="FD21" s="55"/>
      <c r="FE21" s="51" t="s">
        <v>44</v>
      </c>
      <c r="FF21" s="51" t="s">
        <v>44</v>
      </c>
      <c r="FG21" s="55" t="s">
        <v>47</v>
      </c>
      <c r="FH21" s="59" t="s">
        <v>44</v>
      </c>
      <c r="FI21" s="55"/>
      <c r="FJ21" s="52" t="s">
        <v>45</v>
      </c>
      <c r="FK21" s="52" t="s">
        <v>45</v>
      </c>
      <c r="FL21" s="52" t="s">
        <v>45</v>
      </c>
      <c r="FM21" s="60" t="s">
        <v>45</v>
      </c>
    </row>
    <row r="22" spans="2:169" ht="16.5" customHeight="1">
      <c r="B22" s="37">
        <v>17</v>
      </c>
      <c r="C22" s="112" t="s">
        <v>72</v>
      </c>
      <c r="D22" s="39">
        <v>30</v>
      </c>
      <c r="E22" s="40">
        <v>37</v>
      </c>
      <c r="F22" s="41">
        <v>7.64</v>
      </c>
      <c r="G22" s="41">
        <v>7.7650000000000006</v>
      </c>
      <c r="H22" s="42">
        <v>7.8450000000000006</v>
      </c>
      <c r="I22" s="43">
        <v>7.5975000000000001</v>
      </c>
      <c r="J22" s="44"/>
      <c r="K22" s="42">
        <v>10.46</v>
      </c>
      <c r="L22" s="44">
        <v>7.2519999999999998</v>
      </c>
      <c r="M22" s="44">
        <v>7.0412999999999997</v>
      </c>
      <c r="N22" s="46">
        <v>8.7457999999999991</v>
      </c>
      <c r="O22" s="44"/>
      <c r="P22" s="45">
        <v>30.12</v>
      </c>
      <c r="Q22" s="45">
        <v>23.765000000000001</v>
      </c>
      <c r="R22" s="44">
        <v>25.184999999999999</v>
      </c>
      <c r="S22" s="46">
        <v>29.672499999999999</v>
      </c>
      <c r="T22" s="44"/>
      <c r="U22" s="45">
        <v>18.45</v>
      </c>
      <c r="V22" s="45">
        <v>14.56</v>
      </c>
      <c r="W22" s="44">
        <v>15.675000000000001</v>
      </c>
      <c r="X22" s="46">
        <v>19.747499999999999</v>
      </c>
      <c r="Y22" s="44"/>
      <c r="Z22" s="45">
        <v>27.6</v>
      </c>
      <c r="AA22" s="45">
        <v>18.649999999999999</v>
      </c>
      <c r="AB22" s="44">
        <v>20.6</v>
      </c>
      <c r="AC22" s="46">
        <v>27.9</v>
      </c>
      <c r="AD22" s="44"/>
      <c r="AE22" s="45">
        <v>18.3</v>
      </c>
      <c r="AF22" s="45">
        <v>13.3</v>
      </c>
      <c r="AG22" s="44">
        <v>14.45</v>
      </c>
      <c r="AH22" s="46">
        <v>20.65</v>
      </c>
      <c r="AI22" s="44"/>
      <c r="AJ22" s="45">
        <v>7.23</v>
      </c>
      <c r="AK22" s="45">
        <v>3.2949999999999999</v>
      </c>
      <c r="AL22" s="44">
        <v>4.4450000000000003</v>
      </c>
      <c r="AM22" s="46">
        <v>5.6475</v>
      </c>
      <c r="AN22" s="44"/>
      <c r="AO22" s="45">
        <v>4.2890620000000004</v>
      </c>
      <c r="AP22" s="45">
        <v>2.9509303333333299</v>
      </c>
      <c r="AQ22" s="44">
        <v>4.2241447650000001</v>
      </c>
      <c r="AR22" s="46">
        <v>4.2</v>
      </c>
      <c r="AS22" s="44"/>
      <c r="AT22" s="45">
        <v>2.3769429999999998</v>
      </c>
      <c r="AU22" s="45">
        <v>1.690361</v>
      </c>
      <c r="AV22" s="44">
        <v>1.7193222500000001</v>
      </c>
      <c r="AW22" s="46">
        <v>2.03182666666667</v>
      </c>
      <c r="AX22" s="44"/>
      <c r="AY22" s="45">
        <v>2.0499999999999998</v>
      </c>
      <c r="AZ22" s="45">
        <v>2.085</v>
      </c>
      <c r="BA22" s="44">
        <v>2.95</v>
      </c>
      <c r="BB22" s="46">
        <v>2.58</v>
      </c>
      <c r="BC22" s="44"/>
      <c r="BD22" s="45">
        <v>30.11</v>
      </c>
      <c r="BE22" s="45">
        <v>18.850000000000001</v>
      </c>
      <c r="BF22" s="44">
        <v>23.565000000000001</v>
      </c>
      <c r="BG22" s="46">
        <v>33.200000000000003</v>
      </c>
      <c r="BH22" s="44"/>
      <c r="BI22" s="45">
        <v>1.7</v>
      </c>
      <c r="BJ22" s="45">
        <v>3.35</v>
      </c>
      <c r="BK22" s="44">
        <v>3</v>
      </c>
      <c r="BL22" s="46">
        <v>2.625</v>
      </c>
      <c r="BM22" s="47"/>
      <c r="BN22" s="48">
        <v>0.02</v>
      </c>
      <c r="BO22" s="48">
        <v>1.4999999999999999E-2</v>
      </c>
      <c r="BP22" s="49">
        <v>4.9999999999999996E-2</v>
      </c>
      <c r="BQ22" s="50">
        <v>0.03</v>
      </c>
      <c r="BR22" s="49"/>
      <c r="BS22" s="48">
        <v>0.02</v>
      </c>
      <c r="BT22" s="48">
        <v>1.4999999999999999E-2</v>
      </c>
      <c r="BU22" s="49">
        <v>4.9999999999999996E-2</v>
      </c>
      <c r="BV22" s="50">
        <v>0.03</v>
      </c>
      <c r="BW22" s="49"/>
      <c r="BX22" s="48">
        <v>0</v>
      </c>
      <c r="BY22" s="48">
        <v>0</v>
      </c>
      <c r="BZ22" s="49">
        <v>0</v>
      </c>
      <c r="CA22" s="50">
        <v>0</v>
      </c>
      <c r="CB22" s="49"/>
      <c r="CC22" s="48">
        <v>0.02</v>
      </c>
      <c r="CD22" s="48">
        <v>0.01</v>
      </c>
      <c r="CE22" s="49">
        <v>0.04</v>
      </c>
      <c r="CF22" s="50">
        <v>0</v>
      </c>
      <c r="CG22" s="49"/>
      <c r="CH22" s="48">
        <v>0</v>
      </c>
      <c r="CI22" s="48">
        <v>0</v>
      </c>
      <c r="CJ22" s="49">
        <v>0.01</v>
      </c>
      <c r="CK22" s="50">
        <v>0</v>
      </c>
      <c r="CL22" s="49"/>
      <c r="CM22" s="48">
        <v>0</v>
      </c>
      <c r="CN22" s="48">
        <v>0</v>
      </c>
      <c r="CO22" s="49">
        <v>0</v>
      </c>
      <c r="CP22" s="50">
        <v>0</v>
      </c>
      <c r="CQ22" s="49"/>
      <c r="CR22" s="48">
        <v>0</v>
      </c>
      <c r="CS22" s="48">
        <v>0</v>
      </c>
      <c r="CT22" s="49">
        <v>0</v>
      </c>
      <c r="CU22" s="50">
        <v>0</v>
      </c>
      <c r="CV22" s="49"/>
      <c r="CW22" s="48">
        <v>0</v>
      </c>
      <c r="CX22" s="48">
        <v>0</v>
      </c>
      <c r="CY22" s="49">
        <v>0</v>
      </c>
      <c r="CZ22" s="50">
        <v>0</v>
      </c>
      <c r="DA22" s="49"/>
      <c r="DB22" s="48">
        <v>0</v>
      </c>
      <c r="DC22" s="48">
        <v>0</v>
      </c>
      <c r="DD22" s="49">
        <v>0</v>
      </c>
      <c r="DE22" s="50">
        <v>0</v>
      </c>
      <c r="DF22" s="49"/>
      <c r="DG22" s="48">
        <v>0</v>
      </c>
      <c r="DH22" s="48">
        <v>0</v>
      </c>
      <c r="DI22" s="49">
        <v>0</v>
      </c>
      <c r="DJ22" s="50">
        <v>0</v>
      </c>
      <c r="DK22" s="49"/>
      <c r="DL22" s="48">
        <v>0</v>
      </c>
      <c r="DM22" s="48">
        <v>0</v>
      </c>
      <c r="DN22" s="49">
        <v>0</v>
      </c>
      <c r="DO22" s="50">
        <v>0.03</v>
      </c>
      <c r="DP22" s="47"/>
      <c r="DQ22" s="51" t="s">
        <v>44</v>
      </c>
      <c r="DR22" s="52" t="s">
        <v>45</v>
      </c>
      <c r="DS22" s="52" t="s">
        <v>45</v>
      </c>
      <c r="DT22" s="53" t="s">
        <v>46</v>
      </c>
      <c r="DU22" s="54"/>
      <c r="DV22" s="51" t="s">
        <v>44</v>
      </c>
      <c r="DW22" s="55" t="s">
        <v>47</v>
      </c>
      <c r="DX22" s="47" t="s">
        <v>47</v>
      </c>
      <c r="DY22" s="56" t="s">
        <v>44</v>
      </c>
      <c r="DZ22" s="47"/>
      <c r="EA22" s="57">
        <v>27.3</v>
      </c>
      <c r="EB22" s="113">
        <v>69.7</v>
      </c>
      <c r="EC22" s="57">
        <v>3.4670000000000001</v>
      </c>
      <c r="ED22" s="58">
        <v>0.3</v>
      </c>
      <c r="EE22" s="57"/>
      <c r="EF22" s="113">
        <v>27.3</v>
      </c>
      <c r="EG22" s="113">
        <v>69.2</v>
      </c>
      <c r="EH22" s="113">
        <v>3.4670000000000001</v>
      </c>
      <c r="EI22" s="173">
        <v>0.3</v>
      </c>
      <c r="EJ22" s="57"/>
      <c r="EK22" s="113">
        <v>34.4</v>
      </c>
      <c r="EL22" s="113">
        <v>65.2</v>
      </c>
      <c r="EM22" s="113">
        <v>4.4740000000000002</v>
      </c>
      <c r="EN22" s="173">
        <v>0.1</v>
      </c>
      <c r="EO22" s="57"/>
      <c r="EP22" s="113">
        <v>30.7</v>
      </c>
      <c r="EQ22" s="113">
        <v>69.5</v>
      </c>
      <c r="ER22" s="113">
        <v>3.78</v>
      </c>
      <c r="ES22" s="173">
        <v>0.3</v>
      </c>
      <c r="ET22" s="47"/>
      <c r="EU22" s="51" t="s">
        <v>44</v>
      </c>
      <c r="EV22" s="51" t="s">
        <v>44</v>
      </c>
      <c r="EW22" s="55" t="s">
        <v>47</v>
      </c>
      <c r="EX22" s="59" t="s">
        <v>44</v>
      </c>
      <c r="EY22" s="54"/>
      <c r="EZ22" s="51" t="s">
        <v>44</v>
      </c>
      <c r="FA22" s="51" t="s">
        <v>44</v>
      </c>
      <c r="FB22" s="55" t="s">
        <v>47</v>
      </c>
      <c r="FC22" s="59" t="s">
        <v>44</v>
      </c>
      <c r="FD22" s="55"/>
      <c r="FE22" s="51" t="s">
        <v>44</v>
      </c>
      <c r="FF22" s="51" t="s">
        <v>44</v>
      </c>
      <c r="FG22" s="55" t="s">
        <v>47</v>
      </c>
      <c r="FH22" s="59" t="s">
        <v>44</v>
      </c>
      <c r="FI22" s="55"/>
      <c r="FJ22" s="52" t="s">
        <v>45</v>
      </c>
      <c r="FK22" s="52" t="s">
        <v>45</v>
      </c>
      <c r="FL22" s="52" t="s">
        <v>45</v>
      </c>
      <c r="FM22" s="60" t="s">
        <v>45</v>
      </c>
    </row>
    <row r="23" spans="2:169" ht="16.5" customHeight="1">
      <c r="B23" s="37">
        <v>18</v>
      </c>
      <c r="C23" s="112" t="s">
        <v>73</v>
      </c>
      <c r="D23" s="39">
        <v>20</v>
      </c>
      <c r="E23" s="40">
        <v>35</v>
      </c>
      <c r="F23" s="41">
        <v>7.3</v>
      </c>
      <c r="G23" s="41">
        <v>7.2</v>
      </c>
      <c r="H23" s="42">
        <v>7.3</v>
      </c>
      <c r="I23" s="43">
        <v>7.15</v>
      </c>
      <c r="J23" s="44"/>
      <c r="K23" s="44">
        <v>4.8174999999999999</v>
      </c>
      <c r="L23" s="44">
        <v>0.6613</v>
      </c>
      <c r="M23" s="44">
        <v>1.9875</v>
      </c>
      <c r="N23" s="46">
        <v>3.4066999999999998</v>
      </c>
      <c r="O23" s="44"/>
      <c r="P23" s="45">
        <v>23.58</v>
      </c>
      <c r="Q23" s="45">
        <v>13.88</v>
      </c>
      <c r="R23" s="44">
        <v>17.52</v>
      </c>
      <c r="S23" s="46">
        <v>22.23</v>
      </c>
      <c r="T23" s="44"/>
      <c r="U23" s="45">
        <v>16.72</v>
      </c>
      <c r="V23" s="45">
        <v>9.35</v>
      </c>
      <c r="W23" s="44">
        <v>11.85</v>
      </c>
      <c r="X23" s="46">
        <v>15.75</v>
      </c>
      <c r="Y23" s="44"/>
      <c r="Z23" s="45">
        <v>23</v>
      </c>
      <c r="AA23" s="45">
        <v>13</v>
      </c>
      <c r="AB23" s="44">
        <v>14.7</v>
      </c>
      <c r="AC23" s="46">
        <v>21.5</v>
      </c>
      <c r="AD23" s="44"/>
      <c r="AE23" s="45">
        <v>16.8</v>
      </c>
      <c r="AF23" s="45">
        <v>9.3000000000000007</v>
      </c>
      <c r="AG23" s="44">
        <v>11.1</v>
      </c>
      <c r="AH23" s="46">
        <v>17.3</v>
      </c>
      <c r="AI23" s="44"/>
      <c r="AJ23" s="45">
        <v>5.25</v>
      </c>
      <c r="AK23" s="45">
        <v>1.91</v>
      </c>
      <c r="AL23" s="44">
        <v>2.57</v>
      </c>
      <c r="AM23" s="46">
        <v>3.76</v>
      </c>
      <c r="AN23" s="44"/>
      <c r="AO23" s="45">
        <v>2.2818659999999999</v>
      </c>
      <c r="AP23" s="45">
        <v>1.130369</v>
      </c>
      <c r="AQ23" s="44">
        <v>2.7314783399999998</v>
      </c>
      <c r="AR23" s="46">
        <v>2.3172000000000001</v>
      </c>
      <c r="AS23" s="44"/>
      <c r="AT23" s="45">
        <v>0.40672150000000001</v>
      </c>
      <c r="AU23" s="45">
        <v>0.64441550000000003</v>
      </c>
      <c r="AV23" s="44">
        <v>0.48067949999999998</v>
      </c>
      <c r="AW23" s="46">
        <v>0.87690000000000001</v>
      </c>
      <c r="AX23" s="44"/>
      <c r="AY23" s="45">
        <v>2</v>
      </c>
      <c r="AZ23" s="45">
        <v>1.65</v>
      </c>
      <c r="BA23" s="44">
        <v>0</v>
      </c>
      <c r="BB23" s="46">
        <v>3.3</v>
      </c>
      <c r="BC23" s="44"/>
      <c r="BD23" s="45">
        <v>46.2</v>
      </c>
      <c r="BE23" s="45">
        <v>2.36</v>
      </c>
      <c r="BF23" s="44">
        <v>16.649999999999999</v>
      </c>
      <c r="BG23" s="46">
        <v>26.08</v>
      </c>
      <c r="BH23" s="44"/>
      <c r="BI23" s="45">
        <v>0.5</v>
      </c>
      <c r="BJ23" s="45">
        <v>0.7</v>
      </c>
      <c r="BK23" s="44">
        <v>0.3</v>
      </c>
      <c r="BL23" s="46">
        <v>0.5</v>
      </c>
      <c r="BM23" s="47"/>
      <c r="BN23" s="48">
        <v>1.1100000000000001</v>
      </c>
      <c r="BO23" s="48">
        <v>0.01</v>
      </c>
      <c r="BP23" s="49">
        <v>0</v>
      </c>
      <c r="BQ23" s="50">
        <v>0</v>
      </c>
      <c r="BR23" s="49"/>
      <c r="BS23" s="48">
        <v>1.1100000000000001</v>
      </c>
      <c r="BT23" s="48">
        <v>0.01</v>
      </c>
      <c r="BU23" s="49">
        <v>0</v>
      </c>
      <c r="BV23" s="50">
        <v>0</v>
      </c>
      <c r="BW23" s="49"/>
      <c r="BX23" s="48">
        <v>0</v>
      </c>
      <c r="BY23" s="48">
        <v>0</v>
      </c>
      <c r="BZ23" s="49">
        <v>0</v>
      </c>
      <c r="CA23" s="50">
        <v>0</v>
      </c>
      <c r="CB23" s="49"/>
      <c r="CC23" s="48">
        <v>0.88</v>
      </c>
      <c r="CD23" s="48">
        <v>0.01</v>
      </c>
      <c r="CE23" s="49">
        <v>0</v>
      </c>
      <c r="CF23" s="50">
        <v>0</v>
      </c>
      <c r="CG23" s="49"/>
      <c r="CH23" s="48">
        <v>0.08</v>
      </c>
      <c r="CI23" s="48">
        <v>0</v>
      </c>
      <c r="CJ23" s="49">
        <v>0</v>
      </c>
      <c r="CK23" s="50">
        <v>0</v>
      </c>
      <c r="CL23" s="49"/>
      <c r="CM23" s="48">
        <v>0.05</v>
      </c>
      <c r="CN23" s="48">
        <v>0</v>
      </c>
      <c r="CO23" s="49">
        <v>0</v>
      </c>
      <c r="CP23" s="50">
        <v>0</v>
      </c>
      <c r="CQ23" s="49"/>
      <c r="CR23" s="48">
        <v>0.02</v>
      </c>
      <c r="CS23" s="48">
        <v>0</v>
      </c>
      <c r="CT23" s="49">
        <v>0</v>
      </c>
      <c r="CU23" s="50">
        <v>0</v>
      </c>
      <c r="CV23" s="49"/>
      <c r="CW23" s="48">
        <v>0.06</v>
      </c>
      <c r="CX23" s="48">
        <v>0</v>
      </c>
      <c r="CY23" s="49">
        <v>0</v>
      </c>
      <c r="CZ23" s="50">
        <v>0</v>
      </c>
      <c r="DA23" s="49"/>
      <c r="DB23" s="48">
        <v>0.01</v>
      </c>
      <c r="DC23" s="48">
        <v>0</v>
      </c>
      <c r="DD23" s="49">
        <v>0</v>
      </c>
      <c r="DE23" s="50">
        <v>0</v>
      </c>
      <c r="DF23" s="49"/>
      <c r="DG23" s="48">
        <v>0</v>
      </c>
      <c r="DH23" s="48">
        <v>0</v>
      </c>
      <c r="DI23" s="49">
        <v>0</v>
      </c>
      <c r="DJ23" s="50">
        <v>0</v>
      </c>
      <c r="DK23" s="49"/>
      <c r="DL23" s="48">
        <v>0</v>
      </c>
      <c r="DM23" s="48">
        <v>0</v>
      </c>
      <c r="DN23" s="49">
        <v>0</v>
      </c>
      <c r="DO23" s="50">
        <v>0</v>
      </c>
      <c r="DP23" s="47"/>
      <c r="DQ23" s="51" t="s">
        <v>44</v>
      </c>
      <c r="DR23" s="52" t="s">
        <v>45</v>
      </c>
      <c r="DS23" s="52" t="s">
        <v>45</v>
      </c>
      <c r="DT23" s="53" t="s">
        <v>46</v>
      </c>
      <c r="DU23" s="54"/>
      <c r="DV23" s="51" t="s">
        <v>44</v>
      </c>
      <c r="DW23" s="55" t="s">
        <v>47</v>
      </c>
      <c r="DX23" s="47" t="s">
        <v>47</v>
      </c>
      <c r="DY23" s="56" t="s">
        <v>47</v>
      </c>
      <c r="DZ23" s="47"/>
      <c r="EA23" s="57">
        <v>23.5</v>
      </c>
      <c r="EB23" s="113">
        <v>57.6</v>
      </c>
      <c r="EC23" s="57">
        <v>4.0000000000000001E-3</v>
      </c>
      <c r="ED23" s="58">
        <v>0</v>
      </c>
      <c r="EE23" s="57"/>
      <c r="EF23" s="113">
        <v>30.1</v>
      </c>
      <c r="EG23" s="113">
        <v>68.900000000000006</v>
      </c>
      <c r="EH23" s="113">
        <v>7.6589999999999998</v>
      </c>
      <c r="EI23" s="173">
        <v>0</v>
      </c>
      <c r="EJ23" s="57"/>
      <c r="EK23" s="113">
        <v>34.4</v>
      </c>
      <c r="EL23" s="113">
        <v>65.2</v>
      </c>
      <c r="EM23" s="113">
        <v>6.5129999999999999</v>
      </c>
      <c r="EN23" s="173">
        <v>0.1</v>
      </c>
      <c r="EO23" s="57"/>
      <c r="EP23" s="113">
        <v>34.200000000000003</v>
      </c>
      <c r="EQ23" s="113">
        <v>66.099999999999994</v>
      </c>
      <c r="ER23" s="113">
        <v>7.9820000000000002</v>
      </c>
      <c r="ES23" s="173">
        <v>0</v>
      </c>
      <c r="ET23" s="47"/>
      <c r="EU23" s="51" t="s">
        <v>44</v>
      </c>
      <c r="EV23" s="51" t="s">
        <v>44</v>
      </c>
      <c r="EW23" s="55" t="s">
        <v>47</v>
      </c>
      <c r="EX23" s="59" t="s">
        <v>47</v>
      </c>
      <c r="EY23" s="54"/>
      <c r="EZ23" s="51" t="s">
        <v>44</v>
      </c>
      <c r="FA23" s="51" t="s">
        <v>44</v>
      </c>
      <c r="FB23" s="55" t="s">
        <v>47</v>
      </c>
      <c r="FC23" s="59" t="s">
        <v>47</v>
      </c>
      <c r="FD23" s="55"/>
      <c r="FE23" s="51" t="s">
        <v>44</v>
      </c>
      <c r="FF23" s="51" t="s">
        <v>44</v>
      </c>
      <c r="FG23" s="55" t="s">
        <v>47</v>
      </c>
      <c r="FH23" s="59" t="s">
        <v>47</v>
      </c>
      <c r="FI23" s="55"/>
      <c r="FJ23" s="52" t="s">
        <v>45</v>
      </c>
      <c r="FK23" s="52" t="s">
        <v>45</v>
      </c>
      <c r="FL23" s="52" t="s">
        <v>45</v>
      </c>
      <c r="FM23" s="60" t="s">
        <v>45</v>
      </c>
    </row>
    <row r="24" spans="2:169" ht="16.5" customHeight="1">
      <c r="B24" s="37">
        <v>19</v>
      </c>
      <c r="C24" s="112" t="s">
        <v>74</v>
      </c>
      <c r="D24" s="39">
        <v>33</v>
      </c>
      <c r="E24" s="40" t="s">
        <v>75</v>
      </c>
      <c r="F24" s="41">
        <v>7.95</v>
      </c>
      <c r="G24" s="41">
        <v>8.14</v>
      </c>
      <c r="H24" s="42">
        <v>7.95</v>
      </c>
      <c r="I24" s="174"/>
      <c r="J24" s="175"/>
      <c r="K24" s="42">
        <v>12.4575</v>
      </c>
      <c r="L24" s="44">
        <v>9.15</v>
      </c>
      <c r="M24" s="44">
        <v>5.8537999999999997</v>
      </c>
      <c r="N24" s="176"/>
      <c r="O24" s="175"/>
      <c r="P24" s="45">
        <v>17.7</v>
      </c>
      <c r="Q24" s="45">
        <v>31.12</v>
      </c>
      <c r="R24" s="44">
        <v>30.88</v>
      </c>
      <c r="S24" s="177"/>
      <c r="T24" s="175"/>
      <c r="U24" s="45">
        <v>8.98</v>
      </c>
      <c r="V24" s="45">
        <v>18.47</v>
      </c>
      <c r="W24" s="44">
        <v>19.05</v>
      </c>
      <c r="X24" s="177"/>
      <c r="Y24" s="175"/>
      <c r="Z24" s="45">
        <v>12.4</v>
      </c>
      <c r="AA24" s="45">
        <v>26.2</v>
      </c>
      <c r="AB24" s="44">
        <v>28.1</v>
      </c>
      <c r="AC24" s="177"/>
      <c r="AD24" s="175"/>
      <c r="AE24" s="45">
        <v>8.8000000000000007</v>
      </c>
      <c r="AF24" s="45">
        <v>20.399999999999999</v>
      </c>
      <c r="AG24" s="44">
        <v>19.8</v>
      </c>
      <c r="AH24" s="177"/>
      <c r="AI24" s="178"/>
      <c r="AJ24" s="45">
        <v>1.51</v>
      </c>
      <c r="AK24" s="45">
        <v>3.51</v>
      </c>
      <c r="AL24" s="44">
        <v>4.79</v>
      </c>
      <c r="AM24" s="177"/>
      <c r="AN24" s="178"/>
      <c r="AO24" s="45">
        <v>4.1622909999999997</v>
      </c>
      <c r="AP24" s="45">
        <v>5.0496829999999999</v>
      </c>
      <c r="AQ24" s="44">
        <v>5.1326116500000003</v>
      </c>
      <c r="AR24" s="177"/>
      <c r="AS24" s="178"/>
      <c r="AT24" s="45">
        <v>1.4552175000000001</v>
      </c>
      <c r="AU24" s="45">
        <v>2.324122</v>
      </c>
      <c r="AV24" s="44">
        <v>1.3923604000000001</v>
      </c>
      <c r="AW24" s="177"/>
      <c r="AX24" s="178"/>
      <c r="AY24" s="45">
        <v>0.85</v>
      </c>
      <c r="AZ24" s="45">
        <v>3.58</v>
      </c>
      <c r="BA24" s="44">
        <v>0</v>
      </c>
      <c r="BB24" s="177"/>
      <c r="BC24" s="178"/>
      <c r="BD24" s="45">
        <v>31.83</v>
      </c>
      <c r="BE24" s="45">
        <v>29.86</v>
      </c>
      <c r="BF24" s="44">
        <v>35.4</v>
      </c>
      <c r="BG24" s="177"/>
      <c r="BH24" s="178"/>
      <c r="BI24" s="45">
        <v>3.5</v>
      </c>
      <c r="BJ24" s="45">
        <v>8.5</v>
      </c>
      <c r="BK24" s="44">
        <v>4.8</v>
      </c>
      <c r="BL24" s="177"/>
      <c r="BN24" s="48">
        <v>0.2</v>
      </c>
      <c r="BO24" s="48">
        <v>1.01</v>
      </c>
      <c r="BP24" s="49">
        <v>0.09</v>
      </c>
      <c r="BQ24" s="179"/>
      <c r="BR24" s="180"/>
      <c r="BS24" s="48">
        <v>0.2</v>
      </c>
      <c r="BT24" s="48">
        <v>1.03</v>
      </c>
      <c r="BU24" s="49">
        <v>0.09</v>
      </c>
      <c r="BV24" s="179"/>
      <c r="BW24" s="180"/>
      <c r="BX24" s="48">
        <v>0.01</v>
      </c>
      <c r="BY24" s="48">
        <v>0.02</v>
      </c>
      <c r="BZ24" s="49">
        <v>0</v>
      </c>
      <c r="CA24" s="179"/>
      <c r="CB24" s="180"/>
      <c r="CC24" s="48">
        <v>0.14000000000000001</v>
      </c>
      <c r="CD24" s="48">
        <v>0.65</v>
      </c>
      <c r="CE24" s="49">
        <v>0.04</v>
      </c>
      <c r="CF24" s="179"/>
      <c r="CG24" s="180"/>
      <c r="CH24" s="48">
        <v>0.04</v>
      </c>
      <c r="CI24" s="48">
        <v>0.25</v>
      </c>
      <c r="CJ24" s="49">
        <v>0</v>
      </c>
      <c r="CK24" s="179"/>
      <c r="CL24" s="180"/>
      <c r="CM24" s="48">
        <v>0.01</v>
      </c>
      <c r="CN24" s="48">
        <v>0.09</v>
      </c>
      <c r="CO24" s="49">
        <v>0.03</v>
      </c>
      <c r="CP24" s="179"/>
      <c r="CQ24" s="180"/>
      <c r="CR24" s="48">
        <v>0</v>
      </c>
      <c r="CS24" s="48">
        <v>0.01</v>
      </c>
      <c r="CT24" s="49">
        <v>0</v>
      </c>
      <c r="CU24" s="179"/>
      <c r="CV24" s="180"/>
      <c r="CW24" s="48">
        <v>0</v>
      </c>
      <c r="CX24" s="48">
        <v>0</v>
      </c>
      <c r="CY24" s="49">
        <v>0</v>
      </c>
      <c r="CZ24" s="179"/>
      <c r="DA24" s="180"/>
      <c r="DB24" s="48">
        <v>0</v>
      </c>
      <c r="DC24" s="48">
        <v>0.01</v>
      </c>
      <c r="DD24" s="49">
        <v>0</v>
      </c>
      <c r="DE24" s="179"/>
      <c r="DF24" s="180"/>
      <c r="DG24" s="48">
        <v>0</v>
      </c>
      <c r="DH24" s="48">
        <v>0.01</v>
      </c>
      <c r="DI24" s="49">
        <v>0</v>
      </c>
      <c r="DJ24" s="179"/>
      <c r="DK24" s="180"/>
      <c r="DL24" s="48">
        <v>0</v>
      </c>
      <c r="DM24" s="48">
        <v>0</v>
      </c>
      <c r="DN24" s="49">
        <v>0.03</v>
      </c>
      <c r="DO24" s="179"/>
      <c r="DQ24" s="51" t="s">
        <v>44</v>
      </c>
      <c r="DR24" s="52" t="s">
        <v>45</v>
      </c>
      <c r="DS24" s="52" t="s">
        <v>45</v>
      </c>
      <c r="DT24" s="84"/>
      <c r="DV24" s="51" t="s">
        <v>44</v>
      </c>
      <c r="DW24" s="55" t="s">
        <v>47</v>
      </c>
      <c r="DX24" s="47" t="s">
        <v>47</v>
      </c>
      <c r="DY24" s="84"/>
      <c r="EA24" s="57">
        <v>36.5</v>
      </c>
      <c r="EB24" s="113">
        <v>63.5</v>
      </c>
      <c r="EC24" s="57">
        <v>0</v>
      </c>
      <c r="ED24" s="58">
        <v>0</v>
      </c>
      <c r="EE24" s="113"/>
      <c r="EF24" s="113">
        <v>34</v>
      </c>
      <c r="EG24" s="113">
        <v>68.8</v>
      </c>
      <c r="EH24" s="113">
        <v>0.26100000000000001</v>
      </c>
      <c r="EI24" s="181"/>
      <c r="EJ24" s="113"/>
      <c r="EK24" s="113">
        <v>37.200000000000003</v>
      </c>
      <c r="EL24" s="113">
        <v>64.3</v>
      </c>
      <c r="EM24" s="113">
        <v>0.14099999999999999</v>
      </c>
      <c r="EN24" s="181"/>
      <c r="EO24" s="113"/>
      <c r="EP24" s="182"/>
      <c r="EQ24" s="182"/>
      <c r="ER24" s="182"/>
      <c r="ES24" s="181"/>
      <c r="EU24" s="51" t="s">
        <v>44</v>
      </c>
      <c r="EV24" s="51" t="s">
        <v>44</v>
      </c>
      <c r="EW24" s="55" t="s">
        <v>47</v>
      </c>
      <c r="EX24" s="84"/>
      <c r="EZ24" s="51" t="s">
        <v>44</v>
      </c>
      <c r="FA24" s="51" t="s">
        <v>44</v>
      </c>
      <c r="FB24" s="55" t="s">
        <v>47</v>
      </c>
      <c r="FC24" s="84"/>
      <c r="FE24" s="51" t="s">
        <v>44</v>
      </c>
      <c r="FF24" s="51" t="s">
        <v>44</v>
      </c>
      <c r="FG24" s="55" t="s">
        <v>47</v>
      </c>
      <c r="FH24" s="84"/>
      <c r="FJ24" s="52" t="s">
        <v>45</v>
      </c>
      <c r="FK24" s="52" t="s">
        <v>45</v>
      </c>
      <c r="FL24" s="52" t="s">
        <v>45</v>
      </c>
      <c r="FM24" s="87"/>
    </row>
    <row r="25" spans="2:169" ht="16.5" customHeight="1">
      <c r="B25" s="143">
        <v>20</v>
      </c>
      <c r="C25" s="144" t="s">
        <v>76</v>
      </c>
      <c r="D25" s="39">
        <v>38</v>
      </c>
      <c r="E25" s="40">
        <v>38</v>
      </c>
      <c r="F25" s="41">
        <v>8.19</v>
      </c>
      <c r="G25" s="41">
        <v>8.18</v>
      </c>
      <c r="H25" s="42">
        <v>8.11</v>
      </c>
      <c r="I25" s="174"/>
      <c r="J25" s="175"/>
      <c r="K25" s="42">
        <v>14.054</v>
      </c>
      <c r="L25" s="44">
        <v>3.2574999999999998</v>
      </c>
      <c r="M25" s="44">
        <v>7.2962999999999996</v>
      </c>
      <c r="N25" s="176"/>
      <c r="O25" s="175"/>
      <c r="P25" s="45">
        <v>29.12</v>
      </c>
      <c r="Q25" s="45">
        <v>27.88</v>
      </c>
      <c r="R25" s="44">
        <v>24.12</v>
      </c>
      <c r="S25" s="177"/>
      <c r="T25" s="175"/>
      <c r="U25" s="45">
        <v>13.87</v>
      </c>
      <c r="V25" s="45">
        <v>14.02</v>
      </c>
      <c r="W25" s="44">
        <v>11.63</v>
      </c>
      <c r="X25" s="177"/>
      <c r="Y25" s="175"/>
      <c r="Z25" s="45">
        <v>18.100000000000001</v>
      </c>
      <c r="AA25" s="45">
        <v>16.7</v>
      </c>
      <c r="AB25" s="44">
        <v>15.3</v>
      </c>
      <c r="AC25" s="177"/>
      <c r="AD25" s="175"/>
      <c r="AE25" s="45">
        <v>12.2</v>
      </c>
      <c r="AF25" s="45">
        <v>11.3</v>
      </c>
      <c r="AG25" s="44">
        <v>9.3000000000000007</v>
      </c>
      <c r="AH25" s="177"/>
      <c r="AI25" s="178"/>
      <c r="AJ25" s="45">
        <v>2.5499999999999998</v>
      </c>
      <c r="AK25" s="45">
        <v>2.67</v>
      </c>
      <c r="AL25" s="44">
        <v>1.37</v>
      </c>
      <c r="AM25" s="177"/>
      <c r="AN25" s="178"/>
      <c r="AO25" s="45">
        <v>5.3396344999999998</v>
      </c>
      <c r="AP25" s="45">
        <v>4.7644500000000001</v>
      </c>
      <c r="AQ25" s="44">
        <v>4.7090942099999999</v>
      </c>
      <c r="AR25" s="177"/>
      <c r="AS25" s="178"/>
      <c r="AT25" s="45">
        <v>3.8242370000000001</v>
      </c>
      <c r="AU25" s="45">
        <v>3.6129540000000002</v>
      </c>
      <c r="AV25" s="44">
        <v>1.6110395</v>
      </c>
      <c r="AW25" s="177"/>
      <c r="AX25" s="178"/>
      <c r="AY25" s="45">
        <v>2.15</v>
      </c>
      <c r="AZ25" s="45">
        <v>1.55</v>
      </c>
      <c r="BA25" s="44">
        <v>0</v>
      </c>
      <c r="BB25" s="177"/>
      <c r="BC25" s="178"/>
      <c r="BD25" s="45">
        <v>34.39</v>
      </c>
      <c r="BE25" s="45">
        <v>17.88</v>
      </c>
      <c r="BF25" s="44">
        <v>16.87</v>
      </c>
      <c r="BG25" s="177"/>
      <c r="BH25" s="178"/>
      <c r="BI25" s="45">
        <v>6.3</v>
      </c>
      <c r="BJ25" s="45">
        <v>4</v>
      </c>
      <c r="BK25" s="44">
        <v>1.8</v>
      </c>
      <c r="BL25" s="177"/>
      <c r="BN25" s="48">
        <v>0</v>
      </c>
      <c r="BO25" s="48">
        <v>0.48</v>
      </c>
      <c r="BP25" s="49">
        <v>0.01</v>
      </c>
      <c r="BQ25" s="179"/>
      <c r="BR25" s="180"/>
      <c r="BS25" s="48">
        <v>0</v>
      </c>
      <c r="BT25" s="48">
        <v>0.52</v>
      </c>
      <c r="BU25" s="49">
        <v>0.01</v>
      </c>
      <c r="BV25" s="179"/>
      <c r="BW25" s="180"/>
      <c r="BX25" s="48">
        <v>0</v>
      </c>
      <c r="BY25" s="48">
        <v>0.05</v>
      </c>
      <c r="BZ25" s="49">
        <v>0</v>
      </c>
      <c r="CA25" s="179"/>
      <c r="CB25" s="180"/>
      <c r="CC25" s="48">
        <v>0</v>
      </c>
      <c r="CD25" s="48">
        <v>0.16</v>
      </c>
      <c r="CE25" s="49">
        <v>0</v>
      </c>
      <c r="CF25" s="179"/>
      <c r="CG25" s="180"/>
      <c r="CH25" s="48">
        <v>0</v>
      </c>
      <c r="CI25" s="48">
        <v>0.01</v>
      </c>
      <c r="CJ25" s="49">
        <v>0.01</v>
      </c>
      <c r="CK25" s="179"/>
      <c r="CL25" s="180"/>
      <c r="CM25" s="48">
        <v>0</v>
      </c>
      <c r="CN25" s="48">
        <v>0</v>
      </c>
      <c r="CO25" s="49">
        <v>0</v>
      </c>
      <c r="CP25" s="179"/>
      <c r="CQ25" s="180"/>
      <c r="CR25" s="48">
        <v>0</v>
      </c>
      <c r="CS25" s="48">
        <v>0.06</v>
      </c>
      <c r="CT25" s="49">
        <v>0</v>
      </c>
      <c r="CU25" s="179"/>
      <c r="CV25" s="180"/>
      <c r="CW25" s="48">
        <v>0</v>
      </c>
      <c r="CX25" s="48">
        <v>0.01</v>
      </c>
      <c r="CY25" s="49">
        <v>0</v>
      </c>
      <c r="CZ25" s="179"/>
      <c r="DA25" s="180"/>
      <c r="DB25" s="48">
        <v>0</v>
      </c>
      <c r="DC25" s="48">
        <v>0.02</v>
      </c>
      <c r="DD25" s="49">
        <v>0</v>
      </c>
      <c r="DE25" s="179"/>
      <c r="DF25" s="180"/>
      <c r="DG25" s="48">
        <v>0</v>
      </c>
      <c r="DH25" s="48">
        <v>0</v>
      </c>
      <c r="DI25" s="49">
        <v>0</v>
      </c>
      <c r="DJ25" s="179"/>
      <c r="DK25" s="180"/>
      <c r="DL25" s="48">
        <v>0</v>
      </c>
      <c r="DM25" s="48">
        <v>0.22</v>
      </c>
      <c r="DN25" s="49">
        <v>0</v>
      </c>
      <c r="DO25" s="179"/>
      <c r="DQ25" s="51" t="s">
        <v>44</v>
      </c>
      <c r="DR25" s="52" t="s">
        <v>45</v>
      </c>
      <c r="DS25" s="52" t="s">
        <v>45</v>
      </c>
      <c r="DT25" s="84"/>
      <c r="DV25" s="51" t="s">
        <v>44</v>
      </c>
      <c r="DW25" s="55" t="s">
        <v>47</v>
      </c>
      <c r="DX25" s="47" t="s">
        <v>47</v>
      </c>
      <c r="DY25" s="84"/>
      <c r="EA25" s="113">
        <v>36.979999999999997</v>
      </c>
      <c r="EB25" s="113">
        <v>63.02</v>
      </c>
      <c r="EC25" s="57">
        <v>9.4099999999999989E-2</v>
      </c>
      <c r="ED25" s="58">
        <v>0</v>
      </c>
      <c r="EE25" s="113"/>
      <c r="EF25" s="113">
        <v>28.4</v>
      </c>
      <c r="EG25" s="113">
        <v>70.69</v>
      </c>
      <c r="EH25" s="113">
        <v>0.10050000000000001</v>
      </c>
      <c r="EI25" s="181"/>
      <c r="EJ25" s="113"/>
      <c r="EK25" s="113">
        <v>37.4</v>
      </c>
      <c r="EL25" s="113">
        <v>66.900000000000006</v>
      </c>
      <c r="EM25" s="113">
        <v>5.6000000000000001E-2</v>
      </c>
      <c r="EN25" s="181"/>
      <c r="EO25" s="113"/>
      <c r="EP25" s="182"/>
      <c r="EQ25" s="182"/>
      <c r="ER25" s="182"/>
      <c r="ES25" s="181"/>
      <c r="EU25" s="51" t="s">
        <v>44</v>
      </c>
      <c r="EV25" s="51" t="s">
        <v>44</v>
      </c>
      <c r="EW25" s="55" t="s">
        <v>47</v>
      </c>
      <c r="EX25" s="84"/>
      <c r="EZ25" s="51" t="s">
        <v>44</v>
      </c>
      <c r="FA25" s="51" t="s">
        <v>44</v>
      </c>
      <c r="FB25" s="55" t="s">
        <v>47</v>
      </c>
      <c r="FC25" s="84"/>
      <c r="FE25" s="51" t="s">
        <v>44</v>
      </c>
      <c r="FF25" s="51" t="s">
        <v>44</v>
      </c>
      <c r="FG25" s="55" t="s">
        <v>47</v>
      </c>
      <c r="FH25" s="84"/>
      <c r="FJ25" s="52" t="s">
        <v>45</v>
      </c>
      <c r="FK25" s="52" t="s">
        <v>45</v>
      </c>
      <c r="FL25" s="52" t="s">
        <v>45</v>
      </c>
      <c r="FM25" s="87"/>
    </row>
    <row r="26" spans="2:169" ht="16.5" customHeight="1">
      <c r="B26" s="37">
        <v>21</v>
      </c>
      <c r="C26" s="112" t="s">
        <v>77</v>
      </c>
      <c r="D26" s="39">
        <v>13</v>
      </c>
      <c r="E26" s="40" t="s">
        <v>78</v>
      </c>
      <c r="F26" s="41">
        <v>7.22</v>
      </c>
      <c r="G26" s="41">
        <v>7.2</v>
      </c>
      <c r="H26" s="42">
        <v>7.02</v>
      </c>
      <c r="I26" s="43">
        <v>6.99</v>
      </c>
      <c r="J26" s="44"/>
      <c r="K26" s="44">
        <v>1.355</v>
      </c>
      <c r="L26" s="44">
        <v>0.74529999999999996</v>
      </c>
      <c r="M26" s="44">
        <v>1.5138</v>
      </c>
      <c r="N26" s="46">
        <v>3.08</v>
      </c>
      <c r="O26" s="44"/>
      <c r="P26" s="45">
        <v>15.75</v>
      </c>
      <c r="Q26" s="45">
        <v>22.83</v>
      </c>
      <c r="R26" s="44">
        <v>23.45</v>
      </c>
      <c r="S26" s="46">
        <v>23.43</v>
      </c>
      <c r="T26" s="44"/>
      <c r="U26" s="45">
        <v>10.58</v>
      </c>
      <c r="V26" s="45">
        <v>13.7</v>
      </c>
      <c r="W26" s="44">
        <v>15.82</v>
      </c>
      <c r="X26" s="46">
        <v>17.38</v>
      </c>
      <c r="Y26" s="44"/>
      <c r="Z26" s="45">
        <v>14.6</v>
      </c>
      <c r="AA26" s="45">
        <v>22.7</v>
      </c>
      <c r="AB26" s="44">
        <v>22</v>
      </c>
      <c r="AC26" s="46">
        <v>23.6</v>
      </c>
      <c r="AD26" s="44"/>
      <c r="AE26" s="45">
        <v>9.6</v>
      </c>
      <c r="AF26" s="45">
        <v>13.9</v>
      </c>
      <c r="AG26" s="44">
        <v>15.1</v>
      </c>
      <c r="AH26" s="46">
        <v>17.899999999999999</v>
      </c>
      <c r="AI26" s="44"/>
      <c r="AJ26" s="45">
        <v>1.7</v>
      </c>
      <c r="AK26" s="45">
        <v>2.9</v>
      </c>
      <c r="AL26" s="44">
        <v>3.94</v>
      </c>
      <c r="AM26" s="46">
        <v>5.0199999999999996</v>
      </c>
      <c r="AN26" s="44"/>
      <c r="AO26" s="45">
        <v>1.6057570000000001</v>
      </c>
      <c r="AP26" s="45">
        <v>1.6374495</v>
      </c>
      <c r="AQ26" s="44">
        <v>2.3690199000000001</v>
      </c>
      <c r="AR26" s="46">
        <v>3.2734000000000001</v>
      </c>
      <c r="AS26" s="44"/>
      <c r="AT26" s="45">
        <v>0.65709260000000003</v>
      </c>
      <c r="AU26" s="45">
        <v>0.67927749999999998</v>
      </c>
      <c r="AV26" s="44">
        <v>0.32643355000000002</v>
      </c>
      <c r="AW26" s="46">
        <v>0.73045000000000004</v>
      </c>
      <c r="AX26" s="44"/>
      <c r="AY26" s="45">
        <v>1.25</v>
      </c>
      <c r="AZ26" s="45">
        <v>2.85</v>
      </c>
      <c r="BA26" s="44">
        <v>0</v>
      </c>
      <c r="BB26" s="46">
        <v>1.1000000000000001</v>
      </c>
      <c r="BC26" s="44"/>
      <c r="BD26" s="45">
        <v>31.35</v>
      </c>
      <c r="BE26" s="45">
        <v>15.42</v>
      </c>
      <c r="BF26" s="44">
        <v>24.2</v>
      </c>
      <c r="BG26" s="46">
        <v>28.28</v>
      </c>
      <c r="BH26" s="44"/>
      <c r="BI26" s="45">
        <v>0.4</v>
      </c>
      <c r="BJ26" s="45">
        <v>0.3</v>
      </c>
      <c r="BK26" s="44">
        <v>0.2</v>
      </c>
      <c r="BL26" s="46">
        <v>0.2</v>
      </c>
      <c r="BM26" s="47"/>
      <c r="BN26" s="48">
        <v>0.3</v>
      </c>
      <c r="BO26" s="48">
        <v>0.01</v>
      </c>
      <c r="BP26" s="49">
        <v>0</v>
      </c>
      <c r="BQ26" s="50">
        <v>0</v>
      </c>
      <c r="BR26" s="49"/>
      <c r="BS26" s="48">
        <v>0.3</v>
      </c>
      <c r="BT26" s="48">
        <v>0.01</v>
      </c>
      <c r="BU26" s="49">
        <v>0</v>
      </c>
      <c r="BV26" s="50">
        <v>0</v>
      </c>
      <c r="BW26" s="49"/>
      <c r="BX26" s="48">
        <v>0</v>
      </c>
      <c r="BY26" s="48">
        <v>0</v>
      </c>
      <c r="BZ26" s="49">
        <v>0</v>
      </c>
      <c r="CA26" s="50">
        <v>0</v>
      </c>
      <c r="CB26" s="49"/>
      <c r="CC26" s="48">
        <v>0.3</v>
      </c>
      <c r="CD26" s="48">
        <v>0.01</v>
      </c>
      <c r="CE26" s="49">
        <v>0</v>
      </c>
      <c r="CF26" s="50">
        <v>0</v>
      </c>
      <c r="CG26" s="49"/>
      <c r="CH26" s="48">
        <v>0</v>
      </c>
      <c r="CI26" s="48">
        <v>0</v>
      </c>
      <c r="CJ26" s="49">
        <v>0</v>
      </c>
      <c r="CK26" s="50">
        <v>0</v>
      </c>
      <c r="CL26" s="49"/>
      <c r="CM26" s="48">
        <v>0</v>
      </c>
      <c r="CN26" s="48">
        <v>0</v>
      </c>
      <c r="CO26" s="49">
        <v>0</v>
      </c>
      <c r="CP26" s="50">
        <v>0</v>
      </c>
      <c r="CQ26" s="49"/>
      <c r="CR26" s="48">
        <v>0</v>
      </c>
      <c r="CS26" s="48">
        <v>0</v>
      </c>
      <c r="CT26" s="49">
        <v>0</v>
      </c>
      <c r="CU26" s="50">
        <v>0</v>
      </c>
      <c r="CV26" s="49"/>
      <c r="CW26" s="48">
        <v>0</v>
      </c>
      <c r="CX26" s="48">
        <v>0</v>
      </c>
      <c r="CY26" s="49">
        <v>0</v>
      </c>
      <c r="CZ26" s="50">
        <v>0</v>
      </c>
      <c r="DA26" s="49"/>
      <c r="DB26" s="48">
        <v>0</v>
      </c>
      <c r="DC26" s="48">
        <v>0</v>
      </c>
      <c r="DD26" s="49">
        <v>0</v>
      </c>
      <c r="DE26" s="50">
        <v>0</v>
      </c>
      <c r="DF26" s="49"/>
      <c r="DG26" s="48">
        <v>0</v>
      </c>
      <c r="DH26" s="48">
        <v>0</v>
      </c>
      <c r="DI26" s="49">
        <v>0</v>
      </c>
      <c r="DJ26" s="50">
        <v>0</v>
      </c>
      <c r="DK26" s="49"/>
      <c r="DL26" s="48">
        <v>0</v>
      </c>
      <c r="DM26" s="48">
        <v>0</v>
      </c>
      <c r="DN26" s="49">
        <v>0</v>
      </c>
      <c r="DO26" s="50">
        <v>0</v>
      </c>
      <c r="DP26" s="47"/>
      <c r="DQ26" s="51" t="s">
        <v>44</v>
      </c>
      <c r="DR26" s="52" t="s">
        <v>45</v>
      </c>
      <c r="DS26" s="52" t="s">
        <v>45</v>
      </c>
      <c r="DT26" s="53" t="s">
        <v>46</v>
      </c>
      <c r="DU26" s="54"/>
      <c r="DV26" s="51" t="s">
        <v>44</v>
      </c>
      <c r="DW26" s="55" t="s">
        <v>47</v>
      </c>
      <c r="DX26" s="47" t="s">
        <v>47</v>
      </c>
      <c r="DY26" s="56" t="s">
        <v>44</v>
      </c>
      <c r="DZ26" s="47"/>
      <c r="EA26" s="171" t="s">
        <v>53</v>
      </c>
      <c r="EB26" s="171" t="s">
        <v>53</v>
      </c>
      <c r="EC26" s="171" t="s">
        <v>53</v>
      </c>
      <c r="ED26" s="172" t="s">
        <v>53</v>
      </c>
      <c r="EE26" s="57"/>
      <c r="EF26" s="113">
        <v>32.4</v>
      </c>
      <c r="EG26" s="113">
        <v>68.2</v>
      </c>
      <c r="EH26" s="113">
        <v>2.1429999999999998</v>
      </c>
      <c r="EI26" s="173">
        <v>0.2</v>
      </c>
      <c r="EJ26" s="57"/>
      <c r="EK26" s="113">
        <v>35.799999999999997</v>
      </c>
      <c r="EL26" s="113">
        <v>66.400000000000006</v>
      </c>
      <c r="EM26" s="113">
        <v>0.77900000000000003</v>
      </c>
      <c r="EN26" s="173">
        <v>0.1</v>
      </c>
      <c r="EO26" s="57"/>
      <c r="EP26" s="113">
        <v>33.200000000000003</v>
      </c>
      <c r="EQ26" s="113">
        <v>65.7</v>
      </c>
      <c r="ER26" s="113">
        <v>0.90800000000000003</v>
      </c>
      <c r="ES26" s="173">
        <v>0</v>
      </c>
      <c r="ET26" s="47"/>
      <c r="EU26" s="51" t="s">
        <v>44</v>
      </c>
      <c r="EV26" s="51" t="s">
        <v>44</v>
      </c>
      <c r="EW26" s="55" t="s">
        <v>47</v>
      </c>
      <c r="EX26" s="56" t="s">
        <v>44</v>
      </c>
      <c r="EY26" s="54"/>
      <c r="EZ26" s="51" t="s">
        <v>44</v>
      </c>
      <c r="FA26" s="51" t="s">
        <v>44</v>
      </c>
      <c r="FB26" s="55" t="s">
        <v>47</v>
      </c>
      <c r="FC26" s="56" t="s">
        <v>44</v>
      </c>
      <c r="FD26" s="47"/>
      <c r="FE26" s="51" t="s">
        <v>44</v>
      </c>
      <c r="FF26" s="51" t="s">
        <v>44</v>
      </c>
      <c r="FG26" s="55" t="s">
        <v>47</v>
      </c>
      <c r="FH26" s="56" t="s">
        <v>44</v>
      </c>
      <c r="FI26" s="47"/>
      <c r="FJ26" s="52" t="s">
        <v>45</v>
      </c>
      <c r="FK26" s="52" t="s">
        <v>45</v>
      </c>
      <c r="FL26" s="52" t="s">
        <v>45</v>
      </c>
      <c r="FM26" s="60" t="s">
        <v>45</v>
      </c>
    </row>
    <row r="27" spans="2:169" ht="16.5" customHeight="1">
      <c r="B27" s="37">
        <v>22</v>
      </c>
      <c r="C27" s="112" t="s">
        <v>79</v>
      </c>
      <c r="D27" s="39">
        <v>35</v>
      </c>
      <c r="E27" s="40" t="s">
        <v>80</v>
      </c>
      <c r="F27" s="41">
        <v>8</v>
      </c>
      <c r="G27" s="41">
        <v>7.82</v>
      </c>
      <c r="H27" s="42">
        <v>7.7</v>
      </c>
      <c r="I27" s="43">
        <v>7.29</v>
      </c>
      <c r="J27" s="44"/>
      <c r="K27" s="42">
        <v>10.32</v>
      </c>
      <c r="L27" s="44">
        <v>2.57</v>
      </c>
      <c r="M27" s="44">
        <v>0</v>
      </c>
      <c r="N27" s="46">
        <v>8.2759999999999998</v>
      </c>
      <c r="O27" s="44"/>
      <c r="P27" s="45">
        <v>25.23</v>
      </c>
      <c r="Q27" s="45">
        <v>23.7</v>
      </c>
      <c r="R27" s="44">
        <v>27.6</v>
      </c>
      <c r="S27" s="46">
        <v>32.65</v>
      </c>
      <c r="T27" s="44"/>
      <c r="U27" s="45">
        <v>12.3</v>
      </c>
      <c r="V27" s="45">
        <v>12</v>
      </c>
      <c r="W27" s="44">
        <v>17.03</v>
      </c>
      <c r="X27" s="46">
        <v>20.7</v>
      </c>
      <c r="Y27" s="44"/>
      <c r="Z27" s="45">
        <v>19.7</v>
      </c>
      <c r="AA27" s="45">
        <v>16.600000000000001</v>
      </c>
      <c r="AB27" s="44">
        <v>18.149999999999999</v>
      </c>
      <c r="AC27" s="46">
        <v>23.2</v>
      </c>
      <c r="AD27" s="44"/>
      <c r="AE27" s="45">
        <v>12.8</v>
      </c>
      <c r="AF27" s="45">
        <v>11.6</v>
      </c>
      <c r="AG27" s="44">
        <v>12.2</v>
      </c>
      <c r="AH27" s="46">
        <v>18</v>
      </c>
      <c r="AI27" s="44"/>
      <c r="AJ27" s="45">
        <v>2.83</v>
      </c>
      <c r="AK27" s="45">
        <v>3.99</v>
      </c>
      <c r="AL27" s="44">
        <v>3.41</v>
      </c>
      <c r="AM27" s="46">
        <v>6.05</v>
      </c>
      <c r="AN27" s="44"/>
      <c r="AO27" s="45">
        <v>3.7502879999999998</v>
      </c>
      <c r="AP27" s="45">
        <v>3.9087499999999999</v>
      </c>
      <c r="AQ27" s="44">
        <v>3.9495293999999999</v>
      </c>
      <c r="AR27" s="46">
        <v>3.3353000000000002</v>
      </c>
      <c r="AS27" s="44"/>
      <c r="AT27" s="45">
        <v>2.5459700000000001</v>
      </c>
      <c r="AU27" s="45">
        <v>2.4561744999999999</v>
      </c>
      <c r="AV27" s="44">
        <v>1.9100058</v>
      </c>
      <c r="AW27" s="46">
        <v>2.3696999999999999</v>
      </c>
      <c r="AX27" s="44"/>
      <c r="AY27" s="45">
        <v>1.78</v>
      </c>
      <c r="AZ27" s="45">
        <v>0.62</v>
      </c>
      <c r="BA27" s="44">
        <v>1.2</v>
      </c>
      <c r="BB27" s="46">
        <v>1.55</v>
      </c>
      <c r="BC27" s="44"/>
      <c r="BD27" s="45">
        <v>23.16</v>
      </c>
      <c r="BE27" s="45">
        <v>26.97</v>
      </c>
      <c r="BF27" s="44">
        <v>46.8</v>
      </c>
      <c r="BG27" s="46">
        <v>43.13</v>
      </c>
      <c r="BH27" s="44"/>
      <c r="BI27" s="45">
        <v>6.9</v>
      </c>
      <c r="BJ27" s="45">
        <v>3.2</v>
      </c>
      <c r="BK27" s="44">
        <v>19.2</v>
      </c>
      <c r="BL27" s="46">
        <v>17.7</v>
      </c>
      <c r="BM27" s="47"/>
      <c r="BN27" s="48">
        <v>0.01</v>
      </c>
      <c r="BO27" s="48">
        <v>0.09</v>
      </c>
      <c r="BP27" s="49">
        <v>3.63</v>
      </c>
      <c r="BQ27" s="50">
        <v>0.2</v>
      </c>
      <c r="BR27" s="49"/>
      <c r="BS27" s="48">
        <v>0.01</v>
      </c>
      <c r="BT27" s="48">
        <v>0.11</v>
      </c>
      <c r="BU27" s="49">
        <v>3.63</v>
      </c>
      <c r="BV27" s="50">
        <v>0.2</v>
      </c>
      <c r="BW27" s="49"/>
      <c r="BX27" s="48">
        <v>0</v>
      </c>
      <c r="BY27" s="48">
        <v>0.02</v>
      </c>
      <c r="BZ27" s="49">
        <v>0</v>
      </c>
      <c r="CA27" s="50">
        <v>0</v>
      </c>
      <c r="CB27" s="49"/>
      <c r="CC27" s="48">
        <v>0.01</v>
      </c>
      <c r="CD27" s="48">
        <v>0.04</v>
      </c>
      <c r="CE27" s="49">
        <v>1.07</v>
      </c>
      <c r="CF27" s="50">
        <v>0.03</v>
      </c>
      <c r="CG27" s="49"/>
      <c r="CH27" s="48">
        <v>0</v>
      </c>
      <c r="CI27" s="48">
        <v>0.02</v>
      </c>
      <c r="CJ27" s="49">
        <v>0.75</v>
      </c>
      <c r="CK27" s="50">
        <v>0.15</v>
      </c>
      <c r="CL27" s="49"/>
      <c r="CM27" s="48">
        <v>0</v>
      </c>
      <c r="CN27" s="48">
        <v>0</v>
      </c>
      <c r="CO27" s="49">
        <v>0.18</v>
      </c>
      <c r="CP27" s="50">
        <v>0</v>
      </c>
      <c r="CQ27" s="49"/>
      <c r="CR27" s="48">
        <v>0</v>
      </c>
      <c r="CS27" s="48">
        <v>0.01</v>
      </c>
      <c r="CT27" s="49">
        <v>0.64</v>
      </c>
      <c r="CU27" s="50">
        <v>0</v>
      </c>
      <c r="CV27" s="49"/>
      <c r="CW27" s="48">
        <v>0</v>
      </c>
      <c r="CX27" s="48">
        <v>0</v>
      </c>
      <c r="CY27" s="49">
        <v>0.27</v>
      </c>
      <c r="CZ27" s="50">
        <v>0.01</v>
      </c>
      <c r="DA27" s="49"/>
      <c r="DB27" s="48">
        <v>0</v>
      </c>
      <c r="DC27" s="48">
        <v>0.01</v>
      </c>
      <c r="DD27" s="49">
        <v>0.4</v>
      </c>
      <c r="DE27" s="50">
        <v>0</v>
      </c>
      <c r="DF27" s="49"/>
      <c r="DG27" s="48">
        <v>0</v>
      </c>
      <c r="DH27" s="48">
        <v>0</v>
      </c>
      <c r="DI27" s="49">
        <v>0</v>
      </c>
      <c r="DJ27" s="50">
        <v>0</v>
      </c>
      <c r="DK27" s="49"/>
      <c r="DL27" s="48">
        <v>0</v>
      </c>
      <c r="DM27" s="48">
        <v>0</v>
      </c>
      <c r="DN27" s="49">
        <v>0.34</v>
      </c>
      <c r="DO27" s="50">
        <v>0</v>
      </c>
      <c r="DP27" s="47"/>
      <c r="DQ27" s="51" t="s">
        <v>44</v>
      </c>
      <c r="DR27" s="183" t="s">
        <v>46</v>
      </c>
      <c r="DS27" s="183" t="s">
        <v>46</v>
      </c>
      <c r="DT27" s="53" t="s">
        <v>46</v>
      </c>
      <c r="DU27" s="54"/>
      <c r="DV27" s="51" t="s">
        <v>44</v>
      </c>
      <c r="DW27" s="55" t="s">
        <v>47</v>
      </c>
      <c r="DX27" s="47" t="s">
        <v>47</v>
      </c>
      <c r="DY27" s="56" t="s">
        <v>47</v>
      </c>
      <c r="DZ27" s="47"/>
      <c r="EA27" s="57">
        <v>28.2</v>
      </c>
      <c r="EB27" s="57">
        <v>67.099999999999994</v>
      </c>
      <c r="EC27" s="57">
        <v>3.4000000000000002E-2</v>
      </c>
      <c r="ED27" s="58">
        <v>4.2</v>
      </c>
      <c r="EE27" s="57"/>
      <c r="EF27" s="57">
        <v>20.399999999999999</v>
      </c>
      <c r="EG27" s="57">
        <v>39.5</v>
      </c>
      <c r="EH27" s="57">
        <v>0.29499999999999998</v>
      </c>
      <c r="EI27" s="58">
        <v>7.9</v>
      </c>
      <c r="EJ27" s="57"/>
      <c r="EK27" s="57">
        <v>29.6</v>
      </c>
      <c r="EL27" s="57">
        <v>27.4</v>
      </c>
      <c r="EM27" s="57">
        <v>0.53400000000000003</v>
      </c>
      <c r="EN27" s="58">
        <v>9</v>
      </c>
      <c r="EO27" s="57"/>
      <c r="EP27" s="57">
        <v>35.5</v>
      </c>
      <c r="EQ27" s="57">
        <v>57.7</v>
      </c>
      <c r="ER27" s="57">
        <v>0.76400000000000001</v>
      </c>
      <c r="ES27" s="58">
        <v>1.9</v>
      </c>
      <c r="ET27" s="47"/>
      <c r="EU27" s="51" t="s">
        <v>44</v>
      </c>
      <c r="EV27" s="51" t="s">
        <v>44</v>
      </c>
      <c r="EW27" s="55" t="s">
        <v>47</v>
      </c>
      <c r="EX27" s="59" t="s">
        <v>44</v>
      </c>
      <c r="EY27" s="54"/>
      <c r="EZ27" s="51" t="s">
        <v>44</v>
      </c>
      <c r="FA27" s="51" t="s">
        <v>44</v>
      </c>
      <c r="FB27" s="55" t="s">
        <v>47</v>
      </c>
      <c r="FC27" s="59" t="s">
        <v>44</v>
      </c>
      <c r="FD27" s="55"/>
      <c r="FE27" s="51" t="s">
        <v>44</v>
      </c>
      <c r="FF27" s="51" t="s">
        <v>44</v>
      </c>
      <c r="FG27" s="55" t="s">
        <v>47</v>
      </c>
      <c r="FH27" s="59" t="s">
        <v>44</v>
      </c>
      <c r="FI27" s="55"/>
      <c r="FJ27" s="52" t="s">
        <v>45</v>
      </c>
      <c r="FK27" s="52" t="s">
        <v>45</v>
      </c>
      <c r="FL27" s="52" t="s">
        <v>45</v>
      </c>
      <c r="FM27" s="60" t="s">
        <v>45</v>
      </c>
    </row>
    <row r="28" spans="2:169" ht="16.5" customHeight="1" thickBot="1">
      <c r="B28" s="146">
        <v>23</v>
      </c>
      <c r="C28" s="147" t="s">
        <v>81</v>
      </c>
      <c r="D28" s="148">
        <v>27</v>
      </c>
      <c r="E28" s="149">
        <v>35</v>
      </c>
      <c r="F28" s="150">
        <v>7.37</v>
      </c>
      <c r="G28" s="150">
        <v>7.1</v>
      </c>
      <c r="H28" s="151">
        <v>7.25</v>
      </c>
      <c r="I28" s="152">
        <v>7.31</v>
      </c>
      <c r="J28" s="153"/>
      <c r="K28" s="153">
        <v>4.6275000000000004</v>
      </c>
      <c r="L28" s="153">
        <v>0.84050000000000002</v>
      </c>
      <c r="M28" s="153">
        <v>2.0375000000000001</v>
      </c>
      <c r="N28" s="154">
        <v>5.1340000000000003</v>
      </c>
      <c r="O28" s="153"/>
      <c r="P28" s="155">
        <v>25.98</v>
      </c>
      <c r="Q28" s="155">
        <v>21.27</v>
      </c>
      <c r="R28" s="153">
        <v>27.38</v>
      </c>
      <c r="S28" s="154">
        <v>27.23</v>
      </c>
      <c r="T28" s="153"/>
      <c r="U28" s="155">
        <v>16.899999999999999</v>
      </c>
      <c r="V28" s="155">
        <v>13.95</v>
      </c>
      <c r="W28" s="153">
        <v>18.25</v>
      </c>
      <c r="X28" s="154">
        <v>18.25</v>
      </c>
      <c r="Y28" s="153"/>
      <c r="Z28" s="155">
        <v>25</v>
      </c>
      <c r="AA28" s="155">
        <v>22</v>
      </c>
      <c r="AB28" s="153">
        <v>24.6</v>
      </c>
      <c r="AC28" s="154">
        <v>24.7</v>
      </c>
      <c r="AD28" s="153"/>
      <c r="AE28" s="155">
        <v>16.5</v>
      </c>
      <c r="AF28" s="155">
        <v>15.6</v>
      </c>
      <c r="AG28" s="153">
        <v>16.899999999999999</v>
      </c>
      <c r="AH28" s="154">
        <v>17.8</v>
      </c>
      <c r="AI28" s="153"/>
      <c r="AJ28" s="155">
        <v>2.99</v>
      </c>
      <c r="AK28" s="155">
        <v>3.84</v>
      </c>
      <c r="AL28" s="153">
        <v>6.21</v>
      </c>
      <c r="AM28" s="154">
        <v>7.67</v>
      </c>
      <c r="AN28" s="153"/>
      <c r="AO28" s="155">
        <v>2.302994</v>
      </c>
      <c r="AP28" s="155">
        <v>2.1445310000000002</v>
      </c>
      <c r="AQ28" s="153">
        <v>2.6698874799999999</v>
      </c>
      <c r="AR28" s="154">
        <v>2.9876</v>
      </c>
      <c r="AS28" s="153"/>
      <c r="AT28" s="155">
        <v>0.85781220000000002</v>
      </c>
      <c r="AU28" s="155">
        <v>0.79125800000000002</v>
      </c>
      <c r="AV28" s="153">
        <v>0.42573689999999997</v>
      </c>
      <c r="AW28" s="154">
        <v>1.1655500000000001</v>
      </c>
      <c r="AX28" s="153"/>
      <c r="AY28" s="155">
        <v>1.1499999999999999</v>
      </c>
      <c r="AZ28" s="155">
        <v>2.17</v>
      </c>
      <c r="BA28" s="153">
        <v>1.6</v>
      </c>
      <c r="BB28" s="154">
        <v>1.65</v>
      </c>
      <c r="BC28" s="153"/>
      <c r="BD28" s="155">
        <v>17.7</v>
      </c>
      <c r="BE28" s="155">
        <v>20.56</v>
      </c>
      <c r="BF28" s="153">
        <v>25.66</v>
      </c>
      <c r="BG28" s="154">
        <v>25.1</v>
      </c>
      <c r="BH28" s="153"/>
      <c r="BI28" s="155">
        <v>1.7</v>
      </c>
      <c r="BJ28" s="155">
        <v>1.4</v>
      </c>
      <c r="BK28" s="153">
        <v>0.3</v>
      </c>
      <c r="BL28" s="154">
        <v>0.3</v>
      </c>
      <c r="BM28" s="156"/>
      <c r="BN28" s="157">
        <v>0.02</v>
      </c>
      <c r="BO28" s="157">
        <v>0.04</v>
      </c>
      <c r="BP28" s="158">
        <v>0</v>
      </c>
      <c r="BQ28" s="159">
        <v>0</v>
      </c>
      <c r="BR28" s="158"/>
      <c r="BS28" s="157">
        <v>0.02</v>
      </c>
      <c r="BT28" s="157">
        <v>0.1</v>
      </c>
      <c r="BU28" s="158">
        <v>0</v>
      </c>
      <c r="BV28" s="159">
        <v>0</v>
      </c>
      <c r="BW28" s="158"/>
      <c r="BX28" s="157">
        <v>0</v>
      </c>
      <c r="BY28" s="157">
        <v>0.06</v>
      </c>
      <c r="BZ28" s="158">
        <v>0</v>
      </c>
      <c r="CA28" s="159">
        <v>0</v>
      </c>
      <c r="CB28" s="158"/>
      <c r="CC28" s="157">
        <v>0.03</v>
      </c>
      <c r="CD28" s="157">
        <v>0.03</v>
      </c>
      <c r="CE28" s="158">
        <v>0</v>
      </c>
      <c r="CF28" s="159">
        <v>0</v>
      </c>
      <c r="CG28" s="158"/>
      <c r="CH28" s="157">
        <v>0</v>
      </c>
      <c r="CI28" s="157">
        <v>0.01</v>
      </c>
      <c r="CJ28" s="158">
        <v>0</v>
      </c>
      <c r="CK28" s="159">
        <v>0</v>
      </c>
      <c r="CL28" s="158"/>
      <c r="CM28" s="157">
        <v>0</v>
      </c>
      <c r="CN28" s="157">
        <v>0</v>
      </c>
      <c r="CO28" s="158">
        <v>0</v>
      </c>
      <c r="CP28" s="159">
        <v>0</v>
      </c>
      <c r="CQ28" s="158"/>
      <c r="CR28" s="157">
        <v>0</v>
      </c>
      <c r="CS28" s="157">
        <v>0</v>
      </c>
      <c r="CT28" s="158">
        <v>0</v>
      </c>
      <c r="CU28" s="159">
        <v>0</v>
      </c>
      <c r="CV28" s="158"/>
      <c r="CW28" s="157">
        <v>0</v>
      </c>
      <c r="CX28" s="157">
        <v>0.01</v>
      </c>
      <c r="CY28" s="158">
        <v>0</v>
      </c>
      <c r="CZ28" s="159">
        <v>0</v>
      </c>
      <c r="DA28" s="158"/>
      <c r="DB28" s="157">
        <v>0</v>
      </c>
      <c r="DC28" s="157">
        <v>0</v>
      </c>
      <c r="DD28" s="158">
        <v>0</v>
      </c>
      <c r="DE28" s="159">
        <v>0</v>
      </c>
      <c r="DF28" s="158"/>
      <c r="DG28" s="157">
        <v>0</v>
      </c>
      <c r="DH28" s="157">
        <v>0</v>
      </c>
      <c r="DI28" s="158">
        <v>0</v>
      </c>
      <c r="DJ28" s="159">
        <v>0</v>
      </c>
      <c r="DK28" s="158"/>
      <c r="DL28" s="157">
        <v>0</v>
      </c>
      <c r="DM28" s="157">
        <v>0</v>
      </c>
      <c r="DN28" s="158">
        <v>0</v>
      </c>
      <c r="DO28" s="159">
        <v>0</v>
      </c>
      <c r="DP28" s="156"/>
      <c r="DQ28" s="160" t="s">
        <v>44</v>
      </c>
      <c r="DR28" s="161" t="s">
        <v>45</v>
      </c>
      <c r="DS28" s="161" t="s">
        <v>45</v>
      </c>
      <c r="DT28" s="162" t="s">
        <v>46</v>
      </c>
      <c r="DU28" s="163"/>
      <c r="DV28" s="160" t="s">
        <v>44</v>
      </c>
      <c r="DW28" s="164" t="s">
        <v>47</v>
      </c>
      <c r="DX28" s="156" t="s">
        <v>47</v>
      </c>
      <c r="DY28" s="165" t="s">
        <v>44</v>
      </c>
      <c r="DZ28" s="156"/>
      <c r="EA28" s="167">
        <v>38.159999999999997</v>
      </c>
      <c r="EB28" s="167">
        <v>61.06</v>
      </c>
      <c r="EC28" s="167">
        <v>2.8490000000000002</v>
      </c>
      <c r="ED28" s="168">
        <v>0.1</v>
      </c>
      <c r="EE28" s="167"/>
      <c r="EF28" s="167">
        <v>33.1</v>
      </c>
      <c r="EG28" s="167">
        <v>51.3</v>
      </c>
      <c r="EH28" s="167">
        <v>2.8000000000000001E-2</v>
      </c>
      <c r="EI28" s="168">
        <v>3.1</v>
      </c>
      <c r="EJ28" s="167"/>
      <c r="EK28" s="167">
        <v>35.799999999999997</v>
      </c>
      <c r="EL28" s="167">
        <v>51.4</v>
      </c>
      <c r="EM28" s="167">
        <v>4.0190000000000001</v>
      </c>
      <c r="EN28" s="168">
        <v>2.2999999999999998</v>
      </c>
      <c r="EO28" s="167"/>
      <c r="EP28" s="167">
        <v>40.6</v>
      </c>
      <c r="EQ28" s="167">
        <v>47.4</v>
      </c>
      <c r="ER28" s="167">
        <v>2.9980000000000002</v>
      </c>
      <c r="ES28" s="168">
        <v>2.5</v>
      </c>
      <c r="ET28" s="156"/>
      <c r="EU28" s="160" t="s">
        <v>44</v>
      </c>
      <c r="EV28" s="160" t="s">
        <v>44</v>
      </c>
      <c r="EW28" s="164" t="s">
        <v>47</v>
      </c>
      <c r="EX28" s="169" t="s">
        <v>44</v>
      </c>
      <c r="EY28" s="163"/>
      <c r="EZ28" s="160" t="s">
        <v>44</v>
      </c>
      <c r="FA28" s="160" t="s">
        <v>44</v>
      </c>
      <c r="FB28" s="164" t="s">
        <v>47</v>
      </c>
      <c r="FC28" s="169" t="s">
        <v>44</v>
      </c>
      <c r="FD28" s="164"/>
      <c r="FE28" s="160" t="s">
        <v>44</v>
      </c>
      <c r="FF28" s="160" t="s">
        <v>44</v>
      </c>
      <c r="FG28" s="164" t="s">
        <v>47</v>
      </c>
      <c r="FH28" s="169" t="s">
        <v>44</v>
      </c>
      <c r="FI28" s="164"/>
      <c r="FJ28" s="161" t="s">
        <v>45</v>
      </c>
      <c r="FK28" s="161" t="s">
        <v>45</v>
      </c>
      <c r="FL28" s="161" t="s">
        <v>45</v>
      </c>
      <c r="FM28" s="170" t="s">
        <v>45</v>
      </c>
    </row>
    <row r="29" spans="2:169" ht="16.5" customHeight="1">
      <c r="B29" s="37">
        <v>24</v>
      </c>
      <c r="C29" s="61" t="s">
        <v>82</v>
      </c>
      <c r="D29" s="39">
        <v>34</v>
      </c>
      <c r="E29" s="40" t="s">
        <v>83</v>
      </c>
      <c r="F29" s="41">
        <v>7.26</v>
      </c>
      <c r="G29" s="41">
        <v>7.46</v>
      </c>
      <c r="H29" s="42">
        <v>6.08</v>
      </c>
      <c r="I29" s="43">
        <v>7.2</v>
      </c>
      <c r="J29" s="44"/>
      <c r="K29" s="44">
        <v>3.05</v>
      </c>
      <c r="L29" s="44">
        <v>0.58430000000000004</v>
      </c>
      <c r="M29" s="44">
        <v>0.379</v>
      </c>
      <c r="N29" s="46">
        <v>2.2825000000000002</v>
      </c>
      <c r="O29" s="44"/>
      <c r="P29" s="45">
        <v>13.13</v>
      </c>
      <c r="Q29" s="45">
        <v>13.62</v>
      </c>
      <c r="R29" s="44">
        <v>58.97</v>
      </c>
      <c r="S29" s="46">
        <v>10.98</v>
      </c>
      <c r="T29" s="44"/>
      <c r="U29" s="45">
        <v>9.35</v>
      </c>
      <c r="V29" s="45">
        <v>9.25</v>
      </c>
      <c r="W29" s="44">
        <v>48.4</v>
      </c>
      <c r="X29" s="46">
        <v>8.3000000000000007</v>
      </c>
      <c r="Y29" s="44"/>
      <c r="Z29" s="45">
        <v>11.9</v>
      </c>
      <c r="AA29" s="45">
        <v>12.7</v>
      </c>
      <c r="AB29" s="44">
        <v>58.9</v>
      </c>
      <c r="AC29" s="46">
        <v>12</v>
      </c>
      <c r="AD29" s="44"/>
      <c r="AE29" s="45">
        <v>8.9</v>
      </c>
      <c r="AF29" s="45">
        <v>9.5</v>
      </c>
      <c r="AG29" s="44">
        <v>48.6</v>
      </c>
      <c r="AH29" s="46">
        <v>9.1999999999999993</v>
      </c>
      <c r="AI29" s="44"/>
      <c r="AJ29" s="45">
        <v>2.75</v>
      </c>
      <c r="AK29" s="45">
        <v>2.37</v>
      </c>
      <c r="AL29" s="42">
        <v>10.59</v>
      </c>
      <c r="AM29" s="46">
        <v>1.88</v>
      </c>
      <c r="AN29" s="44"/>
      <c r="AO29" s="45">
        <v>1.4578580000000001</v>
      </c>
      <c r="AP29" s="45">
        <v>1.3522160000000001</v>
      </c>
      <c r="AQ29" s="44">
        <v>2.4176151799999999</v>
      </c>
      <c r="AR29" s="46">
        <v>1.8845000000000001</v>
      </c>
      <c r="AS29" s="44"/>
      <c r="AT29" s="45">
        <v>0.60427180000000003</v>
      </c>
      <c r="AU29" s="45">
        <v>0.63915599999999995</v>
      </c>
      <c r="AV29" s="44">
        <v>0.55359185</v>
      </c>
      <c r="AW29" s="46">
        <v>0.79761400000000005</v>
      </c>
      <c r="AX29" s="44"/>
      <c r="AY29" s="45">
        <v>1.33</v>
      </c>
      <c r="AZ29" s="45">
        <v>1.88</v>
      </c>
      <c r="BA29" s="44">
        <v>2.8</v>
      </c>
      <c r="BB29" s="46">
        <v>3.65</v>
      </c>
      <c r="BC29" s="44"/>
      <c r="BD29" s="45">
        <v>13.6</v>
      </c>
      <c r="BE29" s="45">
        <v>10.6</v>
      </c>
      <c r="BF29" s="44">
        <v>39.4</v>
      </c>
      <c r="BG29" s="46">
        <v>10.5</v>
      </c>
      <c r="BH29" s="44"/>
      <c r="BI29" s="45">
        <v>1.5</v>
      </c>
      <c r="BJ29" s="45">
        <v>0.5</v>
      </c>
      <c r="BK29" s="44">
        <v>0.6</v>
      </c>
      <c r="BL29" s="46">
        <v>0.4</v>
      </c>
      <c r="BM29" s="47"/>
      <c r="BN29" s="48">
        <v>7.0000000000000007E-2</v>
      </c>
      <c r="BO29" s="48">
        <v>0.06</v>
      </c>
      <c r="BP29" s="49">
        <v>0.28000000000000003</v>
      </c>
      <c r="BQ29" s="50">
        <v>0</v>
      </c>
      <c r="BR29" s="49"/>
      <c r="BS29" s="48">
        <v>7.0000000000000007E-2</v>
      </c>
      <c r="BT29" s="48">
        <v>0.06</v>
      </c>
      <c r="BU29" s="49">
        <v>0.28000000000000003</v>
      </c>
      <c r="BV29" s="50">
        <v>0</v>
      </c>
      <c r="BW29" s="49"/>
      <c r="BX29" s="48">
        <v>0</v>
      </c>
      <c r="BY29" s="48">
        <v>0</v>
      </c>
      <c r="BZ29" s="49">
        <v>0</v>
      </c>
      <c r="CA29" s="50">
        <v>0</v>
      </c>
      <c r="CB29" s="49"/>
      <c r="CC29" s="48">
        <v>7.0000000000000007E-2</v>
      </c>
      <c r="CD29" s="48">
        <v>0.03</v>
      </c>
      <c r="CE29" s="49">
        <v>0.13</v>
      </c>
      <c r="CF29" s="50">
        <v>0</v>
      </c>
      <c r="CG29" s="49"/>
      <c r="CH29" s="48">
        <v>0</v>
      </c>
      <c r="CI29" s="48">
        <v>0.02</v>
      </c>
      <c r="CJ29" s="49">
        <v>0.09</v>
      </c>
      <c r="CK29" s="50">
        <v>0</v>
      </c>
      <c r="CL29" s="49"/>
      <c r="CM29" s="48">
        <v>0</v>
      </c>
      <c r="CN29" s="48">
        <v>0</v>
      </c>
      <c r="CO29" s="49">
        <v>0</v>
      </c>
      <c r="CP29" s="50">
        <v>0</v>
      </c>
      <c r="CQ29" s="49"/>
      <c r="CR29" s="48">
        <v>0</v>
      </c>
      <c r="CS29" s="48">
        <v>0</v>
      </c>
      <c r="CT29" s="49">
        <v>0.04</v>
      </c>
      <c r="CU29" s="50">
        <v>0</v>
      </c>
      <c r="CV29" s="49"/>
      <c r="CW29" s="48">
        <v>0</v>
      </c>
      <c r="CX29" s="48">
        <v>0</v>
      </c>
      <c r="CY29" s="49">
        <v>0</v>
      </c>
      <c r="CZ29" s="50">
        <v>0</v>
      </c>
      <c r="DA29" s="49"/>
      <c r="DB29" s="48">
        <v>0</v>
      </c>
      <c r="DC29" s="48">
        <v>0</v>
      </c>
      <c r="DD29" s="49">
        <v>0.01</v>
      </c>
      <c r="DE29" s="50">
        <v>0</v>
      </c>
      <c r="DF29" s="49"/>
      <c r="DG29" s="48">
        <v>0</v>
      </c>
      <c r="DH29" s="48">
        <v>0</v>
      </c>
      <c r="DI29" s="49">
        <v>0</v>
      </c>
      <c r="DJ29" s="50">
        <v>0</v>
      </c>
      <c r="DK29" s="49"/>
      <c r="DL29" s="48">
        <v>0</v>
      </c>
      <c r="DM29" s="48">
        <v>0</v>
      </c>
      <c r="DN29" s="49">
        <v>0</v>
      </c>
      <c r="DO29" s="50">
        <v>0</v>
      </c>
      <c r="DP29" s="47"/>
      <c r="DQ29" s="51" t="s">
        <v>44</v>
      </c>
      <c r="DR29" s="52" t="s">
        <v>45</v>
      </c>
      <c r="DS29" s="52" t="s">
        <v>45</v>
      </c>
      <c r="DT29" s="53" t="s">
        <v>46</v>
      </c>
      <c r="DU29" s="54"/>
      <c r="DV29" s="51" t="s">
        <v>44</v>
      </c>
      <c r="DW29" s="55" t="s">
        <v>47</v>
      </c>
      <c r="DX29" s="47" t="s">
        <v>47</v>
      </c>
      <c r="DY29" s="56" t="s">
        <v>44</v>
      </c>
      <c r="DZ29" s="47"/>
      <c r="EA29" s="57">
        <v>33</v>
      </c>
      <c r="EB29" s="57">
        <v>63.9</v>
      </c>
      <c r="EC29" s="57">
        <v>1.6890000000000001</v>
      </c>
      <c r="ED29" s="58">
        <v>0</v>
      </c>
      <c r="EE29" s="57"/>
      <c r="EF29" s="57">
        <v>35.5</v>
      </c>
      <c r="EG29" s="57">
        <v>64.5</v>
      </c>
      <c r="EH29" s="57">
        <v>2.2000000000000002</v>
      </c>
      <c r="EI29" s="58">
        <v>0</v>
      </c>
      <c r="EJ29" s="57"/>
      <c r="EK29" s="57">
        <v>36.299999999999997</v>
      </c>
      <c r="EL29" s="57">
        <v>64.3</v>
      </c>
      <c r="EM29" s="57">
        <v>1.8</v>
      </c>
      <c r="EN29" s="58">
        <v>0</v>
      </c>
      <c r="EO29" s="57"/>
      <c r="EP29" s="57">
        <v>33.4</v>
      </c>
      <c r="EQ29" s="57">
        <v>66.099999999999994</v>
      </c>
      <c r="ER29" s="57">
        <v>2.15</v>
      </c>
      <c r="ES29" s="58">
        <v>0</v>
      </c>
      <c r="ET29" s="47"/>
      <c r="EU29" s="51" t="s">
        <v>44</v>
      </c>
      <c r="EV29" s="51" t="s">
        <v>44</v>
      </c>
      <c r="EW29" s="47" t="s">
        <v>47</v>
      </c>
      <c r="EX29" s="56" t="s">
        <v>44</v>
      </c>
      <c r="EY29" s="54"/>
      <c r="EZ29" s="55" t="s">
        <v>47</v>
      </c>
      <c r="FA29" s="51" t="s">
        <v>44</v>
      </c>
      <c r="FB29" s="47" t="s">
        <v>47</v>
      </c>
      <c r="FC29" s="56" t="s">
        <v>44</v>
      </c>
      <c r="FD29" s="47"/>
      <c r="FE29" s="51" t="s">
        <v>44</v>
      </c>
      <c r="FF29" s="51" t="s">
        <v>44</v>
      </c>
      <c r="FG29" s="47" t="s">
        <v>47</v>
      </c>
      <c r="FH29" s="56" t="s">
        <v>44</v>
      </c>
      <c r="FI29" s="47"/>
      <c r="FJ29" s="52" t="s">
        <v>45</v>
      </c>
      <c r="FK29" s="52" t="s">
        <v>45</v>
      </c>
      <c r="FL29" s="52" t="s">
        <v>45</v>
      </c>
      <c r="FM29" s="60" t="s">
        <v>45</v>
      </c>
    </row>
    <row r="30" spans="2:169" ht="16.5" customHeight="1">
      <c r="B30" s="37">
        <v>25</v>
      </c>
      <c r="C30" s="61" t="s">
        <v>84</v>
      </c>
      <c r="D30" s="39">
        <v>34</v>
      </c>
      <c r="E30" s="40" t="s">
        <v>83</v>
      </c>
      <c r="F30" s="41">
        <v>7.62</v>
      </c>
      <c r="G30" s="41">
        <v>8.01</v>
      </c>
      <c r="H30" s="42">
        <v>7.22</v>
      </c>
      <c r="I30" s="43">
        <v>7.75</v>
      </c>
      <c r="J30" s="44"/>
      <c r="K30" s="44">
        <v>8.2349999999999994</v>
      </c>
      <c r="L30" s="44">
        <v>1.6188</v>
      </c>
      <c r="M30" s="44">
        <v>7.6070000000000002</v>
      </c>
      <c r="N30" s="46">
        <v>6.7774999999999999</v>
      </c>
      <c r="O30" s="44"/>
      <c r="P30" s="45">
        <v>37.380000000000003</v>
      </c>
      <c r="Q30" s="45">
        <v>35.950000000000003</v>
      </c>
      <c r="R30" s="44">
        <v>27.1</v>
      </c>
      <c r="S30" s="46">
        <v>27.3</v>
      </c>
      <c r="T30" s="44"/>
      <c r="U30" s="45">
        <v>25.42</v>
      </c>
      <c r="V30" s="45">
        <v>23.68</v>
      </c>
      <c r="W30" s="44">
        <v>18.47</v>
      </c>
      <c r="X30" s="46">
        <v>18.45</v>
      </c>
      <c r="Y30" s="44"/>
      <c r="Z30" s="45">
        <v>37.299999999999997</v>
      </c>
      <c r="AA30" s="45">
        <v>35.700000000000003</v>
      </c>
      <c r="AB30" s="44">
        <v>28.4</v>
      </c>
      <c r="AC30" s="46">
        <v>29.5</v>
      </c>
      <c r="AD30" s="44"/>
      <c r="AE30" s="45">
        <v>25.3</v>
      </c>
      <c r="AF30" s="45">
        <v>24.7</v>
      </c>
      <c r="AG30" s="44">
        <v>19.399999999999999</v>
      </c>
      <c r="AH30" s="46">
        <v>20.2</v>
      </c>
      <c r="AI30" s="44"/>
      <c r="AJ30" s="45">
        <v>9.68</v>
      </c>
      <c r="AK30" s="45">
        <v>7.68</v>
      </c>
      <c r="AL30" s="42">
        <v>11.28</v>
      </c>
      <c r="AM30" s="46">
        <v>5.99</v>
      </c>
      <c r="AN30" s="44"/>
      <c r="AO30" s="45">
        <v>5.4334769999999999</v>
      </c>
      <c r="AP30" s="45">
        <v>4.4052670000000003</v>
      </c>
      <c r="AQ30" s="44">
        <v>5.7680493000000004</v>
      </c>
      <c r="AR30" s="46">
        <v>4.1007999999999996</v>
      </c>
      <c r="AS30" s="44"/>
      <c r="AT30" s="45">
        <v>2.3346870000000002</v>
      </c>
      <c r="AU30" s="45">
        <v>1.8487335</v>
      </c>
      <c r="AV30" s="44">
        <v>1.99135</v>
      </c>
      <c r="AW30" s="46">
        <v>2.3972500000000001</v>
      </c>
      <c r="AX30" s="44"/>
      <c r="AY30" s="45">
        <v>2.2799999999999998</v>
      </c>
      <c r="AZ30" s="45">
        <v>3.15</v>
      </c>
      <c r="BA30" s="44">
        <v>2.67</v>
      </c>
      <c r="BB30" s="46">
        <v>2.15</v>
      </c>
      <c r="BC30" s="44"/>
      <c r="BD30" s="45">
        <v>44.79</v>
      </c>
      <c r="BE30" s="45">
        <v>34.67</v>
      </c>
      <c r="BF30" s="44">
        <v>36.450000000000003</v>
      </c>
      <c r="BG30" s="46">
        <v>29.79</v>
      </c>
      <c r="BH30" s="44"/>
      <c r="BI30" s="45">
        <v>3.7</v>
      </c>
      <c r="BJ30" s="45">
        <v>2.6</v>
      </c>
      <c r="BK30" s="44">
        <v>2.8</v>
      </c>
      <c r="BL30" s="46">
        <v>2.2999999999999998</v>
      </c>
      <c r="BM30" s="47"/>
      <c r="BN30" s="48">
        <v>0</v>
      </c>
      <c r="BO30" s="48">
        <v>0</v>
      </c>
      <c r="BP30" s="49">
        <v>0.02</v>
      </c>
      <c r="BQ30" s="50">
        <v>0</v>
      </c>
      <c r="BR30" s="49"/>
      <c r="BS30" s="48">
        <v>0</v>
      </c>
      <c r="BT30" s="48">
        <v>0</v>
      </c>
      <c r="BU30" s="49">
        <v>0.02</v>
      </c>
      <c r="BV30" s="50">
        <v>0</v>
      </c>
      <c r="BW30" s="49"/>
      <c r="BX30" s="48">
        <v>0</v>
      </c>
      <c r="BY30" s="48">
        <v>0</v>
      </c>
      <c r="BZ30" s="49">
        <v>0</v>
      </c>
      <c r="CA30" s="50">
        <v>0</v>
      </c>
      <c r="CB30" s="49"/>
      <c r="CC30" s="48">
        <v>0</v>
      </c>
      <c r="CD30" s="48">
        <v>0</v>
      </c>
      <c r="CE30" s="49">
        <v>0.02</v>
      </c>
      <c r="CF30" s="50">
        <v>0</v>
      </c>
      <c r="CG30" s="49"/>
      <c r="CH30" s="48">
        <v>0</v>
      </c>
      <c r="CI30" s="48">
        <v>0</v>
      </c>
      <c r="CJ30" s="49">
        <v>0</v>
      </c>
      <c r="CK30" s="50">
        <v>0</v>
      </c>
      <c r="CL30" s="49"/>
      <c r="CM30" s="48">
        <v>0</v>
      </c>
      <c r="CN30" s="48">
        <v>0</v>
      </c>
      <c r="CO30" s="49">
        <v>0</v>
      </c>
      <c r="CP30" s="50">
        <v>0</v>
      </c>
      <c r="CQ30" s="49"/>
      <c r="CR30" s="48">
        <v>0</v>
      </c>
      <c r="CS30" s="48">
        <v>0</v>
      </c>
      <c r="CT30" s="49">
        <v>0</v>
      </c>
      <c r="CU30" s="50">
        <v>0</v>
      </c>
      <c r="CV30" s="49"/>
      <c r="CW30" s="48">
        <v>0</v>
      </c>
      <c r="CX30" s="48">
        <v>0</v>
      </c>
      <c r="CY30" s="49">
        <v>0</v>
      </c>
      <c r="CZ30" s="50">
        <v>0</v>
      </c>
      <c r="DA30" s="49"/>
      <c r="DB30" s="48">
        <v>0</v>
      </c>
      <c r="DC30" s="48">
        <v>0</v>
      </c>
      <c r="DD30" s="49">
        <v>0</v>
      </c>
      <c r="DE30" s="50">
        <v>0</v>
      </c>
      <c r="DF30" s="49"/>
      <c r="DG30" s="48">
        <v>0</v>
      </c>
      <c r="DH30" s="48">
        <v>0</v>
      </c>
      <c r="DI30" s="49">
        <v>0</v>
      </c>
      <c r="DJ30" s="50">
        <v>0</v>
      </c>
      <c r="DK30" s="49"/>
      <c r="DL30" s="48">
        <v>0</v>
      </c>
      <c r="DM30" s="48">
        <v>0</v>
      </c>
      <c r="DN30" s="49">
        <v>0</v>
      </c>
      <c r="DO30" s="50">
        <v>0</v>
      </c>
      <c r="DP30" s="47"/>
      <c r="DQ30" s="51" t="s">
        <v>44</v>
      </c>
      <c r="DR30" s="52" t="s">
        <v>45</v>
      </c>
      <c r="DS30" s="52" t="s">
        <v>45</v>
      </c>
      <c r="DT30" s="53" t="s">
        <v>46</v>
      </c>
      <c r="DU30" s="54"/>
      <c r="DV30" s="51" t="s">
        <v>44</v>
      </c>
      <c r="DW30" s="55" t="s">
        <v>47</v>
      </c>
      <c r="DX30" s="47" t="s">
        <v>47</v>
      </c>
      <c r="DY30" s="56" t="s">
        <v>44</v>
      </c>
      <c r="DZ30" s="47"/>
      <c r="EA30" s="57">
        <v>33</v>
      </c>
      <c r="EB30" s="57">
        <v>63.9</v>
      </c>
      <c r="EC30" s="57">
        <v>1.6890000000000001</v>
      </c>
      <c r="ED30" s="58">
        <v>0</v>
      </c>
      <c r="EE30" s="57"/>
      <c r="EF30" s="57">
        <v>35.5</v>
      </c>
      <c r="EG30" s="57">
        <v>64.5</v>
      </c>
      <c r="EH30" s="57">
        <v>2.2000000000000002</v>
      </c>
      <c r="EI30" s="58">
        <v>0</v>
      </c>
      <c r="EJ30" s="57"/>
      <c r="EK30" s="57">
        <v>36.299999999999997</v>
      </c>
      <c r="EL30" s="57">
        <v>64.3</v>
      </c>
      <c r="EM30" s="57">
        <v>1.8</v>
      </c>
      <c r="EN30" s="58">
        <v>0</v>
      </c>
      <c r="EO30" s="57"/>
      <c r="EP30" s="57">
        <v>33.4</v>
      </c>
      <c r="EQ30" s="57">
        <v>66.099999999999994</v>
      </c>
      <c r="ER30" s="57">
        <v>2.15</v>
      </c>
      <c r="ES30" s="58">
        <v>0</v>
      </c>
      <c r="ET30" s="47"/>
      <c r="EU30" s="51" t="s">
        <v>44</v>
      </c>
      <c r="EV30" s="51" t="s">
        <v>44</v>
      </c>
      <c r="EW30" s="47" t="s">
        <v>47</v>
      </c>
      <c r="EX30" s="56" t="s">
        <v>44</v>
      </c>
      <c r="EY30" s="54"/>
      <c r="EZ30" s="55" t="s">
        <v>47</v>
      </c>
      <c r="FA30" s="51" t="s">
        <v>44</v>
      </c>
      <c r="FB30" s="47" t="s">
        <v>47</v>
      </c>
      <c r="FC30" s="56" t="s">
        <v>44</v>
      </c>
      <c r="FD30" s="47"/>
      <c r="FE30" s="51" t="s">
        <v>44</v>
      </c>
      <c r="FF30" s="51" t="s">
        <v>44</v>
      </c>
      <c r="FG30" s="47" t="s">
        <v>47</v>
      </c>
      <c r="FH30" s="56" t="s">
        <v>44</v>
      </c>
      <c r="FI30" s="47"/>
      <c r="FJ30" s="52" t="s">
        <v>45</v>
      </c>
      <c r="FK30" s="52" t="s">
        <v>45</v>
      </c>
      <c r="FL30" s="52" t="s">
        <v>45</v>
      </c>
      <c r="FM30" s="60" t="s">
        <v>45</v>
      </c>
    </row>
    <row r="31" spans="2:169" ht="16.5" customHeight="1">
      <c r="B31" s="37">
        <v>26</v>
      </c>
      <c r="C31" s="61" t="s">
        <v>85</v>
      </c>
      <c r="D31" s="39">
        <v>33.9</v>
      </c>
      <c r="E31" s="40" t="s">
        <v>83</v>
      </c>
      <c r="F31" s="41">
        <v>7.64</v>
      </c>
      <c r="G31" s="41">
        <v>7.56</v>
      </c>
      <c r="H31" s="42">
        <v>7.76</v>
      </c>
      <c r="I31" s="43">
        <v>7.63</v>
      </c>
      <c r="J31" s="44"/>
      <c r="K31" s="44">
        <v>6.4024999999999999</v>
      </c>
      <c r="L31" s="44">
        <v>5.09</v>
      </c>
      <c r="M31" s="44">
        <v>5.9930000000000003</v>
      </c>
      <c r="N31" s="46">
        <v>2.8875000000000002</v>
      </c>
      <c r="O31" s="44"/>
      <c r="P31" s="45">
        <v>33.229999999999997</v>
      </c>
      <c r="Q31" s="45">
        <v>25.98</v>
      </c>
      <c r="R31" s="44">
        <v>25.27</v>
      </c>
      <c r="S31" s="46">
        <v>28.63</v>
      </c>
      <c r="T31" s="44"/>
      <c r="U31" s="45">
        <v>21.18</v>
      </c>
      <c r="V31" s="45">
        <v>16.77</v>
      </c>
      <c r="W31" s="44">
        <v>16.93</v>
      </c>
      <c r="X31" s="46">
        <v>19.88</v>
      </c>
      <c r="Y31" s="44"/>
      <c r="Z31" s="45">
        <v>32.799999999999997</v>
      </c>
      <c r="AA31" s="45">
        <v>25</v>
      </c>
      <c r="AB31" s="44">
        <v>25.5</v>
      </c>
      <c r="AC31" s="46">
        <v>31.1</v>
      </c>
      <c r="AD31" s="44"/>
      <c r="AE31" s="45">
        <v>21.3</v>
      </c>
      <c r="AF31" s="45">
        <v>16.399999999999999</v>
      </c>
      <c r="AG31" s="44">
        <v>17.600000000000001</v>
      </c>
      <c r="AH31" s="46">
        <v>22.4</v>
      </c>
      <c r="AI31" s="44"/>
      <c r="AJ31" s="45">
        <v>6.92</v>
      </c>
      <c r="AK31" s="45">
        <v>4.91</v>
      </c>
      <c r="AL31" s="42">
        <v>10.81</v>
      </c>
      <c r="AM31" s="46">
        <v>8.16</v>
      </c>
      <c r="AN31" s="44"/>
      <c r="AO31" s="45">
        <v>3.7185959999999998</v>
      </c>
      <c r="AP31" s="45">
        <v>2.5776629999999998</v>
      </c>
      <c r="AQ31" s="44">
        <v>4.2043371</v>
      </c>
      <c r="AR31" s="46">
        <v>3.7498999999999998</v>
      </c>
      <c r="AS31" s="44"/>
      <c r="AT31" s="45">
        <v>1.9392180000000001</v>
      </c>
      <c r="AU31" s="45">
        <v>1.262421</v>
      </c>
      <c r="AV31" s="44">
        <v>1.5159615</v>
      </c>
      <c r="AW31" s="46">
        <v>2.0028999999999999</v>
      </c>
      <c r="AX31" s="44"/>
      <c r="AY31" s="45">
        <v>3.15</v>
      </c>
      <c r="AZ31" s="45">
        <v>2.35</v>
      </c>
      <c r="BA31" s="44">
        <v>3.23</v>
      </c>
      <c r="BB31" s="46">
        <v>2.95</v>
      </c>
      <c r="BC31" s="44"/>
      <c r="BD31" s="45">
        <v>28.99</v>
      </c>
      <c r="BE31" s="45">
        <v>21.22</v>
      </c>
      <c r="BF31" s="44">
        <v>40.61</v>
      </c>
      <c r="BG31" s="46">
        <v>35.08</v>
      </c>
      <c r="BH31" s="44"/>
      <c r="BI31" s="45">
        <v>3.6</v>
      </c>
      <c r="BJ31" s="45">
        <v>1.4</v>
      </c>
      <c r="BK31" s="44">
        <v>2.6</v>
      </c>
      <c r="BL31" s="46">
        <v>2.2000000000000002</v>
      </c>
      <c r="BM31" s="47"/>
      <c r="BN31" s="48">
        <v>0.03</v>
      </c>
      <c r="BO31" s="48">
        <v>0.32</v>
      </c>
      <c r="BP31" s="49">
        <v>0.03</v>
      </c>
      <c r="BQ31" s="50">
        <v>0</v>
      </c>
      <c r="BR31" s="49"/>
      <c r="BS31" s="48">
        <v>7.0000000000000007E-2</v>
      </c>
      <c r="BT31" s="48">
        <v>0.32</v>
      </c>
      <c r="BU31" s="49">
        <v>0.03</v>
      </c>
      <c r="BV31" s="50">
        <v>0</v>
      </c>
      <c r="BW31" s="49"/>
      <c r="BX31" s="48">
        <v>0.04</v>
      </c>
      <c r="BY31" s="48">
        <v>0</v>
      </c>
      <c r="BZ31" s="49">
        <v>0</v>
      </c>
      <c r="CA31" s="50">
        <v>0</v>
      </c>
      <c r="CB31" s="49"/>
      <c r="CC31" s="48">
        <v>0.02</v>
      </c>
      <c r="CD31" s="48">
        <v>0.18</v>
      </c>
      <c r="CE31" s="49">
        <v>0.03</v>
      </c>
      <c r="CF31" s="50">
        <v>0</v>
      </c>
      <c r="CG31" s="49"/>
      <c r="CH31" s="48">
        <v>0.01</v>
      </c>
      <c r="CI31" s="48">
        <v>0.05</v>
      </c>
      <c r="CJ31" s="49">
        <v>0</v>
      </c>
      <c r="CK31" s="50">
        <v>0</v>
      </c>
      <c r="CL31" s="49"/>
      <c r="CM31" s="48">
        <v>0</v>
      </c>
      <c r="CN31" s="48">
        <v>0.01</v>
      </c>
      <c r="CO31" s="49">
        <v>0</v>
      </c>
      <c r="CP31" s="50">
        <v>0</v>
      </c>
      <c r="CQ31" s="49"/>
      <c r="CR31" s="48">
        <v>0</v>
      </c>
      <c r="CS31" s="48">
        <v>0.01</v>
      </c>
      <c r="CT31" s="49">
        <v>0</v>
      </c>
      <c r="CU31" s="50">
        <v>0</v>
      </c>
      <c r="CV31" s="49"/>
      <c r="CW31" s="48">
        <v>0</v>
      </c>
      <c r="CX31" s="48">
        <v>0</v>
      </c>
      <c r="CY31" s="49">
        <v>0</v>
      </c>
      <c r="CZ31" s="50">
        <v>0</v>
      </c>
      <c r="DA31" s="49"/>
      <c r="DB31" s="48">
        <v>0</v>
      </c>
      <c r="DC31" s="48">
        <v>0.02</v>
      </c>
      <c r="DD31" s="49">
        <v>0</v>
      </c>
      <c r="DE31" s="50">
        <v>0</v>
      </c>
      <c r="DF31" s="49"/>
      <c r="DG31" s="48">
        <v>0</v>
      </c>
      <c r="DH31" s="48">
        <v>0.02</v>
      </c>
      <c r="DI31" s="49">
        <v>0</v>
      </c>
      <c r="DJ31" s="50">
        <v>0</v>
      </c>
      <c r="DK31" s="49"/>
      <c r="DL31" s="48">
        <v>0</v>
      </c>
      <c r="DM31" s="48">
        <v>0.03</v>
      </c>
      <c r="DN31" s="49">
        <v>0</v>
      </c>
      <c r="DO31" s="50">
        <v>0</v>
      </c>
      <c r="DP31" s="47"/>
      <c r="DQ31" s="51" t="s">
        <v>44</v>
      </c>
      <c r="DR31" s="52" t="s">
        <v>45</v>
      </c>
      <c r="DS31" s="52" t="s">
        <v>45</v>
      </c>
      <c r="DT31" s="53" t="s">
        <v>46</v>
      </c>
      <c r="DU31" s="54"/>
      <c r="DV31" s="51" t="s">
        <v>44</v>
      </c>
      <c r="DW31" s="55" t="s">
        <v>47</v>
      </c>
      <c r="DX31" s="47" t="s">
        <v>47</v>
      </c>
      <c r="DY31" s="56" t="s">
        <v>44</v>
      </c>
      <c r="DZ31" s="47"/>
      <c r="EA31" s="57">
        <v>32.4</v>
      </c>
      <c r="EB31" s="57">
        <v>63.8</v>
      </c>
      <c r="EC31" s="57">
        <v>1.0150000000000001E-2</v>
      </c>
      <c r="ED31" s="58">
        <v>0</v>
      </c>
      <c r="EE31" s="57"/>
      <c r="EF31" s="57">
        <v>33.4</v>
      </c>
      <c r="EG31" s="57">
        <v>67.2</v>
      </c>
      <c r="EH31" s="57">
        <v>1.327</v>
      </c>
      <c r="EI31" s="58">
        <v>0.2</v>
      </c>
      <c r="EJ31" s="57"/>
      <c r="EK31" s="57">
        <v>36</v>
      </c>
      <c r="EL31" s="57">
        <v>64.3</v>
      </c>
      <c r="EM31" s="57">
        <v>1.796</v>
      </c>
      <c r="EN31" s="58">
        <v>0.1</v>
      </c>
      <c r="EO31" s="57"/>
      <c r="EP31" s="57">
        <v>34.700000000000003</v>
      </c>
      <c r="EQ31" s="57">
        <v>66</v>
      </c>
      <c r="ER31" s="57">
        <v>1.835</v>
      </c>
      <c r="ES31" s="58">
        <v>0</v>
      </c>
      <c r="ET31" s="47"/>
      <c r="EU31" s="51" t="s">
        <v>44</v>
      </c>
      <c r="EV31" s="51" t="s">
        <v>44</v>
      </c>
      <c r="EW31" s="55" t="s">
        <v>47</v>
      </c>
      <c r="EX31" s="56" t="s">
        <v>44</v>
      </c>
      <c r="EY31" s="54"/>
      <c r="EZ31" s="55" t="s">
        <v>47</v>
      </c>
      <c r="FA31" s="51" t="s">
        <v>44</v>
      </c>
      <c r="FB31" s="55" t="s">
        <v>47</v>
      </c>
      <c r="FC31" s="56" t="s">
        <v>44</v>
      </c>
      <c r="FD31" s="47"/>
      <c r="FE31" s="51" t="s">
        <v>44</v>
      </c>
      <c r="FF31" s="51" t="s">
        <v>44</v>
      </c>
      <c r="FG31" s="55" t="s">
        <v>47</v>
      </c>
      <c r="FH31" s="56" t="s">
        <v>44</v>
      </c>
      <c r="FI31" s="47"/>
      <c r="FJ31" s="52" t="s">
        <v>45</v>
      </c>
      <c r="FK31" s="52" t="s">
        <v>45</v>
      </c>
      <c r="FL31" s="52" t="s">
        <v>45</v>
      </c>
      <c r="FM31" s="60" t="s">
        <v>45</v>
      </c>
    </row>
    <row r="32" spans="2:169" ht="16.5" customHeight="1">
      <c r="B32" s="143">
        <v>27</v>
      </c>
      <c r="C32" s="144" t="s">
        <v>86</v>
      </c>
      <c r="D32" s="39">
        <v>25</v>
      </c>
      <c r="E32" s="40">
        <v>38</v>
      </c>
      <c r="F32" s="41">
        <v>7.73</v>
      </c>
      <c r="G32" s="41">
        <v>8.1</v>
      </c>
      <c r="H32" s="42">
        <v>7.92</v>
      </c>
      <c r="I32" s="43">
        <v>7.76</v>
      </c>
      <c r="J32" s="44"/>
      <c r="K32" s="44">
        <v>5.9020000000000001</v>
      </c>
      <c r="L32" s="44">
        <v>6.17</v>
      </c>
      <c r="M32" s="44">
        <v>6.16</v>
      </c>
      <c r="N32" s="46">
        <v>6.4619999999999997</v>
      </c>
      <c r="O32" s="44"/>
      <c r="P32" s="45">
        <v>34.75</v>
      </c>
      <c r="Q32" s="45">
        <v>32.119999999999997</v>
      </c>
      <c r="R32" s="44">
        <v>32.5</v>
      </c>
      <c r="S32" s="46">
        <v>32.729999999999997</v>
      </c>
      <c r="T32" s="44"/>
      <c r="U32" s="45">
        <v>17.850000000000001</v>
      </c>
      <c r="V32" s="45">
        <v>16.02</v>
      </c>
      <c r="W32" s="44">
        <v>16.47</v>
      </c>
      <c r="X32" s="46">
        <v>17.079999999999998</v>
      </c>
      <c r="Y32" s="44"/>
      <c r="Z32" s="45">
        <v>32.1</v>
      </c>
      <c r="AA32" s="45">
        <v>22.2</v>
      </c>
      <c r="AB32" s="44">
        <v>24.1</v>
      </c>
      <c r="AC32" s="46">
        <v>21</v>
      </c>
      <c r="AD32" s="44"/>
      <c r="AE32" s="45">
        <v>17.600000000000001</v>
      </c>
      <c r="AF32" s="45">
        <v>14.2</v>
      </c>
      <c r="AG32" s="44">
        <v>15.3</v>
      </c>
      <c r="AH32" s="46">
        <v>22.7</v>
      </c>
      <c r="AI32" s="44"/>
      <c r="AJ32" s="45">
        <v>2.71</v>
      </c>
      <c r="AK32" s="41">
        <v>22.76</v>
      </c>
      <c r="AL32" s="44">
        <v>2.71</v>
      </c>
      <c r="AM32" s="46">
        <v>6.72</v>
      </c>
      <c r="AN32" s="44"/>
      <c r="AO32" s="45">
        <v>5.9634834999999997</v>
      </c>
      <c r="AP32" s="45">
        <v>5.7469210000000004</v>
      </c>
      <c r="AQ32" s="44">
        <v>5.1641986800000002</v>
      </c>
      <c r="AR32" s="46">
        <v>5.3348000000000004</v>
      </c>
      <c r="AS32" s="44"/>
      <c r="AT32" s="45">
        <v>3.44128525</v>
      </c>
      <c r="AU32" s="45">
        <v>3.496747</v>
      </c>
      <c r="AV32" s="44">
        <v>2.3910429999999998</v>
      </c>
      <c r="AW32" s="46">
        <v>2.6831999999999998</v>
      </c>
      <c r="AX32" s="44"/>
      <c r="AY32" s="45">
        <v>1.4</v>
      </c>
      <c r="AZ32" s="45">
        <v>2.1800000000000002</v>
      </c>
      <c r="BA32" s="44">
        <v>1.79</v>
      </c>
      <c r="BB32" s="46">
        <v>2.5499999999999998</v>
      </c>
      <c r="BC32" s="44"/>
      <c r="BD32" s="45">
        <v>38.08</v>
      </c>
      <c r="BE32" s="45">
        <v>25.83</v>
      </c>
      <c r="BF32" s="44">
        <v>31.39</v>
      </c>
      <c r="BG32" s="46">
        <v>28.69</v>
      </c>
      <c r="BH32" s="44"/>
      <c r="BI32" s="45">
        <v>13</v>
      </c>
      <c r="BJ32" s="45">
        <v>6.8</v>
      </c>
      <c r="BK32" s="44">
        <v>7.4</v>
      </c>
      <c r="BL32" s="46">
        <v>6.8</v>
      </c>
      <c r="BM32" s="47"/>
      <c r="BN32" s="48">
        <v>0.05</v>
      </c>
      <c r="BO32" s="48">
        <v>0.32</v>
      </c>
      <c r="BP32" s="49">
        <v>0</v>
      </c>
      <c r="BQ32" s="50">
        <v>0</v>
      </c>
      <c r="BR32" s="49"/>
      <c r="BS32" s="48">
        <v>0.06</v>
      </c>
      <c r="BT32" s="48">
        <v>0.35</v>
      </c>
      <c r="BU32" s="49">
        <v>0</v>
      </c>
      <c r="BV32" s="50">
        <v>0</v>
      </c>
      <c r="BW32" s="49"/>
      <c r="BX32" s="48">
        <v>0</v>
      </c>
      <c r="BY32" s="48">
        <v>0.04</v>
      </c>
      <c r="BZ32" s="49">
        <v>0</v>
      </c>
      <c r="CA32" s="50">
        <v>0</v>
      </c>
      <c r="CB32" s="49"/>
      <c r="CC32" s="48">
        <v>0.04</v>
      </c>
      <c r="CD32" s="48">
        <v>0.28000000000000003</v>
      </c>
      <c r="CE32" s="49">
        <v>0</v>
      </c>
      <c r="CF32" s="50">
        <v>0</v>
      </c>
      <c r="CG32" s="49"/>
      <c r="CH32" s="48">
        <v>0.01</v>
      </c>
      <c r="CI32" s="48">
        <v>0.03</v>
      </c>
      <c r="CJ32" s="49">
        <v>0</v>
      </c>
      <c r="CK32" s="50">
        <v>0</v>
      </c>
      <c r="CL32" s="49"/>
      <c r="CM32" s="48">
        <v>0</v>
      </c>
      <c r="CN32" s="48">
        <v>0.01</v>
      </c>
      <c r="CO32" s="49">
        <v>0</v>
      </c>
      <c r="CP32" s="50">
        <v>0</v>
      </c>
      <c r="CQ32" s="49"/>
      <c r="CR32" s="48">
        <v>0</v>
      </c>
      <c r="CS32" s="48">
        <v>0</v>
      </c>
      <c r="CT32" s="49">
        <v>0</v>
      </c>
      <c r="CU32" s="50">
        <v>0</v>
      </c>
      <c r="CV32" s="49"/>
      <c r="CW32" s="48">
        <v>0</v>
      </c>
      <c r="CX32" s="48">
        <v>0</v>
      </c>
      <c r="CY32" s="49">
        <v>0</v>
      </c>
      <c r="CZ32" s="50">
        <v>0</v>
      </c>
      <c r="DA32" s="49"/>
      <c r="DB32" s="48">
        <v>0</v>
      </c>
      <c r="DC32" s="48">
        <v>0</v>
      </c>
      <c r="DD32" s="49">
        <v>0</v>
      </c>
      <c r="DE32" s="50">
        <v>0</v>
      </c>
      <c r="DF32" s="49"/>
      <c r="DG32" s="48">
        <v>0</v>
      </c>
      <c r="DH32" s="48">
        <v>0</v>
      </c>
      <c r="DI32" s="49">
        <v>0</v>
      </c>
      <c r="DJ32" s="50">
        <v>0</v>
      </c>
      <c r="DK32" s="49"/>
      <c r="DL32" s="48">
        <v>0</v>
      </c>
      <c r="DM32" s="48">
        <v>0</v>
      </c>
      <c r="DN32" s="49">
        <v>0</v>
      </c>
      <c r="DO32" s="50">
        <v>0</v>
      </c>
      <c r="DP32" s="47"/>
      <c r="DQ32" s="51" t="s">
        <v>44</v>
      </c>
      <c r="DR32" s="52" t="s">
        <v>45</v>
      </c>
      <c r="DS32" s="52" t="s">
        <v>45</v>
      </c>
      <c r="DT32" s="53" t="s">
        <v>46</v>
      </c>
      <c r="DU32" s="54"/>
      <c r="DV32" s="51" t="s">
        <v>44</v>
      </c>
      <c r="DW32" s="55" t="s">
        <v>47</v>
      </c>
      <c r="DX32" s="47" t="s">
        <v>47</v>
      </c>
      <c r="DY32" s="56" t="s">
        <v>47</v>
      </c>
      <c r="DZ32" s="47"/>
      <c r="EA32" s="57">
        <v>40.799999999999997</v>
      </c>
      <c r="EB32" s="57">
        <v>59.84</v>
      </c>
      <c r="EC32" s="57">
        <v>0.1174</v>
      </c>
      <c r="ED32" s="58">
        <v>0</v>
      </c>
      <c r="EE32" s="57"/>
      <c r="EF32" s="57">
        <v>39.76</v>
      </c>
      <c r="EG32" s="57">
        <v>59.34</v>
      </c>
      <c r="EH32" s="57">
        <v>9.98E-2</v>
      </c>
      <c r="EI32" s="58">
        <v>0</v>
      </c>
      <c r="EJ32" s="57"/>
      <c r="EK32" s="57">
        <v>38.18</v>
      </c>
      <c r="EL32" s="57">
        <v>61.22</v>
      </c>
      <c r="EM32" s="57">
        <v>7.2599999999999998E-2</v>
      </c>
      <c r="EN32" s="58">
        <v>0</v>
      </c>
      <c r="EO32" s="57"/>
      <c r="EP32" s="57">
        <v>39.6</v>
      </c>
      <c r="EQ32" s="57">
        <v>59.46</v>
      </c>
      <c r="ER32" s="57">
        <v>0.1124</v>
      </c>
      <c r="ES32" s="58">
        <v>0</v>
      </c>
      <c r="ET32" s="47"/>
      <c r="EU32" s="51" t="s">
        <v>44</v>
      </c>
      <c r="EV32" s="51" t="s">
        <v>44</v>
      </c>
      <c r="EW32" s="55" t="s">
        <v>47</v>
      </c>
      <c r="EX32" s="59" t="s">
        <v>47</v>
      </c>
      <c r="EY32" s="54"/>
      <c r="EZ32" s="51" t="s">
        <v>44</v>
      </c>
      <c r="FA32" s="51" t="s">
        <v>44</v>
      </c>
      <c r="FB32" s="55" t="s">
        <v>47</v>
      </c>
      <c r="FC32" s="59" t="s">
        <v>47</v>
      </c>
      <c r="FD32" s="55"/>
      <c r="FE32" s="51" t="s">
        <v>44</v>
      </c>
      <c r="FF32" s="51" t="s">
        <v>44</v>
      </c>
      <c r="FG32" s="55" t="s">
        <v>47</v>
      </c>
      <c r="FH32" s="59" t="s">
        <v>47</v>
      </c>
      <c r="FI32" s="55"/>
      <c r="FJ32" s="52" t="s">
        <v>45</v>
      </c>
      <c r="FK32" s="52" t="s">
        <v>45</v>
      </c>
      <c r="FL32" s="52" t="s">
        <v>45</v>
      </c>
      <c r="FM32" s="60" t="s">
        <v>45</v>
      </c>
    </row>
    <row r="33" spans="2:169" ht="16.5" customHeight="1">
      <c r="B33" s="37">
        <v>28</v>
      </c>
      <c r="C33" s="38" t="s">
        <v>87</v>
      </c>
      <c r="D33" s="39">
        <v>35</v>
      </c>
      <c r="E33" s="40">
        <v>35</v>
      </c>
      <c r="F33" s="41">
        <v>8.14</v>
      </c>
      <c r="G33" s="41">
        <v>8.09</v>
      </c>
      <c r="H33" s="42">
        <v>8.07</v>
      </c>
      <c r="I33" s="43">
        <v>8.07</v>
      </c>
      <c r="J33" s="44"/>
      <c r="K33" s="42">
        <v>10.036</v>
      </c>
      <c r="L33" s="44">
        <v>1.7623</v>
      </c>
      <c r="M33" s="42">
        <v>11.654</v>
      </c>
      <c r="N33" s="43">
        <v>10.28</v>
      </c>
      <c r="O33" s="44"/>
      <c r="P33" s="45">
        <v>22.13</v>
      </c>
      <c r="Q33" s="45">
        <v>24.67</v>
      </c>
      <c r="R33" s="44">
        <v>17.73</v>
      </c>
      <c r="S33" s="46">
        <v>23.15</v>
      </c>
      <c r="T33" s="44"/>
      <c r="U33" s="45">
        <v>11.6</v>
      </c>
      <c r="V33" s="45">
        <v>6.68</v>
      </c>
      <c r="W33" s="44">
        <v>9.52</v>
      </c>
      <c r="X33" s="46">
        <v>12.35</v>
      </c>
      <c r="Y33" s="44"/>
      <c r="Z33" s="45">
        <v>17.600000000000001</v>
      </c>
      <c r="AA33" s="45">
        <v>11</v>
      </c>
      <c r="AB33" s="44">
        <v>15.2</v>
      </c>
      <c r="AC33" s="46">
        <v>16.5</v>
      </c>
      <c r="AD33" s="44"/>
      <c r="AE33" s="45">
        <v>11.6</v>
      </c>
      <c r="AF33" s="45">
        <v>5.5</v>
      </c>
      <c r="AG33" s="44">
        <v>9.5</v>
      </c>
      <c r="AH33" s="46">
        <v>11.3</v>
      </c>
      <c r="AI33" s="44"/>
      <c r="AJ33" s="45">
        <v>3.12</v>
      </c>
      <c r="AK33" s="45">
        <v>1.1499999999999999</v>
      </c>
      <c r="AL33" s="44">
        <v>2.77</v>
      </c>
      <c r="AM33" s="46">
        <v>4.07</v>
      </c>
      <c r="AN33" s="44"/>
      <c r="AO33" s="45">
        <v>5.1017840000000003</v>
      </c>
      <c r="AP33" s="45">
        <v>2.2818659999999999</v>
      </c>
      <c r="AQ33" s="44">
        <v>3.9943200399999998</v>
      </c>
      <c r="AR33" s="46">
        <v>4.4755000000000003</v>
      </c>
      <c r="AS33" s="44"/>
      <c r="AT33" s="45">
        <v>3.1164364999999998</v>
      </c>
      <c r="AU33" s="45">
        <v>1.6797059999999999</v>
      </c>
      <c r="AV33" s="44">
        <v>2.5723805</v>
      </c>
      <c r="AW33" s="46">
        <v>2.9630999999999998</v>
      </c>
      <c r="AX33" s="44"/>
      <c r="AY33" s="45">
        <v>1.1499999999999999</v>
      </c>
      <c r="AZ33" s="45">
        <v>0.88</v>
      </c>
      <c r="BA33" s="44">
        <v>2.0699999999999998</v>
      </c>
      <c r="BB33" s="46">
        <v>1.95</v>
      </c>
      <c r="BC33" s="44"/>
      <c r="BD33" s="45">
        <v>20.64</v>
      </c>
      <c r="BE33" s="45">
        <v>7.88</v>
      </c>
      <c r="BF33" s="44">
        <v>18.63</v>
      </c>
      <c r="BG33" s="46">
        <v>20.04</v>
      </c>
      <c r="BH33" s="44"/>
      <c r="BI33" s="45">
        <v>4.9000000000000004</v>
      </c>
      <c r="BJ33" s="45">
        <v>2.5</v>
      </c>
      <c r="BK33" s="44">
        <v>3.4</v>
      </c>
      <c r="BL33" s="46">
        <v>3.7</v>
      </c>
      <c r="BM33" s="47"/>
      <c r="BN33" s="48">
        <v>0.02</v>
      </c>
      <c r="BO33" s="48">
        <v>0.08</v>
      </c>
      <c r="BP33" s="49">
        <v>0.04</v>
      </c>
      <c r="BQ33" s="50">
        <v>0</v>
      </c>
      <c r="BR33" s="49"/>
      <c r="BS33" s="48">
        <v>0.02</v>
      </c>
      <c r="BT33" s="48">
        <v>0.08</v>
      </c>
      <c r="BU33" s="49">
        <v>0.04</v>
      </c>
      <c r="BV33" s="50">
        <v>0</v>
      </c>
      <c r="BW33" s="49"/>
      <c r="BX33" s="48">
        <v>0</v>
      </c>
      <c r="BY33" s="48">
        <v>0.01</v>
      </c>
      <c r="BZ33" s="49">
        <v>0</v>
      </c>
      <c r="CA33" s="50">
        <v>0</v>
      </c>
      <c r="CB33" s="49"/>
      <c r="CC33" s="48">
        <v>0.01</v>
      </c>
      <c r="CD33" s="48">
        <v>0.03</v>
      </c>
      <c r="CE33" s="49">
        <v>0.04</v>
      </c>
      <c r="CF33" s="50">
        <v>0</v>
      </c>
      <c r="CG33" s="49"/>
      <c r="CH33" s="48">
        <v>0</v>
      </c>
      <c r="CI33" s="48">
        <v>0.02</v>
      </c>
      <c r="CJ33" s="49">
        <v>0</v>
      </c>
      <c r="CK33" s="50">
        <v>0</v>
      </c>
      <c r="CL33" s="49"/>
      <c r="CM33" s="48">
        <v>0</v>
      </c>
      <c r="CN33" s="48">
        <v>0</v>
      </c>
      <c r="CO33" s="49">
        <v>0</v>
      </c>
      <c r="CP33" s="50">
        <v>0</v>
      </c>
      <c r="CQ33" s="49"/>
      <c r="CR33" s="48">
        <v>0</v>
      </c>
      <c r="CS33" s="48">
        <v>0.01</v>
      </c>
      <c r="CT33" s="49">
        <v>0</v>
      </c>
      <c r="CU33" s="50">
        <v>0</v>
      </c>
      <c r="CV33" s="49"/>
      <c r="CW33" s="48">
        <v>0</v>
      </c>
      <c r="CX33" s="48">
        <v>0</v>
      </c>
      <c r="CY33" s="49">
        <v>0</v>
      </c>
      <c r="CZ33" s="50">
        <v>0</v>
      </c>
      <c r="DA33" s="49"/>
      <c r="DB33" s="48">
        <v>0</v>
      </c>
      <c r="DC33" s="48">
        <v>0.01</v>
      </c>
      <c r="DD33" s="49">
        <v>0</v>
      </c>
      <c r="DE33" s="50">
        <v>0</v>
      </c>
      <c r="DF33" s="49"/>
      <c r="DG33" s="48">
        <v>0</v>
      </c>
      <c r="DH33" s="48">
        <v>0</v>
      </c>
      <c r="DI33" s="49">
        <v>0</v>
      </c>
      <c r="DJ33" s="50">
        <v>0</v>
      </c>
      <c r="DK33" s="49"/>
      <c r="DL33" s="48">
        <v>0.01</v>
      </c>
      <c r="DM33" s="48">
        <v>0</v>
      </c>
      <c r="DN33" s="49">
        <v>0</v>
      </c>
      <c r="DO33" s="50">
        <v>0</v>
      </c>
      <c r="DP33" s="47"/>
      <c r="DQ33" s="51" t="s">
        <v>44</v>
      </c>
      <c r="DR33" s="52" t="s">
        <v>45</v>
      </c>
      <c r="DS33" s="52" t="s">
        <v>45</v>
      </c>
      <c r="DT33" s="53" t="s">
        <v>46</v>
      </c>
      <c r="DU33" s="54"/>
      <c r="DV33" s="51" t="s">
        <v>44</v>
      </c>
      <c r="DW33" s="55" t="s">
        <v>47</v>
      </c>
      <c r="DX33" s="47" t="s">
        <v>47</v>
      </c>
      <c r="DY33" s="56" t="s">
        <v>44</v>
      </c>
      <c r="DZ33" s="47"/>
      <c r="EA33" s="57">
        <v>30.6</v>
      </c>
      <c r="EB33" s="57">
        <v>68.2</v>
      </c>
      <c r="EC33" s="57">
        <v>0</v>
      </c>
      <c r="ED33" s="58">
        <v>0</v>
      </c>
      <c r="EE33" s="57"/>
      <c r="EF33" s="57">
        <v>31.8</v>
      </c>
      <c r="EG33" s="57">
        <v>66.8</v>
      </c>
      <c r="EH33" s="57">
        <v>1E-3</v>
      </c>
      <c r="EI33" s="58">
        <v>0.4</v>
      </c>
      <c r="EJ33" s="57"/>
      <c r="EK33" s="57">
        <v>35.700000000000003</v>
      </c>
      <c r="EL33" s="57">
        <v>63.9</v>
      </c>
      <c r="EM33" s="57">
        <v>3.2970000000000002</v>
      </c>
      <c r="EN33" s="58">
        <v>0.4</v>
      </c>
      <c r="EO33" s="57"/>
      <c r="EP33" s="57">
        <v>30.9</v>
      </c>
      <c r="EQ33" s="57">
        <v>68.400000000000006</v>
      </c>
      <c r="ER33" s="57">
        <v>2.5089999999999999</v>
      </c>
      <c r="ES33" s="58">
        <v>0.1</v>
      </c>
      <c r="ET33" s="47"/>
      <c r="EU33" s="51" t="s">
        <v>44</v>
      </c>
      <c r="EV33" s="51" t="s">
        <v>44</v>
      </c>
      <c r="EW33" s="55" t="s">
        <v>47</v>
      </c>
      <c r="EX33" s="56" t="s">
        <v>44</v>
      </c>
      <c r="EY33" s="54"/>
      <c r="EZ33" s="51" t="s">
        <v>44</v>
      </c>
      <c r="FA33" s="51" t="s">
        <v>44</v>
      </c>
      <c r="FB33" s="55" t="s">
        <v>47</v>
      </c>
      <c r="FC33" s="56" t="s">
        <v>44</v>
      </c>
      <c r="FD33" s="47"/>
      <c r="FE33" s="51" t="s">
        <v>44</v>
      </c>
      <c r="FF33" s="51" t="s">
        <v>44</v>
      </c>
      <c r="FG33" s="55" t="s">
        <v>47</v>
      </c>
      <c r="FH33" s="56" t="s">
        <v>44</v>
      </c>
      <c r="FI33" s="47"/>
      <c r="FJ33" s="52" t="s">
        <v>45</v>
      </c>
      <c r="FK33" s="52" t="s">
        <v>45</v>
      </c>
      <c r="FL33" s="52" t="s">
        <v>45</v>
      </c>
      <c r="FM33" s="60" t="s">
        <v>45</v>
      </c>
    </row>
    <row r="34" spans="2:169" ht="16.5" customHeight="1">
      <c r="B34" s="184">
        <v>29</v>
      </c>
      <c r="C34" s="112" t="s">
        <v>88</v>
      </c>
      <c r="D34" s="39">
        <v>61</v>
      </c>
      <c r="E34" s="40">
        <v>35.299999999999997</v>
      </c>
      <c r="F34" s="41">
        <v>7.02</v>
      </c>
      <c r="G34" s="41">
        <v>6.31</v>
      </c>
      <c r="H34" s="42">
        <v>6.63</v>
      </c>
      <c r="I34" s="43">
        <v>7.08</v>
      </c>
      <c r="J34" s="44"/>
      <c r="K34" s="44">
        <v>3.3719999999999999</v>
      </c>
      <c r="L34" s="44">
        <v>3.88</v>
      </c>
      <c r="M34" s="44">
        <v>2.97</v>
      </c>
      <c r="N34" s="46">
        <v>5.3140000000000001</v>
      </c>
      <c r="O34" s="44"/>
      <c r="P34" s="45">
        <v>32.130000000000003</v>
      </c>
      <c r="Q34" s="45">
        <v>30.43</v>
      </c>
      <c r="R34" s="44">
        <v>30.45</v>
      </c>
      <c r="S34" s="46">
        <v>32.700000000000003</v>
      </c>
      <c r="T34" s="44"/>
      <c r="U34" s="45">
        <v>16.27</v>
      </c>
      <c r="V34" s="45">
        <v>23.55</v>
      </c>
      <c r="W34" s="44">
        <v>15.67</v>
      </c>
      <c r="X34" s="46">
        <v>19.3</v>
      </c>
      <c r="Y34" s="44"/>
      <c r="Z34" s="45">
        <v>27.7</v>
      </c>
      <c r="AA34" s="45">
        <v>31.5</v>
      </c>
      <c r="AB34" s="44">
        <v>25.4</v>
      </c>
      <c r="AC34" s="46">
        <v>23.7</v>
      </c>
      <c r="AD34" s="44"/>
      <c r="AE34" s="45">
        <v>14.6</v>
      </c>
      <c r="AF34" s="45">
        <v>22.4</v>
      </c>
      <c r="AG34" s="44">
        <v>14.2</v>
      </c>
      <c r="AH34" s="46">
        <v>27.8</v>
      </c>
      <c r="AI34" s="44"/>
      <c r="AJ34" s="45">
        <v>4.7300000000000004</v>
      </c>
      <c r="AK34" s="45">
        <v>3.14</v>
      </c>
      <c r="AL34" s="44">
        <v>5.82</v>
      </c>
      <c r="AM34" s="43">
        <v>11.41</v>
      </c>
      <c r="AN34" s="44"/>
      <c r="AO34" s="45">
        <v>2.5037129999999999</v>
      </c>
      <c r="AP34" s="45">
        <v>1.5423720000000001</v>
      </c>
      <c r="AQ34" s="44">
        <v>3.13238935</v>
      </c>
      <c r="AR34" s="46">
        <v>3.6129500000000001</v>
      </c>
      <c r="AS34" s="44"/>
      <c r="AT34" s="45">
        <v>1.6532960000000001</v>
      </c>
      <c r="AU34" s="45">
        <v>0.1552936</v>
      </c>
      <c r="AV34" s="44">
        <v>1.8328825</v>
      </c>
      <c r="AW34" s="46">
        <v>0.83314999999999995</v>
      </c>
      <c r="AX34" s="44"/>
      <c r="AY34" s="45">
        <v>1.5</v>
      </c>
      <c r="AZ34" s="45">
        <v>4.43</v>
      </c>
      <c r="BA34" s="44">
        <v>1.65</v>
      </c>
      <c r="BB34" s="46">
        <v>1.45</v>
      </c>
      <c r="BC34" s="44"/>
      <c r="BD34" s="45">
        <v>18.149999999999999</v>
      </c>
      <c r="BE34" s="45">
        <v>38.35</v>
      </c>
      <c r="BF34" s="44">
        <v>22.36</v>
      </c>
      <c r="BG34" s="46">
        <v>22.81</v>
      </c>
      <c r="BH34" s="44"/>
      <c r="BI34" s="45">
        <v>3.6</v>
      </c>
      <c r="BJ34" s="45">
        <v>0.5</v>
      </c>
      <c r="BK34" s="44">
        <v>0.9</v>
      </c>
      <c r="BL34" s="46">
        <v>0.9</v>
      </c>
      <c r="BM34" s="47"/>
      <c r="BN34" s="48">
        <v>0.08</v>
      </c>
      <c r="BO34" s="48">
        <v>0.01</v>
      </c>
      <c r="BP34" s="49">
        <v>0</v>
      </c>
      <c r="BQ34" s="50">
        <v>0</v>
      </c>
      <c r="BR34" s="49"/>
      <c r="BS34" s="48">
        <v>0.14000000000000001</v>
      </c>
      <c r="BT34" s="48">
        <v>0.01</v>
      </c>
      <c r="BU34" s="49">
        <v>0</v>
      </c>
      <c r="BV34" s="50">
        <v>0</v>
      </c>
      <c r="BW34" s="49"/>
      <c r="BX34" s="48">
        <v>0.11</v>
      </c>
      <c r="BY34" s="48">
        <v>0</v>
      </c>
      <c r="BZ34" s="49">
        <v>0</v>
      </c>
      <c r="CA34" s="50">
        <v>0</v>
      </c>
      <c r="CB34" s="49"/>
      <c r="CC34" s="48">
        <v>0.04</v>
      </c>
      <c r="CD34" s="48">
        <v>0.01</v>
      </c>
      <c r="CE34" s="49">
        <v>0</v>
      </c>
      <c r="CF34" s="50">
        <v>0</v>
      </c>
      <c r="CG34" s="49"/>
      <c r="CH34" s="48">
        <v>0</v>
      </c>
      <c r="CI34" s="48">
        <v>0</v>
      </c>
      <c r="CJ34" s="49">
        <v>0</v>
      </c>
      <c r="CK34" s="50">
        <v>0</v>
      </c>
      <c r="CL34" s="49"/>
      <c r="CM34" s="48">
        <v>0</v>
      </c>
      <c r="CN34" s="48">
        <v>0</v>
      </c>
      <c r="CO34" s="49">
        <v>0</v>
      </c>
      <c r="CP34" s="50">
        <v>0</v>
      </c>
      <c r="CQ34" s="49"/>
      <c r="CR34" s="48">
        <v>0.01</v>
      </c>
      <c r="CS34" s="48">
        <v>0</v>
      </c>
      <c r="CT34" s="49">
        <v>0</v>
      </c>
      <c r="CU34" s="50">
        <v>0</v>
      </c>
      <c r="CV34" s="49"/>
      <c r="CW34" s="48">
        <v>0</v>
      </c>
      <c r="CX34" s="48">
        <v>0</v>
      </c>
      <c r="CY34" s="49">
        <v>0</v>
      </c>
      <c r="CZ34" s="50">
        <v>0</v>
      </c>
      <c r="DA34" s="49"/>
      <c r="DB34" s="48">
        <v>0</v>
      </c>
      <c r="DC34" s="48">
        <v>0</v>
      </c>
      <c r="DD34" s="49">
        <v>0</v>
      </c>
      <c r="DE34" s="50">
        <v>0</v>
      </c>
      <c r="DF34" s="49"/>
      <c r="DG34" s="48">
        <v>0</v>
      </c>
      <c r="DH34" s="48">
        <v>0</v>
      </c>
      <c r="DI34" s="49">
        <v>0</v>
      </c>
      <c r="DJ34" s="50">
        <v>0</v>
      </c>
      <c r="DK34" s="49"/>
      <c r="DL34" s="48">
        <v>0.03</v>
      </c>
      <c r="DM34" s="48">
        <v>0</v>
      </c>
      <c r="DN34" s="49">
        <v>0</v>
      </c>
      <c r="DO34" s="50">
        <v>0</v>
      </c>
      <c r="DP34" s="47"/>
      <c r="DQ34" s="51" t="s">
        <v>44</v>
      </c>
      <c r="DR34" s="52" t="s">
        <v>45</v>
      </c>
      <c r="DS34" s="52" t="s">
        <v>45</v>
      </c>
      <c r="DT34" s="53" t="s">
        <v>46</v>
      </c>
      <c r="DU34" s="54"/>
      <c r="DV34" s="51" t="s">
        <v>44</v>
      </c>
      <c r="DW34" s="55" t="s">
        <v>47</v>
      </c>
      <c r="DX34" s="47" t="s">
        <v>47</v>
      </c>
      <c r="DY34" s="56" t="s">
        <v>44</v>
      </c>
      <c r="DZ34" s="47"/>
      <c r="EA34" s="57">
        <v>33</v>
      </c>
      <c r="EB34" s="57">
        <v>56.9</v>
      </c>
      <c r="EC34" s="57">
        <v>6.4000000000000003E-3</v>
      </c>
      <c r="ED34" s="58">
        <v>1.5</v>
      </c>
      <c r="EE34" s="57"/>
      <c r="EF34" s="57">
        <v>32.700000000000003</v>
      </c>
      <c r="EG34" s="57">
        <v>61.9</v>
      </c>
      <c r="EH34" s="57">
        <v>1.3180000000000001</v>
      </c>
      <c r="EI34" s="58">
        <v>1.4</v>
      </c>
      <c r="EJ34" s="57"/>
      <c r="EK34" s="57">
        <v>35.6</v>
      </c>
      <c r="EL34" s="57">
        <v>64</v>
      </c>
      <c r="EM34" s="57">
        <v>1.839</v>
      </c>
      <c r="EN34" s="58">
        <v>0.5</v>
      </c>
      <c r="EO34" s="57"/>
      <c r="EP34" s="57">
        <v>34.9</v>
      </c>
      <c r="EQ34" s="57">
        <v>63.7</v>
      </c>
      <c r="ER34" s="57">
        <v>1.867</v>
      </c>
      <c r="ES34" s="58">
        <v>0.8</v>
      </c>
      <c r="ET34" s="47"/>
      <c r="EU34" s="51" t="s">
        <v>44</v>
      </c>
      <c r="EV34" s="51" t="s">
        <v>44</v>
      </c>
      <c r="EW34" s="55" t="s">
        <v>47</v>
      </c>
      <c r="EX34" s="59" t="s">
        <v>44</v>
      </c>
      <c r="EY34" s="54"/>
      <c r="EZ34" s="51" t="s">
        <v>44</v>
      </c>
      <c r="FA34" s="51" t="s">
        <v>44</v>
      </c>
      <c r="FB34" s="55" t="s">
        <v>47</v>
      </c>
      <c r="FC34" s="59" t="s">
        <v>44</v>
      </c>
      <c r="FD34" s="55"/>
      <c r="FE34" s="51" t="s">
        <v>44</v>
      </c>
      <c r="FF34" s="51" t="s">
        <v>44</v>
      </c>
      <c r="FG34" s="55" t="s">
        <v>47</v>
      </c>
      <c r="FH34" s="59" t="s">
        <v>44</v>
      </c>
      <c r="FI34" s="55"/>
      <c r="FJ34" s="52" t="s">
        <v>45</v>
      </c>
      <c r="FK34" s="52" t="s">
        <v>45</v>
      </c>
      <c r="FL34" s="52" t="s">
        <v>45</v>
      </c>
      <c r="FM34" s="60" t="s">
        <v>45</v>
      </c>
    </row>
    <row r="35" spans="2:169" ht="16.5" customHeight="1">
      <c r="B35" s="37">
        <v>30</v>
      </c>
      <c r="C35" s="112" t="s">
        <v>89</v>
      </c>
      <c r="D35" s="39">
        <v>24.8</v>
      </c>
      <c r="E35" s="40" t="s">
        <v>90</v>
      </c>
      <c r="F35" s="41">
        <v>7.18</v>
      </c>
      <c r="G35" s="41">
        <v>7.31</v>
      </c>
      <c r="H35" s="42">
        <v>7.62</v>
      </c>
      <c r="I35" s="43">
        <v>7.62</v>
      </c>
      <c r="J35" s="44"/>
      <c r="K35" s="44">
        <v>3.0179999999999998</v>
      </c>
      <c r="L35" s="44">
        <v>1.0872999999999999</v>
      </c>
      <c r="M35" s="44">
        <v>6.798</v>
      </c>
      <c r="N35" s="46">
        <v>5.234</v>
      </c>
      <c r="O35" s="44"/>
      <c r="P35" s="45">
        <v>21.97</v>
      </c>
      <c r="Q35" s="45">
        <v>27.47</v>
      </c>
      <c r="R35" s="44">
        <v>29.22</v>
      </c>
      <c r="S35" s="46">
        <v>25.1</v>
      </c>
      <c r="T35" s="44"/>
      <c r="U35" s="45">
        <v>15.47</v>
      </c>
      <c r="V35" s="45">
        <v>18.75</v>
      </c>
      <c r="W35" s="44">
        <v>19.7</v>
      </c>
      <c r="X35" s="46">
        <v>18.399999999999999</v>
      </c>
      <c r="Y35" s="44"/>
      <c r="Z35" s="45">
        <v>21.7</v>
      </c>
      <c r="AA35" s="45">
        <v>29.8</v>
      </c>
      <c r="AB35" s="44">
        <v>34.700000000000003</v>
      </c>
      <c r="AC35" s="46">
        <v>24</v>
      </c>
      <c r="AD35" s="44"/>
      <c r="AE35" s="45">
        <v>15.5</v>
      </c>
      <c r="AF35" s="45">
        <v>20.3</v>
      </c>
      <c r="AG35" s="44">
        <v>23.9</v>
      </c>
      <c r="AH35" s="46">
        <v>18.2</v>
      </c>
      <c r="AI35" s="44"/>
      <c r="AJ35" s="45">
        <v>7.71</v>
      </c>
      <c r="AK35" s="41">
        <v>10.51</v>
      </c>
      <c r="AL35" s="42">
        <v>10.54</v>
      </c>
      <c r="AM35" s="43">
        <v>11.65</v>
      </c>
      <c r="AN35" s="44"/>
      <c r="AO35" s="45">
        <v>2.0600149999999999</v>
      </c>
      <c r="AP35" s="45">
        <v>3.1586940000000001</v>
      </c>
      <c r="AQ35" s="44">
        <v>4.5026688799999999</v>
      </c>
      <c r="AR35" s="46">
        <v>4.1616999999999997</v>
      </c>
      <c r="AS35" s="44"/>
      <c r="AT35" s="45">
        <v>0.76062180000000001</v>
      </c>
      <c r="AU35" s="45">
        <v>1.204318</v>
      </c>
      <c r="AV35" s="44">
        <v>1.8107025999999999</v>
      </c>
      <c r="AW35" s="46">
        <v>1.5628</v>
      </c>
      <c r="AX35" s="44"/>
      <c r="AY35" s="45">
        <v>1.5</v>
      </c>
      <c r="AZ35" s="45">
        <v>3.72</v>
      </c>
      <c r="BA35" s="44">
        <v>2.27</v>
      </c>
      <c r="BB35" s="46">
        <v>2.95</v>
      </c>
      <c r="BC35" s="44"/>
      <c r="BD35" s="45">
        <v>23.7</v>
      </c>
      <c r="BE35" s="45">
        <v>30.77</v>
      </c>
      <c r="BF35" s="44">
        <v>38.24</v>
      </c>
      <c r="BG35" s="46">
        <v>29.9</v>
      </c>
      <c r="BH35" s="44"/>
      <c r="BI35" s="45">
        <v>1.2</v>
      </c>
      <c r="BJ35" s="45">
        <v>7.7</v>
      </c>
      <c r="BK35" s="44">
        <v>2.1</v>
      </c>
      <c r="BL35" s="46">
        <v>1.6</v>
      </c>
      <c r="BM35" s="47"/>
      <c r="BN35" s="48">
        <v>0</v>
      </c>
      <c r="BO35" s="48">
        <v>0.01</v>
      </c>
      <c r="BP35" s="49">
        <v>0</v>
      </c>
      <c r="BQ35" s="50">
        <v>0</v>
      </c>
      <c r="BR35" s="49"/>
      <c r="BS35" s="48">
        <v>0</v>
      </c>
      <c r="BT35" s="48">
        <v>0.01</v>
      </c>
      <c r="BU35" s="49">
        <v>0</v>
      </c>
      <c r="BV35" s="50">
        <v>0</v>
      </c>
      <c r="BW35" s="49"/>
      <c r="BX35" s="48">
        <v>0</v>
      </c>
      <c r="BY35" s="48">
        <v>0</v>
      </c>
      <c r="BZ35" s="49">
        <v>0</v>
      </c>
      <c r="CA35" s="50">
        <v>0</v>
      </c>
      <c r="CB35" s="49"/>
      <c r="CC35" s="48">
        <v>0</v>
      </c>
      <c r="CD35" s="48">
        <v>0.01</v>
      </c>
      <c r="CE35" s="49">
        <v>0</v>
      </c>
      <c r="CF35" s="50">
        <v>0</v>
      </c>
      <c r="CG35" s="49"/>
      <c r="CH35" s="48">
        <v>0</v>
      </c>
      <c r="CI35" s="48">
        <v>0</v>
      </c>
      <c r="CJ35" s="49">
        <v>0</v>
      </c>
      <c r="CK35" s="50">
        <v>0</v>
      </c>
      <c r="CL35" s="49"/>
      <c r="CM35" s="48">
        <v>0</v>
      </c>
      <c r="CN35" s="48">
        <v>0</v>
      </c>
      <c r="CO35" s="49">
        <v>0</v>
      </c>
      <c r="CP35" s="50">
        <v>0</v>
      </c>
      <c r="CQ35" s="49"/>
      <c r="CR35" s="48">
        <v>0</v>
      </c>
      <c r="CS35" s="48">
        <v>0</v>
      </c>
      <c r="CT35" s="49">
        <v>0</v>
      </c>
      <c r="CU35" s="50">
        <v>0</v>
      </c>
      <c r="CV35" s="49"/>
      <c r="CW35" s="48">
        <v>0</v>
      </c>
      <c r="CX35" s="48">
        <v>0</v>
      </c>
      <c r="CY35" s="49">
        <v>0</v>
      </c>
      <c r="CZ35" s="50">
        <v>0</v>
      </c>
      <c r="DA35" s="49"/>
      <c r="DB35" s="48">
        <v>0</v>
      </c>
      <c r="DC35" s="48">
        <v>0</v>
      </c>
      <c r="DD35" s="49">
        <v>0</v>
      </c>
      <c r="DE35" s="50">
        <v>0</v>
      </c>
      <c r="DF35" s="49"/>
      <c r="DG35" s="48">
        <v>0</v>
      </c>
      <c r="DH35" s="48">
        <v>0</v>
      </c>
      <c r="DI35" s="49">
        <v>0</v>
      </c>
      <c r="DJ35" s="50">
        <v>0</v>
      </c>
      <c r="DK35" s="49"/>
      <c r="DL35" s="48">
        <v>0</v>
      </c>
      <c r="DM35" s="48">
        <v>0</v>
      </c>
      <c r="DN35" s="49">
        <v>0</v>
      </c>
      <c r="DO35" s="50">
        <v>0</v>
      </c>
      <c r="DP35" s="47"/>
      <c r="DQ35" s="51" t="s">
        <v>44</v>
      </c>
      <c r="DR35" s="52" t="s">
        <v>45</v>
      </c>
      <c r="DS35" s="52" t="s">
        <v>45</v>
      </c>
      <c r="DT35" s="53" t="s">
        <v>46</v>
      </c>
      <c r="DU35" s="54"/>
      <c r="DV35" s="51" t="s">
        <v>44</v>
      </c>
      <c r="DW35" s="55" t="s">
        <v>47</v>
      </c>
      <c r="DX35" s="47" t="s">
        <v>47</v>
      </c>
      <c r="DY35" s="56" t="s">
        <v>44</v>
      </c>
      <c r="DZ35" s="47"/>
      <c r="EA35" s="57">
        <v>32</v>
      </c>
      <c r="EB35" s="57">
        <v>65.400000000000006</v>
      </c>
      <c r="EC35" s="57">
        <v>0.28399999999999997</v>
      </c>
      <c r="ED35" s="58">
        <v>0.2</v>
      </c>
      <c r="EE35" s="57"/>
      <c r="EF35" s="57">
        <v>36.1</v>
      </c>
      <c r="EG35" s="57">
        <v>65</v>
      </c>
      <c r="EH35" s="57">
        <v>0</v>
      </c>
      <c r="EI35" s="58">
        <v>0.5</v>
      </c>
      <c r="EJ35" s="57"/>
      <c r="EK35" s="57">
        <v>36</v>
      </c>
      <c r="EL35" s="57">
        <v>61.3</v>
      </c>
      <c r="EM35" s="57">
        <v>3.0000000000000001E-3</v>
      </c>
      <c r="EN35" s="58">
        <v>0.1</v>
      </c>
      <c r="EO35" s="57"/>
      <c r="EP35" s="57">
        <v>32.299999999999997</v>
      </c>
      <c r="EQ35" s="57">
        <v>62.5</v>
      </c>
      <c r="ER35" s="57">
        <v>3.7999999999999999E-2</v>
      </c>
      <c r="ES35" s="58">
        <v>0.1</v>
      </c>
      <c r="ET35" s="47"/>
      <c r="EU35" s="51" t="s">
        <v>44</v>
      </c>
      <c r="EV35" s="51" t="s">
        <v>44</v>
      </c>
      <c r="EW35" s="55" t="s">
        <v>47</v>
      </c>
      <c r="EX35" s="59" t="s">
        <v>44</v>
      </c>
      <c r="EY35" s="54"/>
      <c r="EZ35" s="51" t="s">
        <v>44</v>
      </c>
      <c r="FA35" s="51" t="s">
        <v>44</v>
      </c>
      <c r="FB35" s="55" t="s">
        <v>47</v>
      </c>
      <c r="FC35" s="59" t="s">
        <v>44</v>
      </c>
      <c r="FD35" s="55"/>
      <c r="FE35" s="51" t="s">
        <v>44</v>
      </c>
      <c r="FF35" s="51" t="s">
        <v>44</v>
      </c>
      <c r="FG35" s="55" t="s">
        <v>47</v>
      </c>
      <c r="FH35" s="59" t="s">
        <v>44</v>
      </c>
      <c r="FI35" s="55"/>
      <c r="FJ35" s="52" t="s">
        <v>45</v>
      </c>
      <c r="FK35" s="52" t="s">
        <v>45</v>
      </c>
      <c r="FL35" s="52" t="s">
        <v>45</v>
      </c>
      <c r="FM35" s="60" t="s">
        <v>45</v>
      </c>
    </row>
    <row r="36" spans="2:169" ht="16.5" customHeight="1">
      <c r="B36" s="37">
        <v>31</v>
      </c>
      <c r="C36" s="112" t="s">
        <v>91</v>
      </c>
      <c r="D36" s="39">
        <v>30</v>
      </c>
      <c r="E36" s="40">
        <v>41.2</v>
      </c>
      <c r="F36" s="41">
        <v>7.77</v>
      </c>
      <c r="G36" s="41">
        <v>7.49</v>
      </c>
      <c r="H36" s="42">
        <v>7.55</v>
      </c>
      <c r="I36" s="43">
        <v>7.4</v>
      </c>
      <c r="J36" s="44"/>
      <c r="K36" s="42">
        <v>10.773999999999999</v>
      </c>
      <c r="L36" s="44">
        <v>2.0438000000000001</v>
      </c>
      <c r="M36" s="42">
        <v>10.436</v>
      </c>
      <c r="N36" s="43">
        <v>10.786</v>
      </c>
      <c r="O36" s="44"/>
      <c r="P36" s="45">
        <v>23.55</v>
      </c>
      <c r="Q36" s="45">
        <v>27.78</v>
      </c>
      <c r="R36" s="44">
        <v>33.520000000000003</v>
      </c>
      <c r="S36" s="46">
        <v>38.15</v>
      </c>
      <c r="T36" s="44"/>
      <c r="U36" s="45">
        <v>13.35</v>
      </c>
      <c r="V36" s="45">
        <v>18.100000000000001</v>
      </c>
      <c r="W36" s="44">
        <v>20.03</v>
      </c>
      <c r="X36" s="46">
        <v>24.65</v>
      </c>
      <c r="Y36" s="44"/>
      <c r="Z36" s="45">
        <v>19.100000000000001</v>
      </c>
      <c r="AA36" s="45">
        <v>20.3</v>
      </c>
      <c r="AB36" s="44">
        <v>30.2</v>
      </c>
      <c r="AC36" s="46">
        <v>26.9</v>
      </c>
      <c r="AD36" s="44"/>
      <c r="AE36" s="45">
        <v>13.7</v>
      </c>
      <c r="AF36" s="45">
        <v>15.8</v>
      </c>
      <c r="AG36" s="44">
        <v>20.6</v>
      </c>
      <c r="AH36" s="46">
        <v>20.399999999999999</v>
      </c>
      <c r="AI36" s="44"/>
      <c r="AJ36" s="45">
        <v>2.2799999999999998</v>
      </c>
      <c r="AK36" s="41">
        <v>18.239999999999998</v>
      </c>
      <c r="AL36" s="44">
        <v>4.92</v>
      </c>
      <c r="AM36" s="46">
        <v>8.66</v>
      </c>
      <c r="AN36" s="44"/>
      <c r="AO36" s="45">
        <v>4.7327570000000003</v>
      </c>
      <c r="AP36" s="45">
        <v>4.3947039999999999</v>
      </c>
      <c r="AQ36" s="44">
        <v>4.3962885500000004</v>
      </c>
      <c r="AR36" s="46">
        <v>4.6763000000000003</v>
      </c>
      <c r="AS36" s="44"/>
      <c r="AT36" s="45">
        <v>2.6727409999999998</v>
      </c>
      <c r="AU36" s="45">
        <v>2.7361249999999999</v>
      </c>
      <c r="AV36" s="44">
        <v>2.5565343999999999</v>
      </c>
      <c r="AW36" s="46">
        <v>3.1295000000000002</v>
      </c>
      <c r="AX36" s="44"/>
      <c r="AY36" s="45">
        <v>1.8</v>
      </c>
      <c r="AZ36" s="45">
        <v>4.08</v>
      </c>
      <c r="BA36" s="44">
        <v>3.62</v>
      </c>
      <c r="BB36" s="46">
        <v>5.35</v>
      </c>
      <c r="BC36" s="44"/>
      <c r="BD36" s="45">
        <v>27.94</v>
      </c>
      <c r="BE36" s="45">
        <v>36.72</v>
      </c>
      <c r="BF36" s="44">
        <v>37.89</v>
      </c>
      <c r="BG36" s="46">
        <v>56.69</v>
      </c>
      <c r="BH36" s="44"/>
      <c r="BI36" s="45">
        <v>5</v>
      </c>
      <c r="BJ36" s="45">
        <v>9.6</v>
      </c>
      <c r="BK36" s="44">
        <v>10.9</v>
      </c>
      <c r="BL36" s="46">
        <v>16.3</v>
      </c>
      <c r="BM36" s="47"/>
      <c r="BN36" s="48">
        <v>0.02</v>
      </c>
      <c r="BO36" s="48">
        <v>3.94</v>
      </c>
      <c r="BP36" s="49">
        <v>0.55000000000000004</v>
      </c>
      <c r="BQ36" s="50">
        <v>3.48</v>
      </c>
      <c r="BR36" s="49"/>
      <c r="BS36" s="48">
        <v>0.02</v>
      </c>
      <c r="BT36" s="48">
        <v>4.01</v>
      </c>
      <c r="BU36" s="49">
        <v>0.55000000000000004</v>
      </c>
      <c r="BV36" s="50">
        <v>3.48</v>
      </c>
      <c r="BW36" s="49"/>
      <c r="BX36" s="48">
        <v>0</v>
      </c>
      <c r="BY36" s="48">
        <v>7.0000000000000007E-2</v>
      </c>
      <c r="BZ36" s="49">
        <v>0</v>
      </c>
      <c r="CA36" s="50">
        <v>0</v>
      </c>
      <c r="CB36" s="49"/>
      <c r="CC36" s="48">
        <v>0.02</v>
      </c>
      <c r="CD36" s="48">
        <v>2.37</v>
      </c>
      <c r="CE36" s="49">
        <v>0.47</v>
      </c>
      <c r="CF36" s="50">
        <v>1.8</v>
      </c>
      <c r="CG36" s="49"/>
      <c r="CH36" s="48">
        <v>0</v>
      </c>
      <c r="CI36" s="48">
        <v>0.92</v>
      </c>
      <c r="CJ36" s="49">
        <v>0.02</v>
      </c>
      <c r="CK36" s="50">
        <v>0.92</v>
      </c>
      <c r="CL36" s="49"/>
      <c r="CM36" s="48">
        <v>0</v>
      </c>
      <c r="CN36" s="48">
        <v>0.19</v>
      </c>
      <c r="CO36" s="49">
        <v>0.03</v>
      </c>
      <c r="CP36" s="50">
        <v>0.12</v>
      </c>
      <c r="CQ36" s="49"/>
      <c r="CR36" s="48">
        <v>0</v>
      </c>
      <c r="CS36" s="48">
        <v>0.08</v>
      </c>
      <c r="CT36" s="49">
        <v>0</v>
      </c>
      <c r="CU36" s="50">
        <v>0.2</v>
      </c>
      <c r="CV36" s="49"/>
      <c r="CW36" s="48">
        <v>0</v>
      </c>
      <c r="CX36" s="48">
        <v>0.28999999999999998</v>
      </c>
      <c r="CY36" s="49">
        <v>0.03</v>
      </c>
      <c r="CZ36" s="50">
        <v>0.23</v>
      </c>
      <c r="DA36" s="49"/>
      <c r="DB36" s="48">
        <v>0</v>
      </c>
      <c r="DC36" s="48">
        <v>0.04</v>
      </c>
      <c r="DD36" s="49">
        <v>0</v>
      </c>
      <c r="DE36" s="50">
        <v>0.13</v>
      </c>
      <c r="DF36" s="49"/>
      <c r="DG36" s="48">
        <v>0</v>
      </c>
      <c r="DH36" s="48">
        <v>0</v>
      </c>
      <c r="DI36" s="49">
        <v>0</v>
      </c>
      <c r="DJ36" s="50">
        <v>0.01</v>
      </c>
      <c r="DK36" s="49"/>
      <c r="DL36" s="48">
        <v>0</v>
      </c>
      <c r="DM36" s="48">
        <v>0.06</v>
      </c>
      <c r="DN36" s="49">
        <v>0</v>
      </c>
      <c r="DO36" s="50">
        <v>0.06</v>
      </c>
      <c r="DP36" s="47"/>
      <c r="DQ36" s="51" t="s">
        <v>44</v>
      </c>
      <c r="DR36" s="52" t="s">
        <v>45</v>
      </c>
      <c r="DS36" s="52" t="s">
        <v>45</v>
      </c>
      <c r="DT36" s="53" t="s">
        <v>46</v>
      </c>
      <c r="DU36" s="54"/>
      <c r="DV36" s="51" t="s">
        <v>44</v>
      </c>
      <c r="DW36" s="55" t="s">
        <v>47</v>
      </c>
      <c r="DX36" s="47" t="s">
        <v>47</v>
      </c>
      <c r="DY36" s="56" t="s">
        <v>44</v>
      </c>
      <c r="DZ36" s="47"/>
      <c r="EA36" s="57">
        <v>29</v>
      </c>
      <c r="EB36" s="57">
        <v>68.099999999999994</v>
      </c>
      <c r="EC36" s="57">
        <v>0.06</v>
      </c>
      <c r="ED36" s="58">
        <v>3.5</v>
      </c>
      <c r="EE36" s="57"/>
      <c r="EF36" s="57">
        <v>34.9</v>
      </c>
      <c r="EG36" s="57">
        <v>65.8</v>
      </c>
      <c r="EH36" s="57">
        <v>0.109</v>
      </c>
      <c r="EI36" s="58">
        <v>0</v>
      </c>
      <c r="EJ36" s="57"/>
      <c r="EK36" s="57">
        <v>38.6</v>
      </c>
      <c r="EL36" s="57">
        <v>66.3</v>
      </c>
      <c r="EM36" s="57">
        <v>0.106</v>
      </c>
      <c r="EN36" s="58">
        <v>0.1</v>
      </c>
      <c r="EO36" s="57"/>
      <c r="EP36" s="57">
        <v>37.1</v>
      </c>
      <c r="EQ36" s="57">
        <v>62.4</v>
      </c>
      <c r="ER36" s="57">
        <v>0.109</v>
      </c>
      <c r="ES36" s="58">
        <v>0.2</v>
      </c>
      <c r="ET36" s="47"/>
      <c r="EU36" s="51" t="s">
        <v>44</v>
      </c>
      <c r="EV36" s="51" t="s">
        <v>44</v>
      </c>
      <c r="EW36" s="55" t="s">
        <v>47</v>
      </c>
      <c r="EX36" s="59" t="s">
        <v>44</v>
      </c>
      <c r="EY36" s="54"/>
      <c r="EZ36" s="51" t="s">
        <v>44</v>
      </c>
      <c r="FA36" s="51" t="s">
        <v>44</v>
      </c>
      <c r="FB36" s="55" t="s">
        <v>47</v>
      </c>
      <c r="FC36" s="59" t="s">
        <v>44</v>
      </c>
      <c r="FD36" s="55"/>
      <c r="FE36" s="51" t="s">
        <v>44</v>
      </c>
      <c r="FF36" s="51" t="s">
        <v>44</v>
      </c>
      <c r="FG36" s="55" t="s">
        <v>47</v>
      </c>
      <c r="FH36" s="59" t="s">
        <v>44</v>
      </c>
      <c r="FI36" s="55"/>
      <c r="FJ36" s="52" t="s">
        <v>45</v>
      </c>
      <c r="FK36" s="52" t="s">
        <v>45</v>
      </c>
      <c r="FL36" s="52" t="s">
        <v>45</v>
      </c>
      <c r="FM36" s="60" t="s">
        <v>45</v>
      </c>
    </row>
    <row r="37" spans="2:169" ht="16.5" customHeight="1">
      <c r="B37" s="37">
        <v>32</v>
      </c>
      <c r="C37" s="112" t="s">
        <v>92</v>
      </c>
      <c r="D37" s="39">
        <v>16.600000000000001</v>
      </c>
      <c r="E37" s="40">
        <v>37</v>
      </c>
      <c r="F37" s="41">
        <v>7.25</v>
      </c>
      <c r="G37" s="41">
        <v>7.28</v>
      </c>
      <c r="H37" s="42">
        <v>7.46</v>
      </c>
      <c r="I37" s="43">
        <v>7.26</v>
      </c>
      <c r="J37" s="44"/>
      <c r="K37" s="44">
        <v>1.9</v>
      </c>
      <c r="L37" s="44">
        <v>3.51</v>
      </c>
      <c r="M37" s="44">
        <v>4.3819999999999997</v>
      </c>
      <c r="N37" s="46">
        <v>4.2699999999999996</v>
      </c>
      <c r="O37" s="44"/>
      <c r="P37" s="45">
        <v>22.8</v>
      </c>
      <c r="Q37" s="45">
        <v>22.63</v>
      </c>
      <c r="R37" s="44">
        <v>27.55</v>
      </c>
      <c r="S37" s="46">
        <v>24.28</v>
      </c>
      <c r="T37" s="44"/>
      <c r="U37" s="45">
        <v>16.350000000000001</v>
      </c>
      <c r="V37" s="45">
        <v>16.02</v>
      </c>
      <c r="W37" s="44">
        <v>20.5</v>
      </c>
      <c r="X37" s="46">
        <v>17.579999999999998</v>
      </c>
      <c r="Y37" s="44"/>
      <c r="Z37" s="45">
        <v>23.4</v>
      </c>
      <c r="AA37" s="45">
        <v>22.2</v>
      </c>
      <c r="AB37" s="44">
        <v>32.299999999999997</v>
      </c>
      <c r="AC37" s="46">
        <v>10.9</v>
      </c>
      <c r="AD37" s="44"/>
      <c r="AE37" s="45">
        <v>17.3</v>
      </c>
      <c r="AF37" s="45">
        <v>16.5</v>
      </c>
      <c r="AG37" s="44">
        <v>24.6</v>
      </c>
      <c r="AH37" s="46">
        <v>8.1</v>
      </c>
      <c r="AI37" s="44"/>
      <c r="AJ37" s="45">
        <v>5.44</v>
      </c>
      <c r="AK37" s="45">
        <v>3.71</v>
      </c>
      <c r="AL37" s="44">
        <v>8.84</v>
      </c>
      <c r="AM37" s="46">
        <v>3.7050000000000001</v>
      </c>
      <c r="AN37" s="44"/>
      <c r="AO37" s="45">
        <v>2.0019105000000001</v>
      </c>
      <c r="AP37" s="45">
        <v>2.4192</v>
      </c>
      <c r="AQ37" s="44">
        <v>3.1724257499999999</v>
      </c>
      <c r="AR37" s="46">
        <v>3.4121999999999999</v>
      </c>
      <c r="AS37" s="44"/>
      <c r="AT37" s="45">
        <v>0.5937076</v>
      </c>
      <c r="AU37" s="45">
        <v>0.75269850000000005</v>
      </c>
      <c r="AV37" s="44">
        <v>1.1895279999999999</v>
      </c>
      <c r="AW37" s="46">
        <v>1.1414500000000001</v>
      </c>
      <c r="AX37" s="44"/>
      <c r="AY37" s="45">
        <v>0</v>
      </c>
      <c r="AZ37" s="45">
        <v>2.35</v>
      </c>
      <c r="BA37" s="44">
        <v>3.05</v>
      </c>
      <c r="BB37" s="46">
        <v>2.2999999999999998</v>
      </c>
      <c r="BC37" s="44"/>
      <c r="BD37" s="45">
        <v>27.91</v>
      </c>
      <c r="BE37" s="45">
        <v>33.19</v>
      </c>
      <c r="BF37" s="44">
        <v>33.17</v>
      </c>
      <c r="BG37" s="46">
        <v>31.05</v>
      </c>
      <c r="BH37" s="44"/>
      <c r="BI37" s="45">
        <v>3.4</v>
      </c>
      <c r="BJ37" s="45">
        <v>1.2</v>
      </c>
      <c r="BK37" s="44">
        <v>1.7</v>
      </c>
      <c r="BL37" s="46">
        <v>1.6</v>
      </c>
      <c r="BM37" s="47"/>
      <c r="BN37" s="48">
        <v>0.14000000000000001</v>
      </c>
      <c r="BO37" s="48">
        <v>0.06</v>
      </c>
      <c r="BP37" s="49">
        <v>0</v>
      </c>
      <c r="BQ37" s="50">
        <v>0.11</v>
      </c>
      <c r="BR37" s="49"/>
      <c r="BS37" s="48">
        <v>0.14000000000000001</v>
      </c>
      <c r="BT37" s="48">
        <v>0.06</v>
      </c>
      <c r="BU37" s="49">
        <v>0</v>
      </c>
      <c r="BV37" s="50">
        <v>0.11</v>
      </c>
      <c r="BW37" s="49"/>
      <c r="BX37" s="48">
        <v>0</v>
      </c>
      <c r="BY37" s="48">
        <v>0</v>
      </c>
      <c r="BZ37" s="49">
        <v>0</v>
      </c>
      <c r="CA37" s="50">
        <v>0</v>
      </c>
      <c r="CB37" s="49"/>
      <c r="CC37" s="48">
        <v>0.14000000000000001</v>
      </c>
      <c r="CD37" s="48">
        <v>0.04</v>
      </c>
      <c r="CE37" s="49">
        <v>0</v>
      </c>
      <c r="CF37" s="50">
        <v>0</v>
      </c>
      <c r="CG37" s="49"/>
      <c r="CH37" s="48">
        <v>0</v>
      </c>
      <c r="CI37" s="48">
        <v>0.01</v>
      </c>
      <c r="CJ37" s="49">
        <v>0</v>
      </c>
      <c r="CK37" s="50">
        <v>0</v>
      </c>
      <c r="CL37" s="49"/>
      <c r="CM37" s="48">
        <v>0</v>
      </c>
      <c r="CN37" s="48">
        <v>0</v>
      </c>
      <c r="CO37" s="49">
        <v>0</v>
      </c>
      <c r="CP37" s="50">
        <v>0</v>
      </c>
      <c r="CQ37" s="49"/>
      <c r="CR37" s="48">
        <v>0</v>
      </c>
      <c r="CS37" s="48">
        <v>0</v>
      </c>
      <c r="CT37" s="49">
        <v>0</v>
      </c>
      <c r="CU37" s="50">
        <v>0</v>
      </c>
      <c r="CV37" s="49"/>
      <c r="CW37" s="48">
        <v>0</v>
      </c>
      <c r="CX37" s="48">
        <v>0</v>
      </c>
      <c r="CY37" s="49">
        <v>0</v>
      </c>
      <c r="CZ37" s="50">
        <v>0</v>
      </c>
      <c r="DA37" s="49"/>
      <c r="DB37" s="48">
        <v>0</v>
      </c>
      <c r="DC37" s="48">
        <v>0</v>
      </c>
      <c r="DD37" s="49">
        <v>0</v>
      </c>
      <c r="DE37" s="50">
        <v>0</v>
      </c>
      <c r="DF37" s="49"/>
      <c r="DG37" s="48">
        <v>0</v>
      </c>
      <c r="DH37" s="48">
        <v>0</v>
      </c>
      <c r="DI37" s="49">
        <v>0</v>
      </c>
      <c r="DJ37" s="50">
        <v>0</v>
      </c>
      <c r="DK37" s="49"/>
      <c r="DL37" s="48">
        <v>0</v>
      </c>
      <c r="DM37" s="48">
        <v>0</v>
      </c>
      <c r="DN37" s="49">
        <v>0</v>
      </c>
      <c r="DO37" s="50">
        <v>0.11</v>
      </c>
      <c r="DP37" s="47"/>
      <c r="DQ37" s="51" t="s">
        <v>44</v>
      </c>
      <c r="DR37" s="52" t="s">
        <v>45</v>
      </c>
      <c r="DS37" s="52" t="s">
        <v>45</v>
      </c>
      <c r="DT37" s="53" t="s">
        <v>46</v>
      </c>
      <c r="DU37" s="54"/>
      <c r="DV37" s="51" t="s">
        <v>44</v>
      </c>
      <c r="DW37" s="55" t="s">
        <v>47</v>
      </c>
      <c r="DX37" s="47" t="s">
        <v>47</v>
      </c>
      <c r="DY37" s="56" t="s">
        <v>44</v>
      </c>
      <c r="DZ37" s="47"/>
      <c r="EA37" s="57">
        <v>32.299999999999997</v>
      </c>
      <c r="EB37" s="57">
        <v>63.3</v>
      </c>
      <c r="EC37" s="57">
        <v>1.4E-3</v>
      </c>
      <c r="ED37" s="58">
        <v>0.4</v>
      </c>
      <c r="EE37" s="57"/>
      <c r="EF37" s="57">
        <v>35.700000000000003</v>
      </c>
      <c r="EG37" s="57">
        <v>60.4</v>
      </c>
      <c r="EH37" s="57">
        <v>0.45500000000000002</v>
      </c>
      <c r="EI37" s="58">
        <v>0.9</v>
      </c>
      <c r="EJ37" s="57"/>
      <c r="EK37" s="57">
        <v>38.5</v>
      </c>
      <c r="EL37" s="57">
        <v>64.7</v>
      </c>
      <c r="EM37" s="57">
        <v>0.76800000000000002</v>
      </c>
      <c r="EN37" s="58">
        <v>0</v>
      </c>
      <c r="EO37" s="57"/>
      <c r="EP37" s="57">
        <v>24.5</v>
      </c>
      <c r="EQ37" s="57">
        <v>64.2</v>
      </c>
      <c r="ER37" s="57">
        <v>1.0609999999999999</v>
      </c>
      <c r="ES37" s="58">
        <v>0.5</v>
      </c>
      <c r="ET37" s="47"/>
      <c r="EU37" s="51" t="s">
        <v>44</v>
      </c>
      <c r="EV37" s="51" t="s">
        <v>44</v>
      </c>
      <c r="EW37" s="55" t="s">
        <v>47</v>
      </c>
      <c r="EX37" s="59" t="s">
        <v>44</v>
      </c>
      <c r="EY37" s="54"/>
      <c r="EZ37" s="51" t="s">
        <v>44</v>
      </c>
      <c r="FA37" s="51" t="s">
        <v>44</v>
      </c>
      <c r="FB37" s="55" t="s">
        <v>47</v>
      </c>
      <c r="FC37" s="59" t="s">
        <v>44</v>
      </c>
      <c r="FD37" s="55"/>
      <c r="FE37" s="51" t="s">
        <v>44</v>
      </c>
      <c r="FF37" s="51" t="s">
        <v>44</v>
      </c>
      <c r="FG37" s="55" t="s">
        <v>47</v>
      </c>
      <c r="FH37" s="59" t="s">
        <v>44</v>
      </c>
      <c r="FI37" s="55"/>
      <c r="FJ37" s="52" t="s">
        <v>45</v>
      </c>
      <c r="FK37" s="52" t="s">
        <v>45</v>
      </c>
      <c r="FL37" s="52" t="s">
        <v>45</v>
      </c>
      <c r="FM37" s="60" t="s">
        <v>45</v>
      </c>
    </row>
    <row r="38" spans="2:169" ht="16.5" customHeight="1">
      <c r="B38" s="63" t="s">
        <v>93</v>
      </c>
      <c r="C38" s="185" t="s">
        <v>94</v>
      </c>
      <c r="D38" s="186">
        <v>8.9600000000000009</v>
      </c>
      <c r="E38" s="40" t="s">
        <v>95</v>
      </c>
      <c r="F38" s="41">
        <v>5.39</v>
      </c>
      <c r="G38" s="41">
        <v>5.41</v>
      </c>
      <c r="H38" s="42">
        <v>5.78</v>
      </c>
      <c r="I38" s="43">
        <v>5.8</v>
      </c>
      <c r="J38" s="44"/>
      <c r="K38" s="68" t="s">
        <v>53</v>
      </c>
      <c r="L38" s="68" t="s">
        <v>53</v>
      </c>
      <c r="M38" s="44">
        <v>9.02</v>
      </c>
      <c r="N38" s="46">
        <v>9.0519999999999996</v>
      </c>
      <c r="O38" s="44"/>
      <c r="P38" s="45">
        <v>22.8</v>
      </c>
      <c r="Q38" s="45">
        <v>53.65</v>
      </c>
      <c r="R38" s="44">
        <v>43.82</v>
      </c>
      <c r="S38" s="46">
        <v>128.47999999999999</v>
      </c>
      <c r="T38" s="44"/>
      <c r="U38" s="45">
        <v>16.350000000000001</v>
      </c>
      <c r="V38" s="45">
        <v>36.32</v>
      </c>
      <c r="W38" s="44">
        <v>26.73</v>
      </c>
      <c r="X38" s="46">
        <v>99.9</v>
      </c>
      <c r="Y38" s="44"/>
      <c r="Z38" s="45">
        <v>23.4</v>
      </c>
      <c r="AA38" s="45">
        <v>52.25</v>
      </c>
      <c r="AB38" s="44">
        <v>17.899999999999999</v>
      </c>
      <c r="AC38" s="46">
        <v>86.6</v>
      </c>
      <c r="AD38" s="44"/>
      <c r="AE38" s="45">
        <v>17.3</v>
      </c>
      <c r="AF38" s="45">
        <v>46.5</v>
      </c>
      <c r="AG38" s="44">
        <v>15.7</v>
      </c>
      <c r="AH38" s="46">
        <v>77.3</v>
      </c>
      <c r="AI38" s="44"/>
      <c r="AJ38" s="68" t="s">
        <v>53</v>
      </c>
      <c r="AK38" s="68" t="s">
        <v>53</v>
      </c>
      <c r="AL38" s="44">
        <v>6.3</v>
      </c>
      <c r="AM38" s="46">
        <v>5.45</v>
      </c>
      <c r="AN38" s="44"/>
      <c r="AO38" s="68" t="s">
        <v>53</v>
      </c>
      <c r="AP38" s="68" t="s">
        <v>53</v>
      </c>
      <c r="AQ38" s="44">
        <v>3.1618626000000001</v>
      </c>
      <c r="AR38" s="46">
        <v>3.4861</v>
      </c>
      <c r="AS38" s="44"/>
      <c r="AT38" s="68" t="s">
        <v>53</v>
      </c>
      <c r="AU38" s="68" t="s">
        <v>53</v>
      </c>
      <c r="AV38" s="44">
        <v>1.114522</v>
      </c>
      <c r="AW38" s="46">
        <v>0.58140000000000003</v>
      </c>
      <c r="AX38" s="44"/>
      <c r="AY38" s="68" t="s">
        <v>53</v>
      </c>
      <c r="AZ38" s="68" t="s">
        <v>53</v>
      </c>
      <c r="BA38" s="44">
        <v>7.17</v>
      </c>
      <c r="BB38" s="46">
        <v>48.05</v>
      </c>
      <c r="BC38" s="44"/>
      <c r="BD38" s="68" t="s">
        <v>53</v>
      </c>
      <c r="BE38" s="68" t="s">
        <v>53</v>
      </c>
      <c r="BF38" s="44">
        <v>95.05</v>
      </c>
      <c r="BG38" s="43">
        <v>237.75</v>
      </c>
      <c r="BH38" s="44"/>
      <c r="BI38" s="68" t="s">
        <v>53</v>
      </c>
      <c r="BJ38" s="68" t="s">
        <v>53</v>
      </c>
      <c r="BK38" s="44">
        <v>65.3</v>
      </c>
      <c r="BL38" s="46">
        <v>12.1</v>
      </c>
      <c r="BM38" s="47"/>
      <c r="BN38" s="74" t="s">
        <v>53</v>
      </c>
      <c r="BO38" s="74" t="s">
        <v>53</v>
      </c>
      <c r="BP38" s="49">
        <v>7.5327777777777802</v>
      </c>
      <c r="BQ38" s="50">
        <v>10.43</v>
      </c>
      <c r="BR38" s="49"/>
      <c r="BS38" s="74" t="s">
        <v>53</v>
      </c>
      <c r="BT38" s="74" t="s">
        <v>53</v>
      </c>
      <c r="BU38" s="49">
        <v>7.5327777777777802</v>
      </c>
      <c r="BV38" s="50">
        <v>10.39</v>
      </c>
      <c r="BW38" s="49"/>
      <c r="BX38" s="74" t="s">
        <v>53</v>
      </c>
      <c r="BY38" s="74" t="s">
        <v>53</v>
      </c>
      <c r="BZ38" s="49">
        <v>0</v>
      </c>
      <c r="CA38" s="50">
        <v>0</v>
      </c>
      <c r="CB38" s="49"/>
      <c r="CC38" s="74" t="s">
        <v>53</v>
      </c>
      <c r="CD38" s="74" t="s">
        <v>53</v>
      </c>
      <c r="CE38" s="49">
        <v>2.1377777777777802</v>
      </c>
      <c r="CF38" s="50">
        <v>2.96</v>
      </c>
      <c r="CG38" s="49"/>
      <c r="CH38" s="74" t="s">
        <v>53</v>
      </c>
      <c r="CI38" s="74" t="s">
        <v>53</v>
      </c>
      <c r="CJ38" s="49">
        <v>0.72944444444444401</v>
      </c>
      <c r="CK38" s="50">
        <v>1.01</v>
      </c>
      <c r="CL38" s="49"/>
      <c r="CM38" s="74" t="s">
        <v>53</v>
      </c>
      <c r="CN38" s="74" t="s">
        <v>53</v>
      </c>
      <c r="CO38" s="49">
        <v>4.33333333333333E-2</v>
      </c>
      <c r="CP38" s="50">
        <v>0.06</v>
      </c>
      <c r="CQ38" s="49"/>
      <c r="CR38" s="74" t="s">
        <v>53</v>
      </c>
      <c r="CS38" s="74" t="s">
        <v>53</v>
      </c>
      <c r="CT38" s="49">
        <v>1.71888888888889</v>
      </c>
      <c r="CU38" s="50">
        <v>2.38</v>
      </c>
      <c r="CV38" s="49"/>
      <c r="CW38" s="74" t="s">
        <v>53</v>
      </c>
      <c r="CX38" s="74" t="s">
        <v>53</v>
      </c>
      <c r="CY38" s="49">
        <v>9.3888888888888897E-2</v>
      </c>
      <c r="CZ38" s="50">
        <v>0.13</v>
      </c>
      <c r="DA38" s="49"/>
      <c r="DB38" s="74" t="s">
        <v>53</v>
      </c>
      <c r="DC38" s="74" t="s">
        <v>53</v>
      </c>
      <c r="DD38" s="49">
        <v>0.80166666666666697</v>
      </c>
      <c r="DE38" s="50">
        <v>1.1100000000000001</v>
      </c>
      <c r="DF38" s="49"/>
      <c r="DG38" s="74" t="s">
        <v>53</v>
      </c>
      <c r="DH38" s="74" t="s">
        <v>53</v>
      </c>
      <c r="DI38" s="49">
        <v>1.44444444444444E-2</v>
      </c>
      <c r="DJ38" s="50">
        <v>0.02</v>
      </c>
      <c r="DK38" s="49"/>
      <c r="DL38" s="74" t="s">
        <v>53</v>
      </c>
      <c r="DM38" s="74" t="s">
        <v>53</v>
      </c>
      <c r="DN38" s="49">
        <v>1.97888888888889</v>
      </c>
      <c r="DO38" s="50">
        <v>2.74</v>
      </c>
      <c r="DP38" s="47"/>
      <c r="DQ38" s="187" t="s">
        <v>96</v>
      </c>
      <c r="DR38" s="187" t="s">
        <v>96</v>
      </c>
      <c r="DS38" s="52" t="s">
        <v>45</v>
      </c>
      <c r="DT38" s="53" t="s">
        <v>46</v>
      </c>
      <c r="DU38" s="54"/>
      <c r="DV38" s="187" t="s">
        <v>96</v>
      </c>
      <c r="DW38" s="187" t="s">
        <v>53</v>
      </c>
      <c r="DX38" s="47" t="s">
        <v>47</v>
      </c>
      <c r="DY38" s="56" t="s">
        <v>44</v>
      </c>
      <c r="DZ38" s="47"/>
      <c r="EA38" s="57">
        <v>40.9</v>
      </c>
      <c r="EB38" s="57">
        <v>51</v>
      </c>
      <c r="EC38" s="57">
        <v>3.1E-2</v>
      </c>
      <c r="ED38" s="58">
        <v>0</v>
      </c>
      <c r="EE38" s="57"/>
      <c r="EF38" s="57">
        <v>55.3</v>
      </c>
      <c r="EG38" s="57">
        <v>18.3</v>
      </c>
      <c r="EH38" s="57">
        <v>9.6449999999999996</v>
      </c>
      <c r="EI38" s="58">
        <v>0.4</v>
      </c>
      <c r="EJ38" s="57"/>
      <c r="EK38" s="57">
        <v>16.7</v>
      </c>
      <c r="EL38" s="57">
        <v>9.1999999999999993</v>
      </c>
      <c r="EM38" s="57">
        <v>3.1579999999999999</v>
      </c>
      <c r="EN38" s="58">
        <v>16.100000000000001</v>
      </c>
      <c r="EO38" s="57"/>
      <c r="EP38" s="57">
        <v>50.8</v>
      </c>
      <c r="EQ38" s="57">
        <v>36.6</v>
      </c>
      <c r="ER38" s="57">
        <v>4.8979999999999997</v>
      </c>
      <c r="ES38" s="58">
        <v>2.4</v>
      </c>
      <c r="ET38" s="47"/>
      <c r="EU38" s="51" t="s">
        <v>44</v>
      </c>
      <c r="EV38" s="51" t="s">
        <v>44</v>
      </c>
      <c r="EW38" s="188" t="s">
        <v>47</v>
      </c>
      <c r="EX38" s="59" t="s">
        <v>44</v>
      </c>
      <c r="EY38" s="54"/>
      <c r="EZ38" s="51" t="s">
        <v>44</v>
      </c>
      <c r="FA38" s="51" t="s">
        <v>44</v>
      </c>
      <c r="FB38" s="188" t="s">
        <v>47</v>
      </c>
      <c r="FC38" s="59" t="s">
        <v>44</v>
      </c>
      <c r="FD38" s="55"/>
      <c r="FE38" s="51" t="s">
        <v>44</v>
      </c>
      <c r="FF38" s="51" t="s">
        <v>44</v>
      </c>
      <c r="FG38" s="55" t="s">
        <v>47</v>
      </c>
      <c r="FH38" s="59" t="s">
        <v>44</v>
      </c>
      <c r="FI38" s="55"/>
      <c r="FJ38" s="52" t="s">
        <v>45</v>
      </c>
      <c r="FK38" s="52" t="s">
        <v>45</v>
      </c>
      <c r="FL38" s="52" t="s">
        <v>45</v>
      </c>
      <c r="FM38" s="60" t="s">
        <v>45</v>
      </c>
    </row>
    <row r="39" spans="2:169" ht="16.5" customHeight="1">
      <c r="B39" s="37">
        <v>33</v>
      </c>
      <c r="C39" s="112" t="s">
        <v>97</v>
      </c>
      <c r="D39" s="39">
        <v>20</v>
      </c>
      <c r="E39" s="40">
        <v>36</v>
      </c>
      <c r="F39" s="41">
        <v>6.7</v>
      </c>
      <c r="G39" s="41">
        <v>6.95</v>
      </c>
      <c r="H39" s="42">
        <v>6.73</v>
      </c>
      <c r="I39" s="43">
        <v>6.98</v>
      </c>
      <c r="J39" s="44"/>
      <c r="K39" s="44">
        <v>1.45</v>
      </c>
      <c r="L39" s="44">
        <v>0.23130000000000001</v>
      </c>
      <c r="M39" s="44">
        <v>1.0712999999999999</v>
      </c>
      <c r="N39" s="46">
        <v>2.2719999999999998</v>
      </c>
      <c r="O39" s="44"/>
      <c r="P39" s="45">
        <v>10.25</v>
      </c>
      <c r="Q39" s="45">
        <v>23.42</v>
      </c>
      <c r="R39" s="44">
        <v>16.37</v>
      </c>
      <c r="S39" s="46">
        <v>17.48</v>
      </c>
      <c r="T39" s="44"/>
      <c r="U39" s="45">
        <v>3.6</v>
      </c>
      <c r="V39" s="45">
        <v>12.37</v>
      </c>
      <c r="W39" s="44">
        <v>8.4700000000000006</v>
      </c>
      <c r="X39" s="46">
        <v>9.85</v>
      </c>
      <c r="Y39" s="44"/>
      <c r="Z39" s="45">
        <v>6.3</v>
      </c>
      <c r="AA39" s="45">
        <v>18.2</v>
      </c>
      <c r="AB39" s="44">
        <v>13.2</v>
      </c>
      <c r="AC39" s="46">
        <v>7.4</v>
      </c>
      <c r="AD39" s="44"/>
      <c r="AE39" s="45">
        <v>4.3</v>
      </c>
      <c r="AF39" s="45">
        <v>12.1</v>
      </c>
      <c r="AG39" s="44">
        <v>9.4</v>
      </c>
      <c r="AH39" s="46">
        <v>4.8</v>
      </c>
      <c r="AI39" s="44"/>
      <c r="AJ39" s="45">
        <v>1.29</v>
      </c>
      <c r="AK39" s="45">
        <v>1.96</v>
      </c>
      <c r="AL39" s="44">
        <v>3.31</v>
      </c>
      <c r="AM39" s="46">
        <v>3.15</v>
      </c>
      <c r="AN39" s="44"/>
      <c r="AO39" s="45">
        <v>0.83457099999999995</v>
      </c>
      <c r="AP39" s="45">
        <v>2.9896664999999998</v>
      </c>
      <c r="AQ39" s="44">
        <v>1.6431548600000001</v>
      </c>
      <c r="AR39" s="46">
        <v>2.0388999999999999</v>
      </c>
      <c r="AS39" s="44"/>
      <c r="AT39" s="45">
        <v>0.41728549999999998</v>
      </c>
      <c r="AU39" s="45">
        <v>0.41728549999999998</v>
      </c>
      <c r="AV39" s="44">
        <v>0.32537709999999997</v>
      </c>
      <c r="AW39" s="46">
        <v>0.58629799999999999</v>
      </c>
      <c r="AX39" s="44"/>
      <c r="AY39" s="45">
        <v>0</v>
      </c>
      <c r="AZ39" s="45">
        <v>1.4</v>
      </c>
      <c r="BA39" s="44">
        <v>1.35</v>
      </c>
      <c r="BB39" s="46">
        <v>0.9</v>
      </c>
      <c r="BC39" s="44"/>
      <c r="BD39" s="45">
        <v>4.08</v>
      </c>
      <c r="BE39" s="45">
        <v>29.38</v>
      </c>
      <c r="BF39" s="44">
        <v>14.85</v>
      </c>
      <c r="BG39" s="46">
        <v>16.940000000000001</v>
      </c>
      <c r="BH39" s="44"/>
      <c r="BI39" s="45">
        <v>0.3</v>
      </c>
      <c r="BJ39" s="45">
        <v>0.2</v>
      </c>
      <c r="BK39" s="44">
        <v>0.3</v>
      </c>
      <c r="BL39" s="46">
        <v>0.3</v>
      </c>
      <c r="BM39" s="47"/>
      <c r="BN39" s="48">
        <v>0.01</v>
      </c>
      <c r="BO39" s="48">
        <v>0.01</v>
      </c>
      <c r="BP39" s="49">
        <v>0</v>
      </c>
      <c r="BQ39" s="50">
        <v>0</v>
      </c>
      <c r="BR39" s="49"/>
      <c r="BS39" s="48">
        <v>0.01</v>
      </c>
      <c r="BT39" s="48">
        <v>0.01</v>
      </c>
      <c r="BU39" s="49">
        <v>0</v>
      </c>
      <c r="BV39" s="50">
        <v>0</v>
      </c>
      <c r="BW39" s="49"/>
      <c r="BX39" s="48">
        <v>0</v>
      </c>
      <c r="BY39" s="48">
        <v>0</v>
      </c>
      <c r="BZ39" s="49">
        <v>0</v>
      </c>
      <c r="CA39" s="50">
        <v>0</v>
      </c>
      <c r="CB39" s="49"/>
      <c r="CC39" s="48">
        <v>0.01</v>
      </c>
      <c r="CD39" s="48">
        <v>0.01</v>
      </c>
      <c r="CE39" s="49">
        <v>0</v>
      </c>
      <c r="CF39" s="50">
        <v>0</v>
      </c>
      <c r="CG39" s="49"/>
      <c r="CH39" s="48">
        <v>0</v>
      </c>
      <c r="CI39" s="48">
        <v>0</v>
      </c>
      <c r="CJ39" s="49">
        <v>0</v>
      </c>
      <c r="CK39" s="50">
        <v>0</v>
      </c>
      <c r="CL39" s="49"/>
      <c r="CM39" s="48">
        <v>0</v>
      </c>
      <c r="CN39" s="48">
        <v>0</v>
      </c>
      <c r="CO39" s="49">
        <v>0</v>
      </c>
      <c r="CP39" s="50">
        <v>0</v>
      </c>
      <c r="CQ39" s="49"/>
      <c r="CR39" s="48">
        <v>0</v>
      </c>
      <c r="CS39" s="48">
        <v>0</v>
      </c>
      <c r="CT39" s="49">
        <v>0</v>
      </c>
      <c r="CU39" s="50">
        <v>0</v>
      </c>
      <c r="CV39" s="49"/>
      <c r="CW39" s="48">
        <v>0</v>
      </c>
      <c r="CX39" s="48">
        <v>0</v>
      </c>
      <c r="CY39" s="49">
        <v>0</v>
      </c>
      <c r="CZ39" s="50">
        <v>0</v>
      </c>
      <c r="DA39" s="49"/>
      <c r="DB39" s="48">
        <v>0</v>
      </c>
      <c r="DC39" s="48">
        <v>0</v>
      </c>
      <c r="DD39" s="49">
        <v>0</v>
      </c>
      <c r="DE39" s="50">
        <v>0</v>
      </c>
      <c r="DF39" s="49"/>
      <c r="DG39" s="48">
        <v>0</v>
      </c>
      <c r="DH39" s="48">
        <v>0</v>
      </c>
      <c r="DI39" s="49">
        <v>0</v>
      </c>
      <c r="DJ39" s="50">
        <v>0</v>
      </c>
      <c r="DK39" s="49"/>
      <c r="DL39" s="48">
        <v>0</v>
      </c>
      <c r="DM39" s="48">
        <v>0</v>
      </c>
      <c r="DN39" s="49">
        <v>0</v>
      </c>
      <c r="DO39" s="50">
        <v>0</v>
      </c>
      <c r="DP39" s="47"/>
      <c r="DQ39" s="51" t="s">
        <v>44</v>
      </c>
      <c r="DR39" s="52" t="s">
        <v>45</v>
      </c>
      <c r="DS39" s="52" t="s">
        <v>45</v>
      </c>
      <c r="DT39" s="53" t="s">
        <v>46</v>
      </c>
      <c r="DU39" s="54"/>
      <c r="DV39" s="51" t="s">
        <v>44</v>
      </c>
      <c r="DW39" s="55" t="s">
        <v>47</v>
      </c>
      <c r="DX39" s="47" t="s">
        <v>47</v>
      </c>
      <c r="DY39" s="56" t="s">
        <v>44</v>
      </c>
      <c r="DZ39" s="47"/>
      <c r="EA39" s="57">
        <v>41.5</v>
      </c>
      <c r="EB39" s="57">
        <v>58.5</v>
      </c>
      <c r="EC39" s="57">
        <v>0</v>
      </c>
      <c r="ED39" s="58">
        <v>0</v>
      </c>
      <c r="EE39" s="57"/>
      <c r="EF39" s="57">
        <v>32.1</v>
      </c>
      <c r="EG39" s="57">
        <v>58.5</v>
      </c>
      <c r="EH39" s="57">
        <v>3.0000000000000001E-3</v>
      </c>
      <c r="EI39" s="58">
        <v>1.8</v>
      </c>
      <c r="EJ39" s="57"/>
      <c r="EK39" s="57">
        <v>33.200000000000003</v>
      </c>
      <c r="EL39" s="57">
        <v>54</v>
      </c>
      <c r="EM39" s="57">
        <v>3.1E-2</v>
      </c>
      <c r="EN39" s="58">
        <v>2.6</v>
      </c>
      <c r="EO39" s="57"/>
      <c r="EP39" s="57">
        <v>31.5</v>
      </c>
      <c r="EQ39" s="57">
        <v>65.900000000000006</v>
      </c>
      <c r="ER39" s="57">
        <v>2.0270000000000001</v>
      </c>
      <c r="ES39" s="58">
        <v>1.2</v>
      </c>
      <c r="ET39" s="47"/>
      <c r="EU39" s="51" t="s">
        <v>44</v>
      </c>
      <c r="EV39" s="51" t="s">
        <v>44</v>
      </c>
      <c r="EW39" s="55" t="s">
        <v>47</v>
      </c>
      <c r="EX39" s="59" t="s">
        <v>44</v>
      </c>
      <c r="EY39" s="54"/>
      <c r="EZ39" s="51" t="s">
        <v>44</v>
      </c>
      <c r="FA39" s="51" t="s">
        <v>44</v>
      </c>
      <c r="FB39" s="55" t="s">
        <v>47</v>
      </c>
      <c r="FC39" s="59" t="s">
        <v>44</v>
      </c>
      <c r="FD39" s="55"/>
      <c r="FE39" s="51" t="s">
        <v>44</v>
      </c>
      <c r="FF39" s="51" t="s">
        <v>44</v>
      </c>
      <c r="FG39" s="55" t="s">
        <v>47</v>
      </c>
      <c r="FH39" s="59" t="s">
        <v>44</v>
      </c>
      <c r="FI39" s="55"/>
      <c r="FJ39" s="52" t="s">
        <v>45</v>
      </c>
      <c r="FK39" s="52" t="s">
        <v>45</v>
      </c>
      <c r="FL39" s="52" t="s">
        <v>45</v>
      </c>
      <c r="FM39" s="60" t="s">
        <v>45</v>
      </c>
    </row>
    <row r="40" spans="2:169" ht="16.5" customHeight="1" thickBot="1">
      <c r="B40" s="146">
        <v>34</v>
      </c>
      <c r="C40" s="189" t="s">
        <v>98</v>
      </c>
      <c r="D40" s="148">
        <v>35</v>
      </c>
      <c r="E40" s="149">
        <v>37</v>
      </c>
      <c r="F40" s="150">
        <v>7.8</v>
      </c>
      <c r="G40" s="150">
        <v>7.57</v>
      </c>
      <c r="H40" s="151">
        <v>7.57</v>
      </c>
      <c r="I40" s="152">
        <v>7.35</v>
      </c>
      <c r="J40" s="153"/>
      <c r="K40" s="153">
        <v>8.0419999999999998</v>
      </c>
      <c r="L40" s="153">
        <v>1.6970000000000001</v>
      </c>
      <c r="M40" s="153">
        <v>7.4225000000000003</v>
      </c>
      <c r="N40" s="154">
        <v>6.8</v>
      </c>
      <c r="O40" s="153"/>
      <c r="P40" s="155">
        <v>18.079999999999998</v>
      </c>
      <c r="Q40" s="155">
        <v>4.5999999999999996</v>
      </c>
      <c r="R40" s="153">
        <v>15.48</v>
      </c>
      <c r="S40" s="154">
        <v>18.649999999999999</v>
      </c>
      <c r="T40" s="153"/>
      <c r="U40" s="155">
        <v>9.42</v>
      </c>
      <c r="V40" s="155">
        <v>3.27</v>
      </c>
      <c r="W40" s="153">
        <v>7.87</v>
      </c>
      <c r="X40" s="154">
        <v>9.9499999999999993</v>
      </c>
      <c r="Y40" s="153"/>
      <c r="Z40" s="155">
        <v>13.5</v>
      </c>
      <c r="AA40" s="155">
        <v>13.8</v>
      </c>
      <c r="AB40" s="153">
        <v>11.8</v>
      </c>
      <c r="AC40" s="154">
        <v>7.1</v>
      </c>
      <c r="AD40" s="153"/>
      <c r="AE40" s="155">
        <v>9.4</v>
      </c>
      <c r="AF40" s="155">
        <v>9.6999999999999993</v>
      </c>
      <c r="AG40" s="153">
        <v>8.1</v>
      </c>
      <c r="AH40" s="154">
        <v>4.7</v>
      </c>
      <c r="AI40" s="153"/>
      <c r="AJ40" s="155">
        <v>1.83</v>
      </c>
      <c r="AK40" s="150">
        <v>11.23</v>
      </c>
      <c r="AL40" s="153">
        <v>1.7</v>
      </c>
      <c r="AM40" s="154">
        <v>1.47</v>
      </c>
      <c r="AN40" s="153"/>
      <c r="AO40" s="155">
        <v>3.1692580000000001</v>
      </c>
      <c r="AP40" s="155">
        <v>3.0107940000000002</v>
      </c>
      <c r="AQ40" s="153">
        <v>2.7101370400000002</v>
      </c>
      <c r="AR40" s="154">
        <v>3.0213999999999999</v>
      </c>
      <c r="AS40" s="153"/>
      <c r="AT40" s="155">
        <v>1.8645795000000001</v>
      </c>
      <c r="AU40" s="155">
        <v>1.9332475</v>
      </c>
      <c r="AV40" s="153">
        <v>1.5846285</v>
      </c>
      <c r="AW40" s="154">
        <v>0.74070000000000003</v>
      </c>
      <c r="AX40" s="153"/>
      <c r="AY40" s="155">
        <v>1.25</v>
      </c>
      <c r="AZ40" s="155">
        <v>1.25</v>
      </c>
      <c r="BA40" s="153">
        <v>0.98</v>
      </c>
      <c r="BB40" s="154">
        <v>1.65</v>
      </c>
      <c r="BC40" s="153"/>
      <c r="BD40" s="155">
        <v>18.170000000000002</v>
      </c>
      <c r="BE40" s="155">
        <v>27.03</v>
      </c>
      <c r="BF40" s="153">
        <v>12.24</v>
      </c>
      <c r="BG40" s="154">
        <v>13.08</v>
      </c>
      <c r="BH40" s="153"/>
      <c r="BI40" s="155">
        <v>4.3</v>
      </c>
      <c r="BJ40" s="155">
        <v>3.5</v>
      </c>
      <c r="BK40" s="153">
        <v>2.7</v>
      </c>
      <c r="BL40" s="154">
        <v>2.9</v>
      </c>
      <c r="BM40" s="156"/>
      <c r="BN40" s="157">
        <v>0.83</v>
      </c>
      <c r="BO40" s="157">
        <v>0.37</v>
      </c>
      <c r="BP40" s="158">
        <v>0.04</v>
      </c>
      <c r="BQ40" s="159">
        <v>0</v>
      </c>
      <c r="BR40" s="158"/>
      <c r="BS40" s="157">
        <v>0.83</v>
      </c>
      <c r="BT40" s="157">
        <v>0.59</v>
      </c>
      <c r="BU40" s="158">
        <v>0.04</v>
      </c>
      <c r="BV40" s="159">
        <v>0</v>
      </c>
      <c r="BW40" s="158"/>
      <c r="BX40" s="157">
        <v>0</v>
      </c>
      <c r="BY40" s="157">
        <v>0.22</v>
      </c>
      <c r="BZ40" s="158">
        <v>0</v>
      </c>
      <c r="CA40" s="159">
        <v>0</v>
      </c>
      <c r="CB40" s="158"/>
      <c r="CC40" s="157">
        <v>0.73</v>
      </c>
      <c r="CD40" s="157">
        <v>0.32</v>
      </c>
      <c r="CE40" s="158">
        <v>0.04</v>
      </c>
      <c r="CF40" s="159">
        <v>0</v>
      </c>
      <c r="CG40" s="158"/>
      <c r="CH40" s="157">
        <v>0.06</v>
      </c>
      <c r="CI40" s="157">
        <v>0.05</v>
      </c>
      <c r="CJ40" s="158">
        <v>0</v>
      </c>
      <c r="CK40" s="159">
        <v>0</v>
      </c>
      <c r="CL40" s="158"/>
      <c r="CM40" s="157">
        <v>0</v>
      </c>
      <c r="CN40" s="157">
        <v>0</v>
      </c>
      <c r="CO40" s="158">
        <v>0</v>
      </c>
      <c r="CP40" s="159">
        <v>0</v>
      </c>
      <c r="CQ40" s="158"/>
      <c r="CR40" s="157">
        <v>0</v>
      </c>
      <c r="CS40" s="157">
        <v>0</v>
      </c>
      <c r="CT40" s="158">
        <v>0</v>
      </c>
      <c r="CU40" s="159">
        <v>0</v>
      </c>
      <c r="CV40" s="158"/>
      <c r="CW40" s="157">
        <v>0</v>
      </c>
      <c r="CX40" s="157">
        <v>0</v>
      </c>
      <c r="CY40" s="158">
        <v>0</v>
      </c>
      <c r="CZ40" s="159">
        <v>0</v>
      </c>
      <c r="DA40" s="158"/>
      <c r="DB40" s="157">
        <v>0.04</v>
      </c>
      <c r="DC40" s="157">
        <v>0</v>
      </c>
      <c r="DD40" s="158">
        <v>0</v>
      </c>
      <c r="DE40" s="159">
        <v>0</v>
      </c>
      <c r="DF40" s="158"/>
      <c r="DG40" s="157">
        <v>0</v>
      </c>
      <c r="DH40" s="157">
        <v>0</v>
      </c>
      <c r="DI40" s="158">
        <v>0</v>
      </c>
      <c r="DJ40" s="159">
        <v>0</v>
      </c>
      <c r="DK40" s="158"/>
      <c r="DL40" s="157">
        <v>0</v>
      </c>
      <c r="DM40" s="157">
        <v>0</v>
      </c>
      <c r="DN40" s="158">
        <v>0</v>
      </c>
      <c r="DO40" s="159">
        <v>0</v>
      </c>
      <c r="DP40" s="156"/>
      <c r="DQ40" s="160" t="s">
        <v>44</v>
      </c>
      <c r="DR40" s="161" t="s">
        <v>45</v>
      </c>
      <c r="DS40" s="161" t="s">
        <v>45</v>
      </c>
      <c r="DT40" s="162" t="s">
        <v>46</v>
      </c>
      <c r="DU40" s="163"/>
      <c r="DV40" s="160" t="s">
        <v>44</v>
      </c>
      <c r="DW40" s="164" t="s">
        <v>47</v>
      </c>
      <c r="DX40" s="156" t="s">
        <v>47</v>
      </c>
      <c r="DY40" s="165" t="s">
        <v>44</v>
      </c>
      <c r="DZ40" s="156"/>
      <c r="EA40" s="167">
        <v>41.3</v>
      </c>
      <c r="EB40" s="167">
        <v>61.3</v>
      </c>
      <c r="EC40" s="167">
        <v>1.5339999999999999E-2</v>
      </c>
      <c r="ED40" s="168">
        <v>0</v>
      </c>
      <c r="EE40" s="167"/>
      <c r="EF40" s="167">
        <v>41.2</v>
      </c>
      <c r="EG40" s="167">
        <v>64.2</v>
      </c>
      <c r="EH40" s="167">
        <v>0.76900000000000002</v>
      </c>
      <c r="EI40" s="168">
        <v>0</v>
      </c>
      <c r="EJ40" s="167"/>
      <c r="EK40" s="167">
        <v>40.299999999999997</v>
      </c>
      <c r="EL40" s="167">
        <v>65.3</v>
      </c>
      <c r="EM40" s="167">
        <v>3.64E-3</v>
      </c>
      <c r="EN40" s="168">
        <v>0</v>
      </c>
      <c r="EO40" s="167"/>
      <c r="EP40" s="167">
        <v>38.4</v>
      </c>
      <c r="EQ40" s="167">
        <v>63.4</v>
      </c>
      <c r="ER40" s="167">
        <v>0.72599999999999998</v>
      </c>
      <c r="ES40" s="168">
        <v>0</v>
      </c>
      <c r="ET40" s="156"/>
      <c r="EU40" s="160" t="s">
        <v>44</v>
      </c>
      <c r="EV40" s="160" t="s">
        <v>44</v>
      </c>
      <c r="EW40" s="164" t="s">
        <v>47</v>
      </c>
      <c r="EX40" s="169" t="s">
        <v>44</v>
      </c>
      <c r="EY40" s="163"/>
      <c r="EZ40" s="160" t="s">
        <v>44</v>
      </c>
      <c r="FA40" s="160" t="s">
        <v>44</v>
      </c>
      <c r="FB40" s="164" t="s">
        <v>47</v>
      </c>
      <c r="FC40" s="169" t="s">
        <v>44</v>
      </c>
      <c r="FD40" s="164"/>
      <c r="FE40" s="160" t="s">
        <v>44</v>
      </c>
      <c r="FF40" s="160" t="s">
        <v>44</v>
      </c>
      <c r="FG40" s="164" t="s">
        <v>47</v>
      </c>
      <c r="FH40" s="169" t="s">
        <v>44</v>
      </c>
      <c r="FI40" s="164"/>
      <c r="FJ40" s="161" t="s">
        <v>45</v>
      </c>
      <c r="FK40" s="161" t="s">
        <v>45</v>
      </c>
      <c r="FL40" s="161" t="s">
        <v>45</v>
      </c>
      <c r="FM40" s="170" t="s">
        <v>45</v>
      </c>
    </row>
    <row r="41" spans="2:169" ht="16.5" customHeight="1">
      <c r="B41" s="190"/>
      <c r="C41" s="8" t="s">
        <v>99</v>
      </c>
      <c r="D41" s="191"/>
      <c r="E41" s="191"/>
      <c r="F41" s="51"/>
      <c r="G41" s="73"/>
      <c r="H41" s="73"/>
      <c r="I41" s="73"/>
      <c r="J41" s="73"/>
      <c r="K41" s="51"/>
      <c r="L41" s="73"/>
      <c r="M41" s="73"/>
      <c r="N41" s="73"/>
      <c r="O41" s="73"/>
      <c r="P41" s="51"/>
      <c r="Q41" s="73"/>
      <c r="R41" s="73"/>
      <c r="S41" s="73"/>
      <c r="T41" s="73"/>
      <c r="U41" s="51"/>
      <c r="V41" s="73"/>
      <c r="W41" s="73"/>
      <c r="X41" s="73"/>
      <c r="Y41" s="73"/>
      <c r="Z41" s="51"/>
      <c r="AA41" s="73"/>
      <c r="AB41" s="73"/>
      <c r="AC41" s="73"/>
      <c r="AD41" s="73"/>
      <c r="AE41" s="51"/>
      <c r="AF41" s="73"/>
      <c r="AG41" s="73"/>
      <c r="AH41" s="73"/>
      <c r="AI41" s="73"/>
      <c r="AJ41" s="51"/>
      <c r="AK41" s="73"/>
      <c r="AL41" s="73"/>
      <c r="AM41" s="73"/>
      <c r="AN41" s="73"/>
      <c r="AO41" s="51"/>
      <c r="AP41" s="73"/>
      <c r="AQ41" s="73"/>
      <c r="AR41" s="73"/>
      <c r="AS41" s="73"/>
      <c r="AT41" s="51"/>
      <c r="AU41" s="73"/>
      <c r="AV41" s="73"/>
      <c r="AW41" s="73"/>
      <c r="AX41" s="73"/>
      <c r="AY41" s="51"/>
      <c r="AZ41" s="73"/>
      <c r="BA41" s="73"/>
      <c r="BB41" s="73"/>
      <c r="BC41" s="73"/>
      <c r="BD41" s="51"/>
      <c r="BE41" s="73"/>
      <c r="BF41" s="73"/>
      <c r="BG41" s="73"/>
      <c r="BH41" s="73"/>
      <c r="BI41" s="51"/>
      <c r="BJ41" s="73"/>
      <c r="BK41" s="73"/>
      <c r="BL41" s="73"/>
      <c r="BM41" s="73"/>
      <c r="BN41" s="51"/>
      <c r="BO41" s="73"/>
      <c r="BP41" s="73"/>
      <c r="BQ41" s="73"/>
      <c r="BR41" s="73"/>
      <c r="BS41" s="51"/>
      <c r="BT41" s="73"/>
      <c r="BU41" s="73"/>
      <c r="BV41" s="73"/>
      <c r="BW41" s="73"/>
      <c r="BX41" s="51"/>
      <c r="BY41" s="73"/>
      <c r="BZ41" s="73"/>
      <c r="CA41" s="73"/>
      <c r="CB41" s="73"/>
      <c r="CC41" s="51"/>
      <c r="CD41" s="73"/>
      <c r="CE41" s="73"/>
      <c r="CF41" s="73"/>
      <c r="CG41" s="73"/>
      <c r="CH41" s="51"/>
      <c r="CI41" s="73"/>
      <c r="CJ41" s="73"/>
      <c r="CK41" s="73"/>
      <c r="CL41" s="73"/>
      <c r="CM41" s="51"/>
      <c r="CN41" s="73"/>
      <c r="CO41" s="73"/>
      <c r="CP41" s="73"/>
      <c r="CQ41" s="73"/>
      <c r="CR41" s="51"/>
      <c r="CS41" s="73"/>
      <c r="CT41" s="73"/>
      <c r="CU41" s="73"/>
      <c r="CV41" s="73"/>
      <c r="CW41" s="51"/>
      <c r="CX41" s="73"/>
      <c r="CY41" s="73"/>
      <c r="CZ41" s="73"/>
      <c r="DA41" s="73"/>
      <c r="DB41" s="51"/>
      <c r="DC41" s="73"/>
      <c r="DD41" s="73"/>
      <c r="DE41" s="73"/>
      <c r="DF41" s="73"/>
      <c r="DG41" s="51"/>
      <c r="DH41" s="73"/>
      <c r="DI41" s="73"/>
      <c r="DJ41" s="73"/>
      <c r="DK41" s="73"/>
      <c r="DL41" s="51"/>
      <c r="DM41" s="73"/>
      <c r="DN41" s="73"/>
      <c r="DO41" s="73"/>
      <c r="DP41" s="73"/>
      <c r="DQ41" s="51"/>
      <c r="DR41" s="73"/>
      <c r="DS41" s="73"/>
      <c r="DT41" s="73"/>
      <c r="DU41" s="73"/>
      <c r="DV41" s="51"/>
      <c r="DY41" s="73"/>
      <c r="DZ41" s="73"/>
      <c r="EA41" s="7" t="s">
        <v>100</v>
      </c>
      <c r="EB41" s="73"/>
      <c r="EC41" s="73"/>
      <c r="ED41" s="73"/>
      <c r="EE41" s="73"/>
      <c r="EF41" s="7"/>
      <c r="EG41" s="73"/>
      <c r="EH41" s="73"/>
      <c r="EI41" s="73"/>
      <c r="EJ41" s="73"/>
      <c r="EK41" s="7"/>
      <c r="EL41" s="73"/>
      <c r="EM41" s="73"/>
      <c r="EN41" s="73"/>
      <c r="EO41" s="73"/>
      <c r="EP41" s="7"/>
      <c r="EQ41" s="73"/>
      <c r="ER41" s="73"/>
      <c r="ES41" s="73"/>
      <c r="ET41" s="73"/>
      <c r="EU41" s="51"/>
      <c r="EV41" s="52"/>
      <c r="EW41" s="52"/>
      <c r="EZ41" s="51"/>
      <c r="FC41" s="52"/>
      <c r="FD41" s="52"/>
      <c r="FE41" s="51"/>
      <c r="FJ41" s="52"/>
    </row>
    <row r="42" spans="2:169" ht="16.5" customHeight="1">
      <c r="B42" s="191"/>
      <c r="C42" s="6"/>
      <c r="F42" s="73"/>
      <c r="G42" s="73"/>
      <c r="H42" s="73"/>
      <c r="I42" s="73"/>
      <c r="K42" s="73"/>
      <c r="L42" s="73"/>
      <c r="M42" s="73"/>
      <c r="N42" s="73"/>
      <c r="P42" s="73"/>
      <c r="Q42" s="73"/>
      <c r="R42" s="73"/>
      <c r="S42" s="73"/>
      <c r="U42" s="73"/>
      <c r="V42" s="73"/>
      <c r="W42" s="73"/>
      <c r="X42" s="73"/>
      <c r="Z42" s="73"/>
      <c r="AA42" s="73"/>
      <c r="AB42" s="73"/>
      <c r="AC42" s="73"/>
      <c r="AE42" s="73"/>
      <c r="AF42" s="73"/>
      <c r="AG42" s="73"/>
      <c r="AH42" s="73"/>
      <c r="AJ42" s="73"/>
      <c r="AK42" s="73"/>
      <c r="AL42" s="73"/>
      <c r="AM42" s="73"/>
      <c r="AO42" s="73"/>
      <c r="AP42" s="73"/>
      <c r="AQ42" s="73"/>
      <c r="AR42" s="73"/>
      <c r="AT42" s="73"/>
      <c r="AU42" s="73"/>
      <c r="AV42" s="73"/>
      <c r="AW42" s="73"/>
      <c r="AY42" s="73"/>
      <c r="AZ42" s="73"/>
      <c r="BA42" s="73"/>
      <c r="BB42" s="73"/>
      <c r="BD42" s="73"/>
      <c r="BE42" s="73"/>
      <c r="BF42" s="73"/>
      <c r="BG42" s="73"/>
      <c r="BI42" s="73"/>
      <c r="BJ42" s="73"/>
      <c r="BK42" s="73"/>
      <c r="BL42" s="73"/>
      <c r="BN42" s="73"/>
      <c r="BO42" s="73"/>
      <c r="BP42" s="73"/>
      <c r="BQ42" s="73"/>
      <c r="BS42" s="73"/>
      <c r="BT42" s="73"/>
      <c r="BU42" s="73"/>
      <c r="BV42" s="73"/>
      <c r="BX42" s="73"/>
      <c r="BY42" s="73"/>
      <c r="BZ42" s="73"/>
      <c r="CA42" s="73"/>
      <c r="CC42" s="73"/>
      <c r="CD42" s="73"/>
      <c r="CE42" s="73"/>
      <c r="CF42" s="73"/>
      <c r="CH42" s="73"/>
      <c r="CI42" s="73"/>
      <c r="CJ42" s="73"/>
      <c r="CK42" s="73"/>
      <c r="CM42" s="73"/>
      <c r="CN42" s="73"/>
      <c r="CO42" s="73"/>
      <c r="CP42" s="73"/>
      <c r="CR42" s="73"/>
      <c r="CS42" s="73"/>
      <c r="CT42" s="73"/>
      <c r="CU42" s="73"/>
      <c r="CW42" s="73"/>
      <c r="CX42" s="73"/>
      <c r="CY42" s="73"/>
      <c r="CZ42" s="73"/>
      <c r="DB42" s="73"/>
      <c r="DC42" s="73"/>
      <c r="DD42" s="73"/>
      <c r="DE42" s="73"/>
      <c r="DG42" s="73"/>
      <c r="DH42" s="73"/>
      <c r="DI42" s="73"/>
      <c r="DJ42" s="73"/>
      <c r="DL42" s="73"/>
      <c r="DM42" s="73"/>
      <c r="DN42" s="73"/>
      <c r="DO42" s="73"/>
      <c r="DQ42" s="73"/>
      <c r="DR42" s="73"/>
      <c r="DS42" s="73"/>
      <c r="DT42" s="73"/>
      <c r="DV42" s="73"/>
      <c r="DW42" s="73"/>
      <c r="DX42" s="73"/>
      <c r="DY42" s="73"/>
      <c r="DZ42" s="7"/>
      <c r="EA42" s="7" t="s">
        <v>101</v>
      </c>
      <c r="EB42" s="73"/>
      <c r="EC42" s="73"/>
      <c r="ED42" s="73"/>
      <c r="EE42" s="7"/>
      <c r="EF42" s="7"/>
      <c r="EG42" s="73"/>
      <c r="EH42" s="73"/>
      <c r="EI42" s="73"/>
      <c r="EJ42" s="7"/>
      <c r="EK42" s="7"/>
      <c r="EL42" s="73"/>
      <c r="EM42" s="73"/>
      <c r="EN42" s="73"/>
      <c r="EO42" s="7"/>
      <c r="EP42" s="7"/>
      <c r="EQ42" s="73"/>
      <c r="ER42" s="73"/>
      <c r="ES42" s="73"/>
      <c r="EU42" s="73"/>
      <c r="EV42" s="73"/>
      <c r="EW42" s="73"/>
      <c r="EX42" s="73"/>
      <c r="FE42" s="52"/>
      <c r="FF42" s="52"/>
      <c r="FG42" s="52"/>
      <c r="FH42" s="52"/>
    </row>
    <row r="43" spans="2:169" ht="16.5" customHeight="1">
      <c r="B43" s="192"/>
      <c r="C43" s="193"/>
      <c r="F43" s="73"/>
      <c r="G43" s="73"/>
      <c r="H43" s="73"/>
      <c r="I43" s="73"/>
      <c r="K43" s="73"/>
      <c r="L43" s="73"/>
      <c r="M43" s="73"/>
      <c r="N43" s="73"/>
      <c r="P43" s="73"/>
      <c r="Q43" s="73"/>
      <c r="R43" s="73"/>
      <c r="S43" s="73"/>
      <c r="U43" s="73"/>
      <c r="V43" s="73"/>
      <c r="W43" s="73"/>
      <c r="X43" s="73"/>
      <c r="Z43" s="73"/>
      <c r="AA43" s="73"/>
      <c r="AB43" s="73"/>
      <c r="AC43" s="73"/>
      <c r="AE43" s="73"/>
      <c r="AF43" s="73"/>
      <c r="AG43" s="73"/>
      <c r="AH43" s="73"/>
      <c r="AJ43" s="73"/>
      <c r="AK43" s="73"/>
      <c r="AL43" s="73"/>
      <c r="AM43" s="73"/>
      <c r="AO43" s="73"/>
      <c r="AP43" s="73"/>
      <c r="AQ43" s="73"/>
      <c r="AR43" s="73"/>
      <c r="AT43" s="73"/>
      <c r="AU43" s="73"/>
      <c r="AV43" s="73"/>
      <c r="AW43" s="73"/>
      <c r="AY43" s="73"/>
      <c r="AZ43" s="73"/>
      <c r="BA43" s="73"/>
      <c r="BB43" s="73"/>
      <c r="BD43" s="73"/>
      <c r="BE43" s="73"/>
      <c r="BF43" s="73"/>
      <c r="BG43" s="73"/>
      <c r="BI43" s="73"/>
      <c r="BJ43" s="73"/>
      <c r="BK43" s="73"/>
      <c r="BL43" s="73"/>
      <c r="BN43" s="73"/>
      <c r="BO43" s="73"/>
      <c r="BP43" s="73"/>
      <c r="BQ43" s="73"/>
      <c r="BS43" s="73"/>
      <c r="BT43" s="73"/>
      <c r="BU43" s="73"/>
      <c r="BV43" s="73"/>
      <c r="BX43" s="73"/>
      <c r="BY43" s="73"/>
      <c r="BZ43" s="73"/>
      <c r="CA43" s="73"/>
      <c r="CC43" s="73"/>
      <c r="CD43" s="73"/>
      <c r="CE43" s="73"/>
      <c r="CF43" s="73"/>
      <c r="CH43" s="73"/>
      <c r="CI43" s="73"/>
      <c r="CJ43" s="73"/>
      <c r="CK43" s="73"/>
      <c r="CM43" s="73"/>
      <c r="CN43" s="73"/>
      <c r="CO43" s="73"/>
      <c r="CP43" s="73"/>
      <c r="CR43" s="73"/>
      <c r="CS43" s="73"/>
      <c r="CT43" s="73"/>
      <c r="CU43" s="73"/>
      <c r="CW43" s="73"/>
      <c r="CX43" s="73"/>
      <c r="CY43" s="73"/>
      <c r="CZ43" s="73"/>
      <c r="DB43" s="73"/>
      <c r="DC43" s="73"/>
      <c r="DD43" s="73"/>
      <c r="DE43" s="73"/>
      <c r="DG43" s="73"/>
      <c r="DH43" s="73"/>
      <c r="DI43" s="73"/>
      <c r="DJ43" s="73"/>
      <c r="DL43" s="73"/>
      <c r="DM43" s="73"/>
      <c r="DN43" s="73"/>
      <c r="DO43" s="73"/>
      <c r="DQ43" s="73"/>
      <c r="DR43" s="73"/>
      <c r="DS43" s="73"/>
      <c r="DT43" s="73"/>
      <c r="DV43" s="73"/>
      <c r="DW43" s="73"/>
      <c r="DX43" s="73"/>
      <c r="DY43" s="73"/>
      <c r="EA43" s="194" t="s">
        <v>102</v>
      </c>
      <c r="EB43" s="73"/>
      <c r="EC43" s="73"/>
      <c r="ED43" s="73"/>
      <c r="EF43" s="73"/>
      <c r="EG43" s="73"/>
      <c r="EH43" s="73"/>
      <c r="EI43" s="73"/>
      <c r="EK43" s="73"/>
      <c r="EL43" s="73"/>
      <c r="EM43" s="73"/>
      <c r="EN43" s="73"/>
      <c r="EP43" s="73"/>
      <c r="EQ43" s="73"/>
      <c r="ER43" s="73"/>
      <c r="ES43" s="73"/>
      <c r="EU43" s="73"/>
      <c r="EV43" s="73"/>
      <c r="EW43" s="73"/>
      <c r="EX43" s="73"/>
      <c r="FE43" s="52"/>
      <c r="FF43" s="52"/>
      <c r="FG43" s="52"/>
      <c r="FH43" s="52"/>
    </row>
    <row r="44" spans="2:169" ht="16.5" customHeight="1">
      <c r="C44" s="192"/>
      <c r="EA44" s="195" t="s">
        <v>103</v>
      </c>
    </row>
    <row r="45" spans="2:169" ht="16.5" customHeight="1">
      <c r="C45" s="192"/>
    </row>
    <row r="46" spans="2:169" ht="16.5" customHeight="1">
      <c r="C46" s="192"/>
    </row>
    <row r="47" spans="2:169" ht="16.5" customHeight="1">
      <c r="C47" s="192"/>
    </row>
    <row r="48" spans="2:169" ht="16.5" customHeight="1">
      <c r="C48" s="196"/>
    </row>
    <row r="49" spans="3:5" ht="16.5" customHeight="1">
      <c r="C49" s="197"/>
      <c r="D49" s="198"/>
      <c r="E49" s="198"/>
    </row>
    <row r="50" spans="3:5" ht="16.5" customHeight="1">
      <c r="C50" s="197"/>
      <c r="D50" s="198"/>
      <c r="E50" s="198"/>
    </row>
    <row r="51" spans="3:5" ht="16.5" customHeight="1">
      <c r="C51" s="197"/>
      <c r="D51" s="198"/>
      <c r="E51" s="198"/>
    </row>
    <row r="52" spans="3:5" ht="16.5" customHeight="1">
      <c r="D52" s="198"/>
      <c r="E52" s="198"/>
    </row>
    <row r="53" spans="3:5" ht="16.5" customHeight="1">
      <c r="D53" s="198"/>
      <c r="E53" s="198"/>
    </row>
    <row r="54" spans="3:5" ht="16.5" customHeight="1">
      <c r="D54" s="198"/>
      <c r="E54" s="198"/>
    </row>
    <row r="55" spans="3:5" ht="16.5" customHeight="1">
      <c r="C55" s="198"/>
      <c r="D55" s="198"/>
      <c r="E55" s="198"/>
    </row>
    <row r="56" spans="3:5" ht="16.5" customHeight="1">
      <c r="C56" s="198"/>
      <c r="D56" s="198"/>
      <c r="E56" s="198"/>
    </row>
    <row r="57" spans="3:5" ht="16.5" customHeight="1">
      <c r="C57" s="198"/>
      <c r="D57" s="198"/>
      <c r="E57" s="198"/>
    </row>
    <row r="58" spans="3:5" ht="16.5" customHeight="1">
      <c r="C58" s="198"/>
      <c r="D58" s="198"/>
      <c r="E58" s="198"/>
    </row>
    <row r="59" spans="3:5" ht="16.5" customHeight="1">
      <c r="C59" s="198"/>
      <c r="D59" s="198"/>
      <c r="E59" s="198"/>
    </row>
    <row r="60" spans="3:5" ht="16.5" customHeight="1">
      <c r="C60" s="198"/>
      <c r="D60" s="198"/>
      <c r="E60" s="198"/>
    </row>
    <row r="61" spans="3:5" ht="16.5" customHeight="1">
      <c r="C61" s="198"/>
      <c r="D61" s="198"/>
      <c r="E61" s="198"/>
    </row>
    <row r="62" spans="3:5" ht="16.5" customHeight="1">
      <c r="C62" s="198"/>
      <c r="D62" s="198"/>
      <c r="E62" s="198"/>
    </row>
    <row r="63" spans="3:5" ht="16.5" customHeight="1">
      <c r="C63" s="198"/>
      <c r="D63" s="198"/>
      <c r="E63" s="198"/>
    </row>
    <row r="64" spans="3:5" ht="16.5" customHeight="1">
      <c r="C64" s="198"/>
      <c r="D64" s="198"/>
      <c r="E64" s="198"/>
    </row>
    <row r="65" spans="3:5" ht="16.5" customHeight="1">
      <c r="C65" s="198"/>
      <c r="D65" s="198"/>
      <c r="E65" s="198"/>
    </row>
    <row r="66" spans="3:5" ht="16.5" customHeight="1">
      <c r="C66" s="198"/>
    </row>
    <row r="67" spans="3:5" ht="16.5" customHeight="1">
      <c r="C67" s="198"/>
    </row>
    <row r="68" spans="3:5" ht="16.5" customHeight="1">
      <c r="C68" s="198"/>
    </row>
    <row r="69" spans="3:5" ht="16.5" customHeight="1">
      <c r="C69" s="198"/>
    </row>
    <row r="70" spans="3:5" ht="16.5" customHeight="1">
      <c r="C70" s="198"/>
    </row>
    <row r="71" spans="3:5" ht="16.5" customHeight="1">
      <c r="C71" s="198"/>
    </row>
    <row r="72" spans="3:5" ht="16.5" customHeight="1">
      <c r="C72" s="19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09DAA-DD66-4C85-BB71-A83A115AECD0}">
  <dimension ref="A1:U59"/>
  <sheetViews>
    <sheetView workbookViewId="0">
      <selection activeCell="E63" sqref="E63"/>
    </sheetView>
  </sheetViews>
  <sheetFormatPr defaultColWidth="9" defaultRowHeight="16.5"/>
  <cols>
    <col min="1" max="1" width="3.375" style="206" customWidth="1"/>
    <col min="2" max="2" width="5.375" style="201" customWidth="1"/>
    <col min="3" max="3" width="6.375" style="201" customWidth="1"/>
    <col min="4" max="5" width="25.375" style="203" customWidth="1"/>
    <col min="6" max="6" width="10.375" style="203" customWidth="1"/>
    <col min="7" max="8" width="8.375" style="203" customWidth="1"/>
    <col min="9" max="12" width="15.375" style="201" customWidth="1"/>
    <col min="13" max="13" width="5.375" style="201" customWidth="1"/>
    <col min="14" max="14" width="8.375" style="205" customWidth="1"/>
    <col min="15" max="18" width="5.375" style="205" customWidth="1"/>
    <col min="19" max="19" width="9" style="203"/>
    <col min="20" max="20" width="40.375" style="210" customWidth="1"/>
    <col min="21" max="21" width="15.375" style="210" customWidth="1"/>
    <col min="22" max="16384" width="9" style="203"/>
  </cols>
  <sheetData>
    <row r="1" spans="1:21" ht="16.5" customHeight="1" thickBot="1">
      <c r="A1" s="199"/>
      <c r="B1" s="200" t="s">
        <v>104</v>
      </c>
      <c r="D1" s="202"/>
      <c r="K1" s="204"/>
      <c r="N1" s="207" t="s">
        <v>1</v>
      </c>
      <c r="Q1" s="208" t="s">
        <v>105</v>
      </c>
      <c r="T1" s="209" t="s">
        <v>106</v>
      </c>
    </row>
    <row r="2" spans="1:21" ht="16.5" customHeight="1" thickBot="1">
      <c r="A2" s="211"/>
      <c r="B2" s="212" t="s">
        <v>107</v>
      </c>
      <c r="C2" s="213" t="s">
        <v>108</v>
      </c>
      <c r="D2" s="214" t="s">
        <v>109</v>
      </c>
      <c r="E2" s="215" t="s">
        <v>110</v>
      </c>
      <c r="F2" s="215" t="s">
        <v>111</v>
      </c>
      <c r="G2" s="215" t="s">
        <v>112</v>
      </c>
      <c r="H2" s="216" t="s">
        <v>113</v>
      </c>
      <c r="I2" s="217" t="s">
        <v>114</v>
      </c>
      <c r="J2" s="217" t="s">
        <v>115</v>
      </c>
      <c r="K2" s="217" t="s">
        <v>116</v>
      </c>
      <c r="L2" s="218" t="s">
        <v>117</v>
      </c>
      <c r="M2" s="219" t="s">
        <v>118</v>
      </c>
      <c r="N2" s="220" t="s">
        <v>119</v>
      </c>
      <c r="O2" s="221" t="s">
        <v>39</v>
      </c>
      <c r="P2" s="222" t="s">
        <v>40</v>
      </c>
      <c r="Q2" s="221" t="s">
        <v>41</v>
      </c>
      <c r="R2" s="223" t="s">
        <v>42</v>
      </c>
      <c r="T2" s="224" t="s">
        <v>120</v>
      </c>
      <c r="U2" s="225" t="s">
        <v>121</v>
      </c>
    </row>
    <row r="3" spans="1:21" ht="16.5" customHeight="1">
      <c r="A3" s="226"/>
      <c r="B3" s="227">
        <v>1</v>
      </c>
      <c r="C3" s="228" t="s">
        <v>43</v>
      </c>
      <c r="D3" s="229" t="s">
        <v>122</v>
      </c>
      <c r="E3" s="230"/>
      <c r="F3" s="231" t="s">
        <v>122</v>
      </c>
      <c r="G3" s="232"/>
      <c r="H3" s="233"/>
      <c r="I3" s="234" t="s">
        <v>123</v>
      </c>
      <c r="J3" s="234" t="s">
        <v>123</v>
      </c>
      <c r="K3" s="234" t="s">
        <v>123</v>
      </c>
      <c r="L3" s="235" t="s">
        <v>123</v>
      </c>
      <c r="M3" s="236" t="s">
        <v>124</v>
      </c>
      <c r="N3" s="239" t="s">
        <v>127</v>
      </c>
      <c r="O3" s="237" t="s">
        <v>125</v>
      </c>
      <c r="P3" s="237" t="s">
        <v>125</v>
      </c>
      <c r="Q3" s="237" t="s">
        <v>125</v>
      </c>
      <c r="R3" s="240" t="s">
        <v>45</v>
      </c>
      <c r="T3" s="241" t="s">
        <v>128</v>
      </c>
      <c r="U3" s="242" t="s">
        <v>129</v>
      </c>
    </row>
    <row r="4" spans="1:21" ht="16.5" customHeight="1">
      <c r="A4" s="243"/>
      <c r="B4" s="227">
        <v>2</v>
      </c>
      <c r="C4" s="228" t="s">
        <v>48</v>
      </c>
      <c r="D4" s="229" t="s">
        <v>130</v>
      </c>
      <c r="E4" s="244" t="s">
        <v>131</v>
      </c>
      <c r="F4" s="245" t="s">
        <v>132</v>
      </c>
      <c r="G4" s="232"/>
      <c r="H4" s="233"/>
      <c r="I4" s="246" t="s">
        <v>133</v>
      </c>
      <c r="J4" s="247" t="s">
        <v>134</v>
      </c>
      <c r="K4" s="247" t="s">
        <v>134</v>
      </c>
      <c r="L4" s="248" t="s">
        <v>134</v>
      </c>
      <c r="M4" s="249" t="s">
        <v>135</v>
      </c>
      <c r="N4" s="239" t="s">
        <v>137</v>
      </c>
      <c r="O4" s="237" t="s">
        <v>125</v>
      </c>
      <c r="P4" s="237" t="s">
        <v>125</v>
      </c>
      <c r="Q4" s="237" t="s">
        <v>125</v>
      </c>
      <c r="R4" s="240" t="s">
        <v>45</v>
      </c>
      <c r="T4" s="241" t="s">
        <v>138</v>
      </c>
      <c r="U4" s="242" t="s">
        <v>139</v>
      </c>
    </row>
    <row r="5" spans="1:21" ht="16.5" customHeight="1">
      <c r="A5" s="250"/>
      <c r="B5" s="227">
        <v>3</v>
      </c>
      <c r="C5" s="251" t="s">
        <v>50</v>
      </c>
      <c r="D5" s="229" t="s">
        <v>140</v>
      </c>
      <c r="E5" s="252" t="s">
        <v>140</v>
      </c>
      <c r="F5" s="232"/>
      <c r="G5" s="232"/>
      <c r="H5" s="233"/>
      <c r="I5" s="234" t="s">
        <v>141</v>
      </c>
      <c r="J5" s="234" t="s">
        <v>141</v>
      </c>
      <c r="K5" s="234" t="s">
        <v>141</v>
      </c>
      <c r="L5" s="253" t="s">
        <v>141</v>
      </c>
      <c r="M5" s="236" t="s">
        <v>124</v>
      </c>
      <c r="N5" s="237" t="s">
        <v>125</v>
      </c>
      <c r="O5" s="237" t="s">
        <v>125</v>
      </c>
      <c r="P5" s="237" t="s">
        <v>125</v>
      </c>
      <c r="Q5" s="237" t="s">
        <v>125</v>
      </c>
      <c r="R5" s="240" t="s">
        <v>45</v>
      </c>
      <c r="T5" s="254" t="s">
        <v>142</v>
      </c>
      <c r="U5" s="255" t="s">
        <v>143</v>
      </c>
    </row>
    <row r="6" spans="1:21" ht="16.5" customHeight="1">
      <c r="A6" s="243"/>
      <c r="B6" s="256" t="s">
        <v>51</v>
      </c>
      <c r="C6" s="257" t="s">
        <v>52</v>
      </c>
      <c r="D6" s="258" t="s">
        <v>140</v>
      </c>
      <c r="E6" s="259" t="s">
        <v>140</v>
      </c>
      <c r="F6" s="232"/>
      <c r="G6" s="232"/>
      <c r="H6" s="233"/>
      <c r="I6" s="260" t="s">
        <v>141</v>
      </c>
      <c r="J6" s="261" t="s">
        <v>96</v>
      </c>
      <c r="K6" s="261" t="s">
        <v>96</v>
      </c>
      <c r="L6" s="262" t="s">
        <v>96</v>
      </c>
      <c r="M6" s="236" t="s">
        <v>124</v>
      </c>
      <c r="N6" s="263" t="s">
        <v>2</v>
      </c>
      <c r="O6" s="263" t="s">
        <v>126</v>
      </c>
      <c r="P6" s="263" t="s">
        <v>126</v>
      </c>
      <c r="Q6" s="263" t="s">
        <v>126</v>
      </c>
      <c r="R6" s="264" t="s">
        <v>45</v>
      </c>
      <c r="S6" s="265" t="s">
        <v>144</v>
      </c>
      <c r="T6" s="254" t="s">
        <v>145</v>
      </c>
      <c r="U6" s="255" t="s">
        <v>146</v>
      </c>
    </row>
    <row r="7" spans="1:21" ht="16.5" customHeight="1">
      <c r="A7" s="250"/>
      <c r="B7" s="227">
        <v>4</v>
      </c>
      <c r="C7" s="228" t="s">
        <v>54</v>
      </c>
      <c r="D7" s="229" t="s">
        <v>147</v>
      </c>
      <c r="E7" s="244" t="s">
        <v>148</v>
      </c>
      <c r="F7" s="266" t="s">
        <v>132</v>
      </c>
      <c r="G7" s="232"/>
      <c r="H7" s="233"/>
      <c r="I7" s="247" t="s">
        <v>149</v>
      </c>
      <c r="J7" s="247" t="s">
        <v>149</v>
      </c>
      <c r="K7" s="247" t="s">
        <v>149</v>
      </c>
      <c r="L7" s="248" t="s">
        <v>149</v>
      </c>
      <c r="M7" s="267" t="s">
        <v>124</v>
      </c>
      <c r="N7" s="237" t="s">
        <v>125</v>
      </c>
      <c r="O7" s="237" t="s">
        <v>125</v>
      </c>
      <c r="P7" s="237" t="s">
        <v>125</v>
      </c>
      <c r="Q7" s="237" t="s">
        <v>125</v>
      </c>
      <c r="R7" s="240" t="s">
        <v>45</v>
      </c>
      <c r="T7" s="254" t="s">
        <v>150</v>
      </c>
      <c r="U7" s="255" t="s">
        <v>151</v>
      </c>
    </row>
    <row r="8" spans="1:21" ht="16.5" customHeight="1">
      <c r="A8" s="250"/>
      <c r="B8" s="268">
        <v>5</v>
      </c>
      <c r="C8" s="269" t="s">
        <v>55</v>
      </c>
      <c r="D8" s="270" t="s">
        <v>152</v>
      </c>
      <c r="E8" s="271" t="s">
        <v>153</v>
      </c>
      <c r="F8" s="272"/>
      <c r="G8" s="272"/>
      <c r="H8" s="273"/>
      <c r="I8" s="274" t="s">
        <v>154</v>
      </c>
      <c r="J8" s="274" t="s">
        <v>154</v>
      </c>
      <c r="K8" s="274" t="s">
        <v>154</v>
      </c>
      <c r="L8" s="275" t="s">
        <v>154</v>
      </c>
      <c r="M8" s="276" t="s">
        <v>155</v>
      </c>
      <c r="N8" s="278" t="s">
        <v>127</v>
      </c>
      <c r="O8" s="277" t="s">
        <v>125</v>
      </c>
      <c r="P8" s="277" t="s">
        <v>125</v>
      </c>
      <c r="Q8" s="277" t="s">
        <v>125</v>
      </c>
      <c r="R8" s="279" t="s">
        <v>45</v>
      </c>
      <c r="T8" s="254" t="s">
        <v>156</v>
      </c>
      <c r="U8" s="255" t="s">
        <v>157</v>
      </c>
    </row>
    <row r="9" spans="1:21" ht="16.5" customHeight="1">
      <c r="A9" s="250"/>
      <c r="B9" s="227">
        <v>6</v>
      </c>
      <c r="C9" s="280" t="s">
        <v>56</v>
      </c>
      <c r="D9" s="229" t="s">
        <v>158</v>
      </c>
      <c r="E9" s="244"/>
      <c r="F9" s="266" t="s">
        <v>159</v>
      </c>
      <c r="G9" s="266" t="s">
        <v>160</v>
      </c>
      <c r="H9" s="281" t="s">
        <v>161</v>
      </c>
      <c r="I9" s="234" t="s">
        <v>162</v>
      </c>
      <c r="J9" s="234" t="s">
        <v>163</v>
      </c>
      <c r="K9" s="234" t="s">
        <v>163</v>
      </c>
      <c r="L9" s="253" t="s">
        <v>163</v>
      </c>
      <c r="M9" s="236" t="s">
        <v>124</v>
      </c>
      <c r="N9" s="237" t="s">
        <v>125</v>
      </c>
      <c r="O9" s="237" t="s">
        <v>125</v>
      </c>
      <c r="P9" s="237" t="s">
        <v>125</v>
      </c>
      <c r="Q9" s="237" t="s">
        <v>125</v>
      </c>
      <c r="R9" s="240" t="s">
        <v>45</v>
      </c>
      <c r="T9" s="254" t="s">
        <v>164</v>
      </c>
      <c r="U9" s="255" t="s">
        <v>165</v>
      </c>
    </row>
    <row r="10" spans="1:21" ht="16.5" customHeight="1">
      <c r="A10" s="243"/>
      <c r="B10" s="227">
        <v>7</v>
      </c>
      <c r="C10" s="280" t="s">
        <v>57</v>
      </c>
      <c r="D10" s="229" t="s">
        <v>166</v>
      </c>
      <c r="E10" s="252" t="s">
        <v>140</v>
      </c>
      <c r="F10" s="232"/>
      <c r="G10" s="282" t="s">
        <v>167</v>
      </c>
      <c r="H10" s="233"/>
      <c r="I10" s="247" t="s">
        <v>168</v>
      </c>
      <c r="J10" s="247" t="s">
        <v>168</v>
      </c>
      <c r="K10" s="247" t="s">
        <v>168</v>
      </c>
      <c r="L10" s="283" t="s">
        <v>169</v>
      </c>
      <c r="M10" s="276" t="s">
        <v>170</v>
      </c>
      <c r="N10" s="237" t="s">
        <v>125</v>
      </c>
      <c r="O10" s="237" t="s">
        <v>125</v>
      </c>
      <c r="P10" s="237" t="s">
        <v>125</v>
      </c>
      <c r="Q10" s="237" t="s">
        <v>125</v>
      </c>
      <c r="R10" s="240" t="s">
        <v>45</v>
      </c>
      <c r="T10" s="241" t="s">
        <v>171</v>
      </c>
      <c r="U10" s="255" t="s">
        <v>113</v>
      </c>
    </row>
    <row r="11" spans="1:21" ht="16.5" customHeight="1" thickBot="1">
      <c r="A11" s="250"/>
      <c r="B11" s="227">
        <v>8</v>
      </c>
      <c r="C11" s="280" t="s">
        <v>58</v>
      </c>
      <c r="D11" s="229" t="s">
        <v>172</v>
      </c>
      <c r="E11" s="244" t="s">
        <v>148</v>
      </c>
      <c r="F11" s="245" t="s">
        <v>132</v>
      </c>
      <c r="G11" s="232"/>
      <c r="H11" s="233"/>
      <c r="I11" s="247" t="s">
        <v>173</v>
      </c>
      <c r="J11" s="247" t="s">
        <v>173</v>
      </c>
      <c r="K11" s="247" t="s">
        <v>173</v>
      </c>
      <c r="L11" s="248" t="s">
        <v>173</v>
      </c>
      <c r="M11" s="276" t="s">
        <v>155</v>
      </c>
      <c r="N11" s="239" t="s">
        <v>137</v>
      </c>
      <c r="O11" s="237" t="s">
        <v>125</v>
      </c>
      <c r="P11" s="237" t="s">
        <v>125</v>
      </c>
      <c r="Q11" s="237" t="s">
        <v>125</v>
      </c>
      <c r="R11" s="240" t="s">
        <v>45</v>
      </c>
      <c r="T11" s="284" t="s">
        <v>174</v>
      </c>
      <c r="U11" s="285" t="s">
        <v>112</v>
      </c>
    </row>
    <row r="12" spans="1:21" ht="16.5" customHeight="1">
      <c r="A12" s="250"/>
      <c r="B12" s="227">
        <v>9</v>
      </c>
      <c r="C12" s="228" t="s">
        <v>59</v>
      </c>
      <c r="D12" s="229" t="s">
        <v>122</v>
      </c>
      <c r="E12" s="230"/>
      <c r="F12" s="231" t="s">
        <v>122</v>
      </c>
      <c r="G12" s="232"/>
      <c r="H12" s="233"/>
      <c r="I12" s="234" t="s">
        <v>123</v>
      </c>
      <c r="J12" s="234" t="s">
        <v>123</v>
      </c>
      <c r="K12" s="234" t="s">
        <v>123</v>
      </c>
      <c r="L12" s="253" t="s">
        <v>123</v>
      </c>
      <c r="M12" s="236" t="s">
        <v>124</v>
      </c>
      <c r="N12" s="239" t="s">
        <v>175</v>
      </c>
      <c r="O12" s="237" t="s">
        <v>125</v>
      </c>
      <c r="P12" s="237" t="s">
        <v>125</v>
      </c>
      <c r="Q12" s="237" t="s">
        <v>125</v>
      </c>
      <c r="R12" s="240" t="s">
        <v>45</v>
      </c>
    </row>
    <row r="13" spans="1:21" ht="16.5" customHeight="1">
      <c r="A13" s="243"/>
      <c r="B13" s="227">
        <v>10</v>
      </c>
      <c r="C13" s="280" t="s">
        <v>60</v>
      </c>
      <c r="D13" s="229" t="s">
        <v>176</v>
      </c>
      <c r="E13" s="252" t="s">
        <v>177</v>
      </c>
      <c r="F13" s="232"/>
      <c r="G13" s="232"/>
      <c r="H13" s="233"/>
      <c r="I13" s="246" t="s">
        <v>178</v>
      </c>
      <c r="J13" s="247" t="s">
        <v>179</v>
      </c>
      <c r="K13" s="247" t="s">
        <v>179</v>
      </c>
      <c r="L13" s="248" t="s">
        <v>179</v>
      </c>
      <c r="M13" s="249" t="s">
        <v>170</v>
      </c>
      <c r="N13" s="239" t="s">
        <v>137</v>
      </c>
      <c r="O13" s="237" t="s">
        <v>125</v>
      </c>
      <c r="P13" s="237" t="s">
        <v>125</v>
      </c>
      <c r="Q13" s="237" t="s">
        <v>125</v>
      </c>
      <c r="R13" s="240" t="s">
        <v>45</v>
      </c>
      <c r="U13" s="203"/>
    </row>
    <row r="14" spans="1:21" ht="16.5" customHeight="1">
      <c r="A14" s="243"/>
      <c r="B14" s="227">
        <v>11</v>
      </c>
      <c r="C14" s="280" t="s">
        <v>61</v>
      </c>
      <c r="D14" s="229" t="s">
        <v>180</v>
      </c>
      <c r="E14" s="244" t="s">
        <v>180</v>
      </c>
      <c r="F14" s="232"/>
      <c r="G14" s="232" t="s">
        <v>160</v>
      </c>
      <c r="H14" s="233"/>
      <c r="I14" s="246" t="s">
        <v>181</v>
      </c>
      <c r="J14" s="247" t="s">
        <v>182</v>
      </c>
      <c r="K14" s="247" t="s">
        <v>182</v>
      </c>
      <c r="L14" s="248" t="s">
        <v>182</v>
      </c>
      <c r="M14" s="249" t="s">
        <v>155</v>
      </c>
      <c r="N14" s="237" t="s">
        <v>125</v>
      </c>
      <c r="O14" s="237" t="s">
        <v>125</v>
      </c>
      <c r="P14" s="237" t="s">
        <v>125</v>
      </c>
      <c r="Q14" s="237" t="s">
        <v>125</v>
      </c>
      <c r="R14" s="240" t="s">
        <v>45</v>
      </c>
      <c r="U14" s="203"/>
    </row>
    <row r="15" spans="1:21" ht="16.5" customHeight="1">
      <c r="A15" s="286"/>
      <c r="B15" s="287" t="s">
        <v>62</v>
      </c>
      <c r="C15" s="288" t="s">
        <v>63</v>
      </c>
      <c r="D15" s="289" t="s">
        <v>183</v>
      </c>
      <c r="E15" s="290" t="s">
        <v>183</v>
      </c>
      <c r="F15" s="272"/>
      <c r="G15" s="291" t="s">
        <v>160</v>
      </c>
      <c r="H15" s="273"/>
      <c r="I15" s="274" t="s">
        <v>184</v>
      </c>
      <c r="J15" s="292" t="s">
        <v>96</v>
      </c>
      <c r="K15" s="292" t="s">
        <v>96</v>
      </c>
      <c r="L15" s="293" t="s">
        <v>96</v>
      </c>
      <c r="M15" s="249" t="s">
        <v>155</v>
      </c>
      <c r="N15" s="294" t="s">
        <v>2</v>
      </c>
      <c r="O15" s="294" t="s">
        <v>126</v>
      </c>
      <c r="P15" s="294" t="s">
        <v>126</v>
      </c>
      <c r="Q15" s="294" t="s">
        <v>126</v>
      </c>
      <c r="R15" s="295" t="s">
        <v>45</v>
      </c>
      <c r="U15" s="203"/>
    </row>
    <row r="16" spans="1:21" ht="16.5" customHeight="1">
      <c r="A16" s="250"/>
      <c r="B16" s="227">
        <v>12</v>
      </c>
      <c r="C16" s="228" t="s">
        <v>64</v>
      </c>
      <c r="D16" s="229" t="s">
        <v>185</v>
      </c>
      <c r="E16" s="230"/>
      <c r="F16" s="266" t="s">
        <v>159</v>
      </c>
      <c r="G16" s="232"/>
      <c r="H16" s="281" t="s">
        <v>161</v>
      </c>
      <c r="I16" s="234" t="s">
        <v>186</v>
      </c>
      <c r="J16" s="234" t="s">
        <v>187</v>
      </c>
      <c r="K16" s="234" t="s">
        <v>187</v>
      </c>
      <c r="L16" s="253" t="s">
        <v>186</v>
      </c>
      <c r="M16" s="236" t="s">
        <v>124</v>
      </c>
      <c r="N16" s="237" t="s">
        <v>125</v>
      </c>
      <c r="O16" s="237" t="s">
        <v>125</v>
      </c>
      <c r="P16" s="237" t="s">
        <v>125</v>
      </c>
      <c r="Q16" s="237" t="s">
        <v>125</v>
      </c>
      <c r="R16" s="240" t="s">
        <v>45</v>
      </c>
      <c r="U16" s="203"/>
    </row>
    <row r="17" spans="1:21" ht="16.5" customHeight="1">
      <c r="A17" s="250"/>
      <c r="B17" s="296">
        <v>13</v>
      </c>
      <c r="C17" s="297" t="s">
        <v>65</v>
      </c>
      <c r="D17" s="229" t="s">
        <v>188</v>
      </c>
      <c r="E17" s="244" t="s">
        <v>189</v>
      </c>
      <c r="F17" s="245" t="s">
        <v>159</v>
      </c>
      <c r="G17" s="232"/>
      <c r="H17" s="233"/>
      <c r="I17" s="234" t="s">
        <v>190</v>
      </c>
      <c r="J17" s="234" t="s">
        <v>190</v>
      </c>
      <c r="K17" s="234" t="s">
        <v>190</v>
      </c>
      <c r="L17" s="253" t="s">
        <v>190</v>
      </c>
      <c r="M17" s="276" t="s">
        <v>155</v>
      </c>
      <c r="N17" s="237" t="s">
        <v>47</v>
      </c>
      <c r="O17" s="237" t="s">
        <v>125</v>
      </c>
      <c r="P17" s="237" t="s">
        <v>125</v>
      </c>
      <c r="Q17" s="237" t="s">
        <v>125</v>
      </c>
      <c r="R17" s="240" t="s">
        <v>45</v>
      </c>
      <c r="U17" s="203"/>
    </row>
    <row r="18" spans="1:21" ht="16.5" customHeight="1" thickBot="1">
      <c r="A18" s="250"/>
      <c r="B18" s="298">
        <v>14</v>
      </c>
      <c r="C18" s="299" t="s">
        <v>67</v>
      </c>
      <c r="D18" s="300" t="s">
        <v>132</v>
      </c>
      <c r="E18" s="301"/>
      <c r="F18" s="302" t="s">
        <v>191</v>
      </c>
      <c r="G18" s="303"/>
      <c r="H18" s="304"/>
      <c r="I18" s="305" t="s">
        <v>192</v>
      </c>
      <c r="J18" s="305" t="s">
        <v>192</v>
      </c>
      <c r="K18" s="305" t="s">
        <v>192</v>
      </c>
      <c r="L18" s="306" t="s">
        <v>192</v>
      </c>
      <c r="M18" s="267" t="s">
        <v>124</v>
      </c>
      <c r="N18" s="307" t="s">
        <v>125</v>
      </c>
      <c r="O18" s="307" t="s">
        <v>125</v>
      </c>
      <c r="P18" s="307" t="s">
        <v>125</v>
      </c>
      <c r="Q18" s="307" t="s">
        <v>125</v>
      </c>
      <c r="R18" s="308" t="s">
        <v>45</v>
      </c>
    </row>
    <row r="19" spans="1:21" ht="16.5" customHeight="1">
      <c r="A19" s="243"/>
      <c r="B19" s="227">
        <v>15</v>
      </c>
      <c r="C19" s="228" t="s">
        <v>69</v>
      </c>
      <c r="D19" s="229" t="s">
        <v>140</v>
      </c>
      <c r="E19" s="252" t="s">
        <v>148</v>
      </c>
      <c r="F19" s="309"/>
      <c r="G19" s="232"/>
      <c r="H19" s="233"/>
      <c r="I19" s="234" t="s">
        <v>141</v>
      </c>
      <c r="J19" s="234" t="s">
        <v>141</v>
      </c>
      <c r="K19" s="234" t="s">
        <v>141</v>
      </c>
      <c r="L19" s="253" t="s">
        <v>141</v>
      </c>
      <c r="M19" s="236" t="s">
        <v>124</v>
      </c>
      <c r="N19" s="263" t="s">
        <v>193</v>
      </c>
      <c r="O19" s="237" t="s">
        <v>125</v>
      </c>
      <c r="P19" s="237" t="s">
        <v>125</v>
      </c>
      <c r="Q19" s="237" t="s">
        <v>125</v>
      </c>
      <c r="R19" s="240" t="s">
        <v>45</v>
      </c>
    </row>
    <row r="20" spans="1:21" ht="16.5" customHeight="1">
      <c r="A20" s="250"/>
      <c r="B20" s="227">
        <v>16</v>
      </c>
      <c r="C20" s="228" t="s">
        <v>70</v>
      </c>
      <c r="D20" s="229" t="s">
        <v>194</v>
      </c>
      <c r="E20" s="252" t="s">
        <v>195</v>
      </c>
      <c r="F20" s="232"/>
      <c r="G20" s="232"/>
      <c r="H20" s="233"/>
      <c r="I20" s="234" t="s">
        <v>196</v>
      </c>
      <c r="J20" s="234" t="s">
        <v>196</v>
      </c>
      <c r="K20" s="234" t="s">
        <v>196</v>
      </c>
      <c r="L20" s="253" t="s">
        <v>196</v>
      </c>
      <c r="M20" s="236" t="s">
        <v>124</v>
      </c>
      <c r="N20" s="237" t="s">
        <v>125</v>
      </c>
      <c r="O20" s="237" t="s">
        <v>125</v>
      </c>
      <c r="P20" s="237" t="s">
        <v>125</v>
      </c>
      <c r="Q20" s="237" t="s">
        <v>125</v>
      </c>
      <c r="R20" s="240" t="s">
        <v>45</v>
      </c>
    </row>
    <row r="21" spans="1:21" ht="16.5" customHeight="1">
      <c r="A21" s="310"/>
      <c r="B21" s="227">
        <v>17</v>
      </c>
      <c r="C21" s="280" t="s">
        <v>72</v>
      </c>
      <c r="D21" s="311" t="s">
        <v>197</v>
      </c>
      <c r="E21" s="312" t="s">
        <v>198</v>
      </c>
      <c r="F21" s="232"/>
      <c r="G21" s="232"/>
      <c r="H21" s="313" t="s">
        <v>199</v>
      </c>
      <c r="I21" s="247" t="s">
        <v>200</v>
      </c>
      <c r="J21" s="247" t="s">
        <v>201</v>
      </c>
      <c r="K21" s="246" t="s">
        <v>202</v>
      </c>
      <c r="L21" s="248" t="s">
        <v>201</v>
      </c>
      <c r="M21" s="276" t="s">
        <v>203</v>
      </c>
      <c r="N21" s="239" t="s">
        <v>137</v>
      </c>
      <c r="O21" s="237" t="s">
        <v>125</v>
      </c>
      <c r="P21" s="237" t="s">
        <v>125</v>
      </c>
      <c r="Q21" s="237" t="s">
        <v>125</v>
      </c>
      <c r="R21" s="240" t="s">
        <v>45</v>
      </c>
    </row>
    <row r="22" spans="1:21" ht="16.5" customHeight="1">
      <c r="A22" s="314"/>
      <c r="B22" s="227">
        <v>18</v>
      </c>
      <c r="C22" s="280" t="s">
        <v>73</v>
      </c>
      <c r="D22" s="311" t="s">
        <v>204</v>
      </c>
      <c r="E22" s="244" t="s">
        <v>195</v>
      </c>
      <c r="F22" s="232"/>
      <c r="G22" s="315" t="s">
        <v>160</v>
      </c>
      <c r="H22" s="316" t="s">
        <v>161</v>
      </c>
      <c r="I22" s="247" t="s">
        <v>205</v>
      </c>
      <c r="J22" s="247" t="s">
        <v>205</v>
      </c>
      <c r="K22" s="247" t="s">
        <v>205</v>
      </c>
      <c r="L22" s="248" t="s">
        <v>205</v>
      </c>
      <c r="M22" s="249" t="s">
        <v>206</v>
      </c>
      <c r="N22" s="239" t="s">
        <v>137</v>
      </c>
      <c r="O22" s="237" t="s">
        <v>125</v>
      </c>
      <c r="P22" s="237" t="s">
        <v>125</v>
      </c>
      <c r="Q22" s="237" t="s">
        <v>125</v>
      </c>
      <c r="R22" s="240" t="s">
        <v>45</v>
      </c>
    </row>
    <row r="23" spans="1:21" ht="16.5" customHeight="1">
      <c r="A23" s="243"/>
      <c r="B23" s="317">
        <v>19</v>
      </c>
      <c r="C23" s="318" t="s">
        <v>74</v>
      </c>
      <c r="D23" s="229" t="s">
        <v>122</v>
      </c>
      <c r="E23" s="230"/>
      <c r="F23" s="231" t="s">
        <v>122</v>
      </c>
      <c r="G23" s="232"/>
      <c r="H23" s="233"/>
      <c r="I23" s="247" t="s">
        <v>123</v>
      </c>
      <c r="J23" s="247" t="s">
        <v>123</v>
      </c>
      <c r="K23" s="247" t="s">
        <v>123</v>
      </c>
      <c r="L23" s="319" t="s">
        <v>136</v>
      </c>
      <c r="M23" s="236" t="s">
        <v>124</v>
      </c>
      <c r="N23" s="237" t="s">
        <v>208</v>
      </c>
      <c r="O23" s="237" t="s">
        <v>207</v>
      </c>
      <c r="P23" s="237" t="s">
        <v>207</v>
      </c>
      <c r="Q23" s="237" t="s">
        <v>207</v>
      </c>
      <c r="R23" s="240" t="s">
        <v>45</v>
      </c>
    </row>
    <row r="24" spans="1:21" ht="16.5" customHeight="1">
      <c r="A24" s="243"/>
      <c r="B24" s="320">
        <v>20</v>
      </c>
      <c r="C24" s="321" t="s">
        <v>76</v>
      </c>
      <c r="D24" s="229" t="s">
        <v>209</v>
      </c>
      <c r="E24" s="230"/>
      <c r="F24" s="322" t="s">
        <v>210</v>
      </c>
      <c r="G24" s="232"/>
      <c r="H24" s="281" t="s">
        <v>161</v>
      </c>
      <c r="I24" s="247" t="s">
        <v>211</v>
      </c>
      <c r="J24" s="247" t="s">
        <v>212</v>
      </c>
      <c r="K24" s="247" t="s">
        <v>212</v>
      </c>
      <c r="L24" s="319" t="s">
        <v>136</v>
      </c>
      <c r="M24" s="236" t="s">
        <v>124</v>
      </c>
      <c r="N24" s="237" t="s">
        <v>213</v>
      </c>
      <c r="O24" s="237" t="s">
        <v>207</v>
      </c>
      <c r="P24" s="237" t="s">
        <v>207</v>
      </c>
      <c r="Q24" s="237" t="s">
        <v>207</v>
      </c>
      <c r="R24" s="240" t="s">
        <v>45</v>
      </c>
    </row>
    <row r="25" spans="1:21" ht="16.5" customHeight="1">
      <c r="A25" s="310"/>
      <c r="B25" s="227">
        <v>21</v>
      </c>
      <c r="C25" s="280" t="s">
        <v>77</v>
      </c>
      <c r="D25" s="229" t="s">
        <v>214</v>
      </c>
      <c r="E25" s="244" t="s">
        <v>214</v>
      </c>
      <c r="F25" s="232"/>
      <c r="G25" s="232" t="s">
        <v>160</v>
      </c>
      <c r="H25" s="233"/>
      <c r="I25" s="247" t="s">
        <v>215</v>
      </c>
      <c r="J25" s="247" t="s">
        <v>216</v>
      </c>
      <c r="K25" s="247" t="s">
        <v>216</v>
      </c>
      <c r="L25" s="248" t="s">
        <v>216</v>
      </c>
      <c r="M25" s="236" t="s">
        <v>124</v>
      </c>
      <c r="N25" s="263" t="s">
        <v>193</v>
      </c>
      <c r="O25" s="237" t="s">
        <v>125</v>
      </c>
      <c r="P25" s="237" t="s">
        <v>125</v>
      </c>
      <c r="Q25" s="237" t="s">
        <v>125</v>
      </c>
      <c r="R25" s="240" t="s">
        <v>45</v>
      </c>
    </row>
    <row r="26" spans="1:21" ht="16.5" customHeight="1">
      <c r="A26" s="314"/>
      <c r="B26" s="227">
        <v>22</v>
      </c>
      <c r="C26" s="280" t="s">
        <v>79</v>
      </c>
      <c r="D26" s="229" t="s">
        <v>158</v>
      </c>
      <c r="E26" s="230"/>
      <c r="F26" s="266" t="s">
        <v>217</v>
      </c>
      <c r="G26" s="266" t="s">
        <v>160</v>
      </c>
      <c r="H26" s="281" t="s">
        <v>218</v>
      </c>
      <c r="I26" s="238" t="s">
        <v>162</v>
      </c>
      <c r="J26" s="238" t="s">
        <v>163</v>
      </c>
      <c r="K26" s="238" t="s">
        <v>163</v>
      </c>
      <c r="L26" s="323" t="s">
        <v>163</v>
      </c>
      <c r="M26" s="267" t="s">
        <v>124</v>
      </c>
      <c r="N26" s="239" t="s">
        <v>137</v>
      </c>
      <c r="O26" s="237" t="s">
        <v>125</v>
      </c>
      <c r="P26" s="237" t="s">
        <v>125</v>
      </c>
      <c r="Q26" s="237" t="s">
        <v>125</v>
      </c>
      <c r="R26" s="240" t="s">
        <v>45</v>
      </c>
    </row>
    <row r="27" spans="1:21" ht="16.5" customHeight="1" thickBot="1">
      <c r="A27" s="243"/>
      <c r="B27" s="298">
        <v>23</v>
      </c>
      <c r="C27" s="299" t="s">
        <v>81</v>
      </c>
      <c r="D27" s="324" t="s">
        <v>219</v>
      </c>
      <c r="E27" s="301" t="s">
        <v>220</v>
      </c>
      <c r="F27" s="325" t="s">
        <v>221</v>
      </c>
      <c r="G27" s="303"/>
      <c r="H27" s="304"/>
      <c r="I27" s="326" t="s">
        <v>178</v>
      </c>
      <c r="J27" s="305" t="s">
        <v>222</v>
      </c>
      <c r="K27" s="305" t="s">
        <v>222</v>
      </c>
      <c r="L27" s="306" t="s">
        <v>222</v>
      </c>
      <c r="M27" s="249" t="s">
        <v>206</v>
      </c>
      <c r="N27" s="307" t="s">
        <v>125</v>
      </c>
      <c r="O27" s="307" t="s">
        <v>125</v>
      </c>
      <c r="P27" s="307" t="s">
        <v>125</v>
      </c>
      <c r="Q27" s="307" t="s">
        <v>125</v>
      </c>
      <c r="R27" s="308" t="s">
        <v>45</v>
      </c>
    </row>
    <row r="28" spans="1:21" ht="16.5" customHeight="1">
      <c r="A28" s="250"/>
      <c r="B28" s="227">
        <v>24</v>
      </c>
      <c r="C28" s="251" t="s">
        <v>82</v>
      </c>
      <c r="D28" s="229" t="s">
        <v>194</v>
      </c>
      <c r="E28" s="252" t="s">
        <v>195</v>
      </c>
      <c r="F28" s="232"/>
      <c r="G28" s="232"/>
      <c r="H28" s="233"/>
      <c r="I28" s="247" t="s">
        <v>223</v>
      </c>
      <c r="J28" s="247" t="s">
        <v>196</v>
      </c>
      <c r="K28" s="247" t="s">
        <v>196</v>
      </c>
      <c r="L28" s="248" t="s">
        <v>196</v>
      </c>
      <c r="M28" s="236" t="s">
        <v>124</v>
      </c>
      <c r="N28" s="237" t="s">
        <v>125</v>
      </c>
      <c r="O28" s="237" t="s">
        <v>125</v>
      </c>
      <c r="P28" s="237" t="s">
        <v>125</v>
      </c>
      <c r="Q28" s="237" t="s">
        <v>125</v>
      </c>
      <c r="R28" s="240" t="s">
        <v>45</v>
      </c>
    </row>
    <row r="29" spans="1:21" ht="16.5" customHeight="1">
      <c r="A29" s="243"/>
      <c r="B29" s="227">
        <v>25</v>
      </c>
      <c r="C29" s="251" t="s">
        <v>84</v>
      </c>
      <c r="D29" s="229" t="s">
        <v>224</v>
      </c>
      <c r="E29" s="252" t="s">
        <v>225</v>
      </c>
      <c r="F29" s="232"/>
      <c r="G29" s="232"/>
      <c r="H29" s="233"/>
      <c r="I29" s="246" t="s">
        <v>226</v>
      </c>
      <c r="J29" s="247" t="s">
        <v>227</v>
      </c>
      <c r="K29" s="247" t="s">
        <v>227</v>
      </c>
      <c r="L29" s="248" t="s">
        <v>227</v>
      </c>
      <c r="M29" s="267" t="s">
        <v>124</v>
      </c>
      <c r="N29" s="237" t="s">
        <v>125</v>
      </c>
      <c r="O29" s="237" t="s">
        <v>125</v>
      </c>
      <c r="P29" s="237" t="s">
        <v>125</v>
      </c>
      <c r="Q29" s="237" t="s">
        <v>125</v>
      </c>
      <c r="R29" s="240" t="s">
        <v>45</v>
      </c>
    </row>
    <row r="30" spans="1:21" ht="16.5" customHeight="1">
      <c r="A30" s="286"/>
      <c r="B30" s="227">
        <v>26</v>
      </c>
      <c r="C30" s="251" t="s">
        <v>85</v>
      </c>
      <c r="D30" s="229" t="s">
        <v>228</v>
      </c>
      <c r="E30" s="244" t="s">
        <v>229</v>
      </c>
      <c r="F30" s="232"/>
      <c r="G30" s="232" t="s">
        <v>160</v>
      </c>
      <c r="H30" s="233"/>
      <c r="I30" s="246" t="s">
        <v>230</v>
      </c>
      <c r="J30" s="247" t="s">
        <v>231</v>
      </c>
      <c r="K30" s="247" t="s">
        <v>231</v>
      </c>
      <c r="L30" s="283" t="s">
        <v>230</v>
      </c>
      <c r="M30" s="249" t="s">
        <v>232</v>
      </c>
      <c r="N30" s="239" t="s">
        <v>137</v>
      </c>
      <c r="O30" s="237" t="s">
        <v>125</v>
      </c>
      <c r="P30" s="237" t="s">
        <v>125</v>
      </c>
      <c r="Q30" s="237" t="s">
        <v>125</v>
      </c>
      <c r="R30" s="240" t="s">
        <v>45</v>
      </c>
    </row>
    <row r="31" spans="1:21" ht="16.5" customHeight="1">
      <c r="A31" s="250"/>
      <c r="B31" s="296">
        <v>27</v>
      </c>
      <c r="C31" s="297" t="s">
        <v>86</v>
      </c>
      <c r="D31" s="229" t="s">
        <v>132</v>
      </c>
      <c r="E31" s="230"/>
      <c r="F31" s="231" t="s">
        <v>132</v>
      </c>
      <c r="G31" s="232"/>
      <c r="H31" s="233"/>
      <c r="I31" s="234" t="s">
        <v>192</v>
      </c>
      <c r="J31" s="234" t="s">
        <v>192</v>
      </c>
      <c r="K31" s="234" t="s">
        <v>192</v>
      </c>
      <c r="L31" s="253" t="s">
        <v>192</v>
      </c>
      <c r="M31" s="236" t="s">
        <v>124</v>
      </c>
      <c r="N31" s="237" t="s">
        <v>125</v>
      </c>
      <c r="O31" s="237" t="s">
        <v>125</v>
      </c>
      <c r="P31" s="237" t="s">
        <v>125</v>
      </c>
      <c r="Q31" s="237" t="s">
        <v>125</v>
      </c>
      <c r="R31" s="240" t="s">
        <v>45</v>
      </c>
    </row>
    <row r="32" spans="1:21" ht="16.5" customHeight="1">
      <c r="A32" s="226"/>
      <c r="B32" s="227">
        <v>28</v>
      </c>
      <c r="C32" s="228" t="s">
        <v>87</v>
      </c>
      <c r="D32" s="229" t="s">
        <v>185</v>
      </c>
      <c r="E32" s="230"/>
      <c r="F32" s="266" t="s">
        <v>217</v>
      </c>
      <c r="G32" s="232"/>
      <c r="H32" s="281" t="s">
        <v>218</v>
      </c>
      <c r="I32" s="234" t="s">
        <v>186</v>
      </c>
      <c r="J32" s="234" t="s">
        <v>187</v>
      </c>
      <c r="K32" s="234" t="s">
        <v>187</v>
      </c>
      <c r="L32" s="253" t="s">
        <v>187</v>
      </c>
      <c r="M32" s="236" t="s">
        <v>124</v>
      </c>
      <c r="N32" s="239" t="s">
        <v>233</v>
      </c>
      <c r="O32" s="237" t="s">
        <v>125</v>
      </c>
      <c r="P32" s="237" t="s">
        <v>125</v>
      </c>
      <c r="Q32" s="237" t="s">
        <v>125</v>
      </c>
      <c r="R32" s="240" t="s">
        <v>45</v>
      </c>
    </row>
    <row r="33" spans="1:19" ht="16.5" customHeight="1">
      <c r="A33" s="226"/>
      <c r="B33" s="227">
        <v>29</v>
      </c>
      <c r="C33" s="280" t="s">
        <v>88</v>
      </c>
      <c r="D33" s="311" t="s">
        <v>234</v>
      </c>
      <c r="E33" s="244" t="s">
        <v>235</v>
      </c>
      <c r="F33" s="245" t="s">
        <v>191</v>
      </c>
      <c r="G33" s="266" t="s">
        <v>236</v>
      </c>
      <c r="H33" s="233"/>
      <c r="I33" s="327" t="s">
        <v>237</v>
      </c>
      <c r="J33" s="327" t="s">
        <v>237</v>
      </c>
      <c r="K33" s="327" t="s">
        <v>237</v>
      </c>
      <c r="L33" s="328" t="s">
        <v>237</v>
      </c>
      <c r="M33" s="276" t="s">
        <v>206</v>
      </c>
      <c r="N33" s="239" t="s">
        <v>137</v>
      </c>
      <c r="O33" s="237" t="s">
        <v>125</v>
      </c>
      <c r="P33" s="237" t="s">
        <v>125</v>
      </c>
      <c r="Q33" s="237" t="s">
        <v>125</v>
      </c>
      <c r="R33" s="240" t="s">
        <v>45</v>
      </c>
    </row>
    <row r="34" spans="1:19" ht="16.5" customHeight="1">
      <c r="A34" s="243"/>
      <c r="B34" s="227">
        <v>30</v>
      </c>
      <c r="C34" s="280" t="s">
        <v>89</v>
      </c>
      <c r="D34" s="229" t="s">
        <v>238</v>
      </c>
      <c r="E34" s="244" t="s">
        <v>239</v>
      </c>
      <c r="F34" s="232"/>
      <c r="G34" s="232" t="s">
        <v>160</v>
      </c>
      <c r="H34" s="233"/>
      <c r="I34" s="246" t="s">
        <v>230</v>
      </c>
      <c r="J34" s="247" t="s">
        <v>231</v>
      </c>
      <c r="K34" s="247" t="s">
        <v>240</v>
      </c>
      <c r="L34" s="248" t="s">
        <v>240</v>
      </c>
      <c r="M34" s="249" t="s">
        <v>170</v>
      </c>
      <c r="N34" s="329" t="s">
        <v>241</v>
      </c>
      <c r="O34" s="237" t="s">
        <v>125</v>
      </c>
      <c r="P34" s="237" t="s">
        <v>125</v>
      </c>
      <c r="Q34" s="237" t="s">
        <v>125</v>
      </c>
      <c r="R34" s="240" t="s">
        <v>45</v>
      </c>
    </row>
    <row r="35" spans="1:19" ht="16.5" customHeight="1">
      <c r="A35" s="250"/>
      <c r="B35" s="227">
        <v>31</v>
      </c>
      <c r="C35" s="280" t="s">
        <v>91</v>
      </c>
      <c r="D35" s="229" t="s">
        <v>185</v>
      </c>
      <c r="E35" s="230"/>
      <c r="F35" s="266" t="s">
        <v>217</v>
      </c>
      <c r="G35" s="232"/>
      <c r="H35" s="281" t="s">
        <v>218</v>
      </c>
      <c r="I35" s="234" t="s">
        <v>186</v>
      </c>
      <c r="J35" s="234" t="s">
        <v>187</v>
      </c>
      <c r="K35" s="234" t="s">
        <v>187</v>
      </c>
      <c r="L35" s="253" t="s">
        <v>186</v>
      </c>
      <c r="M35" s="236" t="s">
        <v>124</v>
      </c>
      <c r="N35" s="239" t="s">
        <v>242</v>
      </c>
      <c r="O35" s="237" t="s">
        <v>125</v>
      </c>
      <c r="P35" s="237" t="s">
        <v>125</v>
      </c>
      <c r="Q35" s="237" t="s">
        <v>125</v>
      </c>
      <c r="R35" s="240" t="s">
        <v>45</v>
      </c>
    </row>
    <row r="36" spans="1:19" ht="16.5" customHeight="1">
      <c r="A36" s="250"/>
      <c r="B36" s="227">
        <v>32</v>
      </c>
      <c r="C36" s="280" t="s">
        <v>92</v>
      </c>
      <c r="D36" s="229" t="s">
        <v>243</v>
      </c>
      <c r="E36" s="244" t="s">
        <v>243</v>
      </c>
      <c r="F36" s="232"/>
      <c r="G36" s="232" t="s">
        <v>160</v>
      </c>
      <c r="H36" s="233"/>
      <c r="I36" s="234" t="s">
        <v>240</v>
      </c>
      <c r="J36" s="234" t="s">
        <v>240</v>
      </c>
      <c r="K36" s="234" t="s">
        <v>240</v>
      </c>
      <c r="L36" s="253" t="s">
        <v>240</v>
      </c>
      <c r="M36" s="236" t="s">
        <v>124</v>
      </c>
      <c r="N36" s="239" t="s">
        <v>137</v>
      </c>
      <c r="O36" s="237" t="s">
        <v>125</v>
      </c>
      <c r="P36" s="237" t="s">
        <v>125</v>
      </c>
      <c r="Q36" s="237" t="s">
        <v>125</v>
      </c>
      <c r="R36" s="240" t="s">
        <v>45</v>
      </c>
    </row>
    <row r="37" spans="1:19" ht="16.5" customHeight="1">
      <c r="A37" s="243"/>
      <c r="B37" s="256" t="s">
        <v>93</v>
      </c>
      <c r="C37" s="330" t="s">
        <v>94</v>
      </c>
      <c r="D37" s="229" t="s">
        <v>132</v>
      </c>
      <c r="E37" s="230"/>
      <c r="F37" s="231" t="s">
        <v>132</v>
      </c>
      <c r="G37" s="232"/>
      <c r="H37" s="233"/>
      <c r="I37" s="247" t="s">
        <v>192</v>
      </c>
      <c r="J37" s="247" t="s">
        <v>192</v>
      </c>
      <c r="K37" s="247" t="s">
        <v>192</v>
      </c>
      <c r="L37" s="248" t="s">
        <v>192</v>
      </c>
      <c r="M37" s="236" t="s">
        <v>124</v>
      </c>
      <c r="N37" s="239" t="s">
        <v>137</v>
      </c>
      <c r="O37" s="237" t="s">
        <v>125</v>
      </c>
      <c r="P37" s="237" t="s">
        <v>125</v>
      </c>
      <c r="Q37" s="237" t="s">
        <v>125</v>
      </c>
      <c r="R37" s="240" t="s">
        <v>45</v>
      </c>
      <c r="S37" s="331" t="s">
        <v>244</v>
      </c>
    </row>
    <row r="38" spans="1:19" ht="16.5" customHeight="1">
      <c r="A38" s="250"/>
      <c r="B38" s="227">
        <v>33</v>
      </c>
      <c r="C38" s="280" t="s">
        <v>97</v>
      </c>
      <c r="D38" s="311" t="s">
        <v>245</v>
      </c>
      <c r="E38" s="312" t="s">
        <v>246</v>
      </c>
      <c r="F38" s="232"/>
      <c r="G38" s="232" t="s">
        <v>160</v>
      </c>
      <c r="H38" s="233" t="s">
        <v>161</v>
      </c>
      <c r="I38" s="247" t="s">
        <v>247</v>
      </c>
      <c r="J38" s="247" t="s">
        <v>248</v>
      </c>
      <c r="K38" s="247" t="s">
        <v>248</v>
      </c>
      <c r="L38" s="248" t="s">
        <v>248</v>
      </c>
      <c r="M38" s="267" t="s">
        <v>124</v>
      </c>
      <c r="N38" s="239" t="s">
        <v>233</v>
      </c>
      <c r="O38" s="237" t="s">
        <v>125</v>
      </c>
      <c r="P38" s="237" t="s">
        <v>125</v>
      </c>
      <c r="Q38" s="237" t="s">
        <v>125</v>
      </c>
      <c r="R38" s="240" t="s">
        <v>45</v>
      </c>
    </row>
    <row r="39" spans="1:19" ht="16.5" customHeight="1" thickBot="1">
      <c r="A39" s="250"/>
      <c r="B39" s="298">
        <v>34</v>
      </c>
      <c r="C39" s="332" t="s">
        <v>98</v>
      </c>
      <c r="D39" s="300" t="s">
        <v>132</v>
      </c>
      <c r="E39" s="301"/>
      <c r="F39" s="302" t="s">
        <v>132</v>
      </c>
      <c r="G39" s="303"/>
      <c r="H39" s="304"/>
      <c r="I39" s="333" t="s">
        <v>192</v>
      </c>
      <c r="J39" s="333" t="s">
        <v>192</v>
      </c>
      <c r="K39" s="333" t="s">
        <v>192</v>
      </c>
      <c r="L39" s="334" t="s">
        <v>192</v>
      </c>
      <c r="M39" s="236" t="s">
        <v>124</v>
      </c>
      <c r="N39" s="335" t="s">
        <v>249</v>
      </c>
      <c r="O39" s="307" t="s">
        <v>125</v>
      </c>
      <c r="P39" s="307" t="s">
        <v>125</v>
      </c>
      <c r="Q39" s="307" t="s">
        <v>125</v>
      </c>
      <c r="R39" s="308" t="s">
        <v>45</v>
      </c>
    </row>
    <row r="40" spans="1:19" ht="16.5" customHeight="1" thickBot="1">
      <c r="B40" s="336">
        <f>COUNTA(B3:B39)</f>
        <v>37</v>
      </c>
      <c r="C40" s="337"/>
      <c r="D40" s="338" t="s">
        <v>250</v>
      </c>
      <c r="E40" s="339">
        <f>COUNTA(E3:E39)</f>
        <v>24</v>
      </c>
      <c r="F40" s="339">
        <f>COUNTA(F3:F39)</f>
        <v>19</v>
      </c>
      <c r="G40" s="339">
        <f>COUNTA(G3:G39)</f>
        <v>12</v>
      </c>
      <c r="H40" s="339">
        <f>COUNTA(H3:H39)</f>
        <v>9</v>
      </c>
      <c r="I40" s="336">
        <v>37</v>
      </c>
      <c r="J40" s="336">
        <v>35</v>
      </c>
      <c r="K40" s="336">
        <v>35</v>
      </c>
      <c r="L40" s="336">
        <v>33</v>
      </c>
      <c r="M40" s="340"/>
    </row>
    <row r="41" spans="1:19" ht="16.5" customHeight="1" thickBot="1">
      <c r="B41" s="342"/>
      <c r="C41" s="337"/>
      <c r="D41" s="343" t="s">
        <v>251</v>
      </c>
      <c r="E41" s="344">
        <v>9</v>
      </c>
      <c r="F41" s="344">
        <v>7</v>
      </c>
      <c r="G41" s="345"/>
      <c r="H41" s="345"/>
      <c r="I41" s="337"/>
      <c r="J41" s="346" t="s">
        <v>252</v>
      </c>
      <c r="K41" s="347" t="s">
        <v>253</v>
      </c>
      <c r="L41" s="348">
        <f>SUM(I40:L40)</f>
        <v>140</v>
      </c>
      <c r="M41" s="340"/>
    </row>
    <row r="42" spans="1:19" ht="16.5" customHeight="1">
      <c r="B42" s="342"/>
      <c r="D42" s="202"/>
      <c r="O42" s="206"/>
      <c r="P42" s="203"/>
      <c r="Q42" s="203"/>
      <c r="R42" s="203"/>
    </row>
    <row r="43" spans="1:19" ht="16.5" customHeight="1">
      <c r="B43" s="350" t="s">
        <v>254</v>
      </c>
      <c r="I43" s="350" t="s">
        <v>255</v>
      </c>
      <c r="O43" s="206"/>
      <c r="P43" s="203"/>
      <c r="Q43" s="203"/>
      <c r="R43" s="203"/>
    </row>
    <row r="44" spans="1:19" ht="16.5" customHeight="1">
      <c r="B44" s="351" t="s">
        <v>256</v>
      </c>
      <c r="I44" s="352" t="s">
        <v>257</v>
      </c>
    </row>
    <row r="45" spans="1:19" ht="16.5" customHeight="1">
      <c r="B45" s="351" t="s">
        <v>258</v>
      </c>
      <c r="I45" s="341" t="s">
        <v>259</v>
      </c>
    </row>
    <row r="46" spans="1:19" ht="16.5" customHeight="1">
      <c r="B46" s="351" t="s">
        <v>260</v>
      </c>
      <c r="I46" s="349" t="s">
        <v>261</v>
      </c>
    </row>
    <row r="47" spans="1:19" ht="16.5" customHeight="1">
      <c r="B47" s="351" t="s">
        <v>262</v>
      </c>
    </row>
    <row r="48" spans="1:19" ht="16.5" customHeight="1">
      <c r="B48" s="351" t="s">
        <v>263</v>
      </c>
      <c r="I48" s="350" t="s">
        <v>264</v>
      </c>
    </row>
    <row r="49" spans="2:9" ht="16.5" customHeight="1">
      <c r="B49" s="351" t="s">
        <v>265</v>
      </c>
      <c r="I49" s="353" t="s">
        <v>266</v>
      </c>
    </row>
    <row r="50" spans="2:9" ht="16.5" customHeight="1">
      <c r="B50" s="351" t="s">
        <v>267</v>
      </c>
      <c r="I50" s="354" t="s">
        <v>268</v>
      </c>
    </row>
    <row r="51" spans="2:9" ht="16.5" customHeight="1">
      <c r="B51" s="355" t="s">
        <v>269</v>
      </c>
      <c r="I51" s="354" t="s">
        <v>270</v>
      </c>
    </row>
    <row r="52" spans="2:9" ht="16.5" customHeight="1">
      <c r="B52" s="355" t="s">
        <v>271</v>
      </c>
    </row>
    <row r="53" spans="2:9" ht="16.5" customHeight="1">
      <c r="B53" s="355" t="s">
        <v>272</v>
      </c>
    </row>
    <row r="54" spans="2:9" ht="16.5" customHeight="1">
      <c r="B54" s="355" t="s">
        <v>273</v>
      </c>
    </row>
    <row r="55" spans="2:9" ht="16.5" customHeight="1">
      <c r="B55" s="356" t="s">
        <v>274</v>
      </c>
    </row>
    <row r="56" spans="2:9" ht="16.5" customHeight="1">
      <c r="B56" s="355" t="s">
        <v>275</v>
      </c>
    </row>
    <row r="57" spans="2:9" ht="16.5" customHeight="1">
      <c r="B57" s="355" t="s">
        <v>276</v>
      </c>
    </row>
    <row r="58" spans="2:9" ht="16.5" customHeight="1">
      <c r="B58" s="355" t="s">
        <v>277</v>
      </c>
    </row>
    <row r="59" spans="2:9" ht="16.5" customHeight="1">
      <c r="B59" s="351" t="s">
        <v>278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Si_4R</vt:lpstr>
      <vt:lpstr>Si_3R</vt:lpstr>
      <vt:lpstr>Si_2R</vt:lpstr>
      <vt:lpstr>Si_1R</vt:lpstr>
      <vt:lpstr>Se</vt:lpstr>
      <vt:lpstr>ADPs_140Si,Se,분석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최수진(환경공학부)</dc:creator>
  <cp:lastModifiedBy>최수진(환경공학부)</cp:lastModifiedBy>
  <dcterms:created xsi:type="dcterms:W3CDTF">2026-09-04T08:07:22Z</dcterms:created>
  <dcterms:modified xsi:type="dcterms:W3CDTF">2026-09-04T08:10:50Z</dcterms:modified>
</cp:coreProperties>
</file>