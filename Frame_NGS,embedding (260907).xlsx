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stechackr-my.sharepoint.com/personal/sujineeda_postech_ac_kr/Documents/학회/2026/ICAE/paper/"/>
    </mc:Choice>
  </mc:AlternateContent>
  <xr:revisionPtr revIDLastSave="639" documentId="8_{8FA9E7DD-83E0-4326-9857-E757EEEA8F5A}" xr6:coauthVersionLast="47" xr6:coauthVersionMax="47" xr10:uidLastSave="{CE1E6238-D78B-7748-B600-E5F84AF530AA}"/>
  <bookViews>
    <workbookView xWindow="0" yWindow="600" windowWidth="28800" windowHeight="18040" activeTab="1" xr2:uid="{05B644AA-31FF-4C98-95AB-980B1DBC3657}"/>
  </bookViews>
  <sheets>
    <sheet name="Sheet2" sheetId="2" r:id="rId1"/>
    <sheet name="Sheet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61" i="1" l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D70" i="1"/>
</calcChain>
</file>

<file path=xl/sharedStrings.xml><?xml version="1.0" encoding="utf-8"?>
<sst xmlns="http://schemas.openxmlformats.org/spreadsheetml/2006/main" count="294" uniqueCount="210">
  <si>
    <t>Introduction</t>
    <phoneticPr fontId="1" type="noConversion"/>
  </si>
  <si>
    <t>1) Background</t>
    <phoneticPr fontId="1" type="noConversion"/>
  </si>
  <si>
    <t xml:space="preserve">- 미생물 데이터와 같이 계층 구조 (Hierarchy)를 가진 데이터의 표현 학습 </t>
    <phoneticPr fontId="1" type="noConversion"/>
  </si>
  <si>
    <t>- 계층상 가까운 노드는 표현 공간에서도 가깝게 위치해야함</t>
    <phoneticPr fontId="1" type="noConversion"/>
  </si>
  <si>
    <t>- 혐기소화 미생물 특징: Bacteria, Archaea가 공존/상호의존하며 메탄 생성 메커니즘 이룸. 둘은 계통학적으로는 멀리 떨어져 있지만 이러한 관계로 인해 syntrophic relation을 갖는 bacteria 와 archaea 는 embedding space 에서 고유한 매핑 관계를 형성할 것</t>
    <phoneticPr fontId="1" type="noConversion"/>
  </si>
  <si>
    <t xml:space="preserve">- relative abundance 만 넣게 되면 미생물 군집 간의 관계성에 대한 정보 x, hierarchy가 고려되면 space 안에서 비슷한 미생물 군집이 비슷한 원인을 제공하여 결과를 제시 </t>
  </si>
  <si>
    <t>0) Dataset</t>
    <phoneticPr fontId="1" type="noConversion"/>
  </si>
  <si>
    <t>type</t>
    <phoneticPr fontId="1" type="noConversion"/>
  </si>
  <si>
    <t>nwk</t>
    <phoneticPr fontId="1" type="noConversion"/>
  </si>
  <si>
    <t>single domain</t>
    <phoneticPr fontId="1" type="noConversion"/>
  </si>
  <si>
    <t>root = BAC/ARC</t>
    <phoneticPr fontId="1" type="noConversion"/>
  </si>
  <si>
    <t>merged domain</t>
    <phoneticPr fontId="1" type="noConversion"/>
  </si>
  <si>
    <t>root = domain</t>
    <phoneticPr fontId="1" type="noConversion"/>
  </si>
  <si>
    <t>1) Stability indicator</t>
    <phoneticPr fontId="1" type="noConversion"/>
  </si>
  <si>
    <t>[result]</t>
    <phoneticPr fontId="1" type="noConversion"/>
  </si>
  <si>
    <t>imbalanced dataset handling in multi-output classification</t>
    <phoneticPr fontId="1" type="noConversion"/>
  </si>
  <si>
    <t>Indicator</t>
  </si>
  <si>
    <t>Parameter / Metric</t>
  </si>
  <si>
    <t>Normal Range</t>
  </si>
  <si>
    <t>Warning Flag Threshold</t>
  </si>
  <si>
    <t>Associated Risk</t>
  </si>
  <si>
    <t>ref</t>
    <phoneticPr fontId="1" type="noConversion"/>
  </si>
  <si>
    <t>Positive</t>
    <phoneticPr fontId="1" type="noConversion"/>
  </si>
  <si>
    <t>negative</t>
    <phoneticPr fontId="1" type="noConversion"/>
  </si>
  <si>
    <t>1) loss fucntion: nn.BCEWithLogitsLoss with pos_weight [1],[2]</t>
    <phoneticPr fontId="1" type="noConversion"/>
  </si>
  <si>
    <t>Acid-Base Balance</t>
  </si>
  <si>
    <t>pH</t>
    <phoneticPr fontId="1" type="noConversion"/>
  </si>
  <si>
    <t>6.8 – 7.8</t>
  </si>
  <si>
    <t>&lt; 6.5 or &gt; 8.0</t>
    <phoneticPr fontId="1" type="noConversion"/>
  </si>
  <si>
    <t>Souring or free ammonia toxicity</t>
  </si>
  <si>
    <t>[1]</t>
    <phoneticPr fontId="1" type="noConversion"/>
  </si>
  <si>
    <t>2) evaluation metrics: mcc, AUPR [3][4]</t>
    <phoneticPr fontId="1" type="noConversion"/>
  </si>
  <si>
    <t>Buffer Capacity</t>
  </si>
  <si>
    <t>TVFA/Alk</t>
    <phoneticPr fontId="1" type="noConversion"/>
  </si>
  <si>
    <t>&lt; 0.30</t>
    <phoneticPr fontId="1" type="noConversion"/>
  </si>
  <si>
    <t>&gt;=0.30</t>
    <phoneticPr fontId="1" type="noConversion"/>
  </si>
  <si>
    <t>Destruction of bicarbonate buffer</t>
  </si>
  <si>
    <t>[1],[2]</t>
    <phoneticPr fontId="1" type="noConversion"/>
  </si>
  <si>
    <t>Acid Accumulation</t>
  </si>
  <si>
    <t>HPr/Hac</t>
    <phoneticPr fontId="1" type="noConversion"/>
  </si>
  <si>
    <t>&lt; 1.0</t>
    <phoneticPr fontId="1" type="noConversion"/>
  </si>
  <si>
    <t>(&gt; 1.4 and HPr &gt; 0.1) or HPr &gt;=0.8</t>
    <phoneticPr fontId="1" type="noConversion"/>
  </si>
  <si>
    <t>Syntrophic acetogenesis failure</t>
  </si>
  <si>
    <t>[1],[3]</t>
    <phoneticPr fontId="1" type="noConversion"/>
  </si>
  <si>
    <r>
      <t>[1] Cui, Y., Jia, M., Lin, T. Y., Song, Y., &amp; Belongie, S. (2019, June). Class-balanced loss based on effective number of samples. In </t>
    </r>
    <r>
      <rPr>
        <i/>
        <sz val="10"/>
        <color rgb="FF222222"/>
        <rFont val="Arial"/>
        <family val="2"/>
      </rPr>
      <t>2019 IEEE/CVF conference on computer vision and pattern recognition (CVPR)</t>
    </r>
    <r>
      <rPr>
        <sz val="10"/>
        <color rgb="FF222222"/>
        <rFont val="Arial"/>
        <family val="2"/>
      </rPr>
      <t> (pp. 9260-9269). IEEE.</t>
    </r>
    <phoneticPr fontId="1" type="noConversion"/>
  </si>
  <si>
    <t>Ammonia Toxicity</t>
  </si>
  <si>
    <t>TAN</t>
    <phoneticPr fontId="1" type="noConversion"/>
  </si>
  <si>
    <t>&lt; 1,500mg/L</t>
    <phoneticPr fontId="1" type="noConversion"/>
  </si>
  <si>
    <t>&gt; 2,500 mg/L</t>
    <phoneticPr fontId="1" type="noConversion"/>
  </si>
  <si>
    <t>Methanogenic growth inhibition</t>
  </si>
  <si>
    <t>[3]</t>
    <phoneticPr fontId="1" type="noConversion"/>
  </si>
  <si>
    <t>[2] Lin, T. Y., Goyal, P., Girshick, R., He, K., &amp; Dollár, P. (2017). Focal loss for dense object detection. In Proceedings of the IEEE international conference on computer vision (pp. 2980-2988).</t>
    <phoneticPr fontId="1" type="noConversion"/>
  </si>
  <si>
    <t>Biogas Quality</t>
  </si>
  <si>
    <t>CH4</t>
    <phoneticPr fontId="1" type="noConversion"/>
  </si>
  <si>
    <t>55% - 70%</t>
    <phoneticPr fontId="1" type="noConversion"/>
  </si>
  <si>
    <t>&lt; 50%</t>
    <phoneticPr fontId="1" type="noConversion"/>
  </si>
  <si>
    <t>Shift to acidogenesis / gas loss</t>
  </si>
  <si>
    <t>[3] Richardson, E., Trevizani, R., Greenbaum, J. A., Carter, H., Nielsen, M., &amp; Peters, B. (2024). The receiver operating characteristic curve accurately assesses imbalanced datasets. Patterns, 5(6).</t>
    <phoneticPr fontId="1" type="noConversion"/>
  </si>
  <si>
    <t>challenge: imbalanced result</t>
    <phoneticPr fontId="1" type="noConversion"/>
  </si>
  <si>
    <t>[4] Chicco, D., &amp; Jurman, G. (2020). The advantages of the Matthews correlation coefficient (MCC) over F1 score and accuracy in binary classification evaluation. BMC genomics, 21(1), 6.</t>
    <phoneticPr fontId="1" type="noConversion"/>
  </si>
  <si>
    <t>[1] Boe, K., Batstone, D. J., Steyer, J.-P., &amp; Angelidaki, I. (2010). State indicators for monitoring the anaerobic digestion process. Water Research, 44(20), 5973–5980. https://doi.org/10.1016/j.watres.2010.07.043</t>
    <phoneticPr fontId="1" type="noConversion"/>
  </si>
  <si>
    <t>[2] Chen, L., Zheng, T., Cao, Q., Zhou, Y., Liu, X., &amp; Li, D. (2020). Early warning of instability during mesophilic anaerobic digestion of chicken manure. Applied Ecology and Environmental Research, 18(1), 331–343. https://doi.org/10.15666/aeer/1801_331343</t>
    <phoneticPr fontId="1" type="noConversion"/>
  </si>
  <si>
    <t>[3] Singh, A., Schnürer, A., Dolfing, J., &amp; Westerholm, M. (2023). Syntrophic entanglements for propionate and acetate oxidation under thermophilic and high-ammonia conditions. The ISME Journal, 17(11), 1966–1978. https://doi.org/10.1038/s41396-023-01504-y</t>
    <phoneticPr fontId="1" type="noConversion"/>
  </si>
  <si>
    <t>2) Benchmark model</t>
    <phoneticPr fontId="1" type="noConversion"/>
  </si>
  <si>
    <t>모델</t>
  </si>
  <si>
    <t xml:space="preserve">Model </t>
    <phoneticPr fontId="1" type="noConversion"/>
  </si>
  <si>
    <t>Hierarchy aware?</t>
    <phoneticPr fontId="1" type="noConversion"/>
  </si>
  <si>
    <t>BAC &amp; ARC association</t>
    <phoneticPr fontId="1" type="noConversion"/>
  </si>
  <si>
    <t>physicochemical</t>
    <phoneticPr fontId="1" type="noConversion"/>
  </si>
  <si>
    <t>genomic data</t>
    <phoneticPr fontId="1" type="noConversion"/>
  </si>
  <si>
    <t>remark</t>
    <phoneticPr fontId="1" type="noConversion"/>
  </si>
  <si>
    <t>1) 각각의 hierarchy 의 relative abundance</t>
  </si>
  <si>
    <t>Phylo-spec</t>
    <phoneticPr fontId="1" type="noConversion"/>
  </si>
  <si>
    <t>o</t>
    <phoneticPr fontId="1" type="noConversion"/>
  </si>
  <si>
    <t>x</t>
    <phoneticPr fontId="1" type="noConversion"/>
  </si>
  <si>
    <t>relative abundance, phylogenetic tree</t>
    <phoneticPr fontId="1" type="noConversion"/>
  </si>
  <si>
    <t>[4]</t>
    <phoneticPr fontId="1" type="noConversion"/>
  </si>
  <si>
    <t>tree -&gt; keep as live scaffold -&gt; 1D convolution</t>
    <phoneticPr fontId="1" type="noConversion"/>
  </si>
  <si>
    <t>2) hierarchy (tree) + relative abundance</t>
  </si>
  <si>
    <t>DeepPhylo</t>
    <phoneticPr fontId="1" type="noConversion"/>
  </si>
  <si>
    <t>[5]</t>
    <phoneticPr fontId="1" type="noConversion"/>
  </si>
  <si>
    <t xml:space="preserve">tree -&gt; distance matrix , PCA embedding </t>
    <phoneticPr fontId="1" type="noConversion"/>
  </si>
  <si>
    <t>3) hierahcy (tree) + BAC &amp; ARC relationship + relative abundance</t>
  </si>
  <si>
    <t>PopPhy-CNN</t>
    <phoneticPr fontId="1" type="noConversion"/>
  </si>
  <si>
    <t xml:space="preserve">o </t>
    <phoneticPr fontId="1" type="noConversion"/>
  </si>
  <si>
    <t>[6]</t>
    <phoneticPr fontId="1" type="noConversion"/>
  </si>
  <si>
    <t>tree -&gt; 2D image like matrix -&gt; 2D CNN</t>
    <phoneticPr fontId="1" type="noConversion"/>
  </si>
  <si>
    <t>Random forest</t>
    <phoneticPr fontId="1" type="noConversion"/>
  </si>
  <si>
    <t>relative abundance</t>
    <phoneticPr fontId="1" type="noConversion"/>
  </si>
  <si>
    <t>XGBoost</t>
    <phoneticPr fontId="1" type="noConversion"/>
  </si>
  <si>
    <t>GNN</t>
    <phoneticPr fontId="1" type="noConversion"/>
  </si>
  <si>
    <t>Result</t>
    <phoneticPr fontId="1" type="noConversion"/>
  </si>
  <si>
    <t>ARC</t>
  </si>
  <si>
    <t>BAC</t>
  </si>
  <si>
    <t>Evaluation metric for multiple output classification</t>
    <phoneticPr fontId="1" type="noConversion"/>
  </si>
  <si>
    <t>Flag</t>
  </si>
  <si>
    <t>AUPR</t>
  </si>
  <si>
    <t>MCC</t>
  </si>
  <si>
    <t>acid_base_balance</t>
  </si>
  <si>
    <t>buffer_capacity</t>
  </si>
  <si>
    <t>acid_accumulation</t>
  </si>
  <si>
    <t>ammonia_toxicity</t>
  </si>
  <si>
    <t>biogas_quality</t>
  </si>
  <si>
    <t>Macro-avg</t>
  </si>
  <si>
    <t>merged</t>
  </si>
  <si>
    <t>Model</t>
  </si>
  <si>
    <t>Accuracy</t>
  </si>
  <si>
    <t>ROC-AUC</t>
  </si>
  <si>
    <t>CNN</t>
  </si>
  <si>
    <t>0.6690 ± 0.0841</t>
  </si>
  <si>
    <t>0.0381 ± 0.1014</t>
  </si>
  <si>
    <t>0.6226 ± 0.1168</t>
  </si>
  <si>
    <t>0.2866 ± 0.0908</t>
  </si>
  <si>
    <t>MetaDR</t>
  </si>
  <si>
    <t>0.8135 ± 0.0595</t>
  </si>
  <si>
    <t>0.2606 ± 0.0943</t>
  </si>
  <si>
    <t>0.7440 ± 0.0415</t>
  </si>
  <si>
    <t>0.4673 ± 0.0587</t>
  </si>
  <si>
    <t>PMCNN</t>
  </si>
  <si>
    <t>0.8699 ± 0.0277</t>
  </si>
  <si>
    <t>0.2135 ± 0.1184</t>
  </si>
  <si>
    <t>0.6922 ± 0.1098</t>
  </si>
  <si>
    <t>0.3836 ± 0.1279</t>
  </si>
  <si>
    <t>RF</t>
  </si>
  <si>
    <t>0.9129 ± 0.0201</t>
  </si>
  <si>
    <t>0.1393 ± 0.0732</t>
  </si>
  <si>
    <t>0.8222 ± 0.0507</t>
  </si>
  <si>
    <t>0.5577 ± 0.0866</t>
  </si>
  <si>
    <t>DeepPhylo</t>
  </si>
  <si>
    <t>0.8841 ± 0.0285</t>
  </si>
  <si>
    <t>0.1885 ± 0.0661</t>
  </si>
  <si>
    <t>0.7956 ± 0.0150</t>
  </si>
  <si>
    <t>0.4665 ± 0.0808</t>
  </si>
  <si>
    <t>0.7257 ± 0.0666</t>
  </si>
  <si>
    <t>0.2134 ± 0.1181</t>
  </si>
  <si>
    <t>0.7625 ± 0.0959</t>
  </si>
  <si>
    <t>0.4690 ± 0.1691</t>
  </si>
  <si>
    <t>0.8743 ± 0.0411</t>
  </si>
  <si>
    <t>0.2781 ± 0.1427</t>
  </si>
  <si>
    <t>0.7969 ± 0.0787</t>
  </si>
  <si>
    <t>0.4196 ± 0.1039</t>
  </si>
  <si>
    <t>0.8871 ± 0.0245</t>
  </si>
  <si>
    <t>0.3341 ± 0.1723</t>
  </si>
  <si>
    <t>0.7852 ± 0.1174</t>
  </si>
  <si>
    <t>0.4618 ± 0.1632</t>
  </si>
  <si>
    <t>0.9271 ± 0.0228</t>
  </si>
  <si>
    <t>0.2693 ± 0.1307</t>
  </si>
  <si>
    <t>0.7887 ± 0.1105</t>
  </si>
  <si>
    <t>0.5190 ± 0.1469</t>
  </si>
  <si>
    <t>0.8857 ± 0.0326</t>
  </si>
  <si>
    <t>0.2516 ± 0.1950</t>
  </si>
  <si>
    <t>0.7865 ± 0.1271</t>
  </si>
  <si>
    <t>0.4377 ± 0.1426</t>
  </si>
  <si>
    <t>0.7517 ± 0.0632</t>
  </si>
  <si>
    <t>0.2446 ± 0.0573</t>
  </si>
  <si>
    <t>0.7659 ± 0.0314</t>
  </si>
  <si>
    <t>0.4285 ± 0.0541</t>
  </si>
  <si>
    <t>0.8685 ± 0.0341</t>
  </si>
  <si>
    <t>0.2291 ± 0.0395</t>
  </si>
  <si>
    <t>0.7563 ± 0.0395</t>
  </si>
  <si>
    <t>0.4172 ± 0.0738</t>
  </si>
  <si>
    <t>0.8942 ± 0.0187</t>
  </si>
  <si>
    <t>0.3039 ± 0.0793</t>
  </si>
  <si>
    <t>0.8034 ± 0.0288</t>
  </si>
  <si>
    <t>0.5234 ± 0.0439</t>
  </si>
  <si>
    <t>0.9216 ± 0.0243</t>
  </si>
  <si>
    <t>0.1735 ± 0.0612</t>
  </si>
  <si>
    <t>0.8214 ± 0.0602</t>
  </si>
  <si>
    <t>0.5477 ± 0.1261</t>
  </si>
  <si>
    <t>0.8901 ± 0.0353</t>
  </si>
  <si>
    <t>0.3307 ± 0.1393</t>
  </si>
  <si>
    <t>0.8076 ± 0.0645</t>
  </si>
  <si>
    <t>0.5287 ± 0.0926</t>
  </si>
  <si>
    <t>MetaDR</t>
    <phoneticPr fontId="1" type="noConversion"/>
  </si>
  <si>
    <t>RF</t>
    <phoneticPr fontId="1" type="noConversion"/>
  </si>
  <si>
    <t>Phylospec</t>
  </si>
  <si>
    <t>Phylospec</t>
    <phoneticPr fontId="1" type="noConversion"/>
  </si>
  <si>
    <t>PMCNN</t>
    <phoneticPr fontId="1" type="noConversion"/>
  </si>
  <si>
    <t>MCC</t>
    <phoneticPr fontId="1" type="noConversion"/>
  </si>
  <si>
    <t>AUPR</t>
    <phoneticPr fontId="1" type="noConversion"/>
  </si>
  <si>
    <t>ROC-AUC</t>
    <phoneticPr fontId="1" type="noConversion"/>
  </si>
  <si>
    <t>Phylum</t>
  </si>
  <si>
    <t>Class</t>
  </si>
  <si>
    <t>Order</t>
  </si>
  <si>
    <t>Family</t>
  </si>
  <si>
    <t>Genus</t>
  </si>
  <si>
    <t>Dataset</t>
  </si>
  <si>
    <t>−0.0514</t>
  </si>
  <si>
    <t>−0.0128</t>
  </si>
  <si>
    <t>−0.0357</t>
  </si>
  <si>
    <t>model candidates</t>
  </si>
  <si>
    <t>Random Forest</t>
  </si>
  <si>
    <t>KNN</t>
  </si>
  <si>
    <t>SVM</t>
  </si>
  <si>
    <t>NNET</t>
  </si>
  <si>
    <t>XGBoost</t>
  </si>
  <si>
    <t>GLMNET</t>
  </si>
  <si>
    <t>Phylum, Family</t>
  </si>
  <si>
    <t>Class, Order, Genus</t>
  </si>
  <si>
    <t xml:space="preserve">- MCC : optimized threshold for each target variable </t>
  </si>
  <si>
    <t>- F2 score: emphasize the Recall since FN is more 치명적 than FP when assessing digesters' state</t>
  </si>
  <si>
    <t>-&gt; simply grafting two top tips will give L=2 -&gt; larger distance than actual tips distance (1.35) -&gt; calibrate to L = (1.350 − mean_arc_tip_depth − mean_bac_tip_depth)/2</t>
  </si>
  <si>
    <t>- macro average</t>
  </si>
  <si>
    <t>- workflow : AUPR 기반 모델 선택 -&gt; 검증 시점 MCC 기반 threshold 최적화 -&gt; test data: multiple evaluation metrics</t>
  </si>
  <si>
    <t xml:space="preserve">- AUPR: threshold independent -&gt; good for baseline since if AUPR 상승중 but MCC 낮음 -&gt; 모델 성능은 좋지만 threshold 잘못 선택된 것; TN 수가 너무 커서 지표를 왜곡시키는 것 방지 since it neglects TN value, </t>
  </si>
  <si>
    <t>Relative 
abundance</t>
  </si>
  <si>
    <t>- low resolution at species level (~ 80% unclassified), high dimensional  =&gt; built trees, taxonomic classification at genus level</t>
  </si>
  <si>
    <t>- cross validation: small number of samples</t>
  </si>
  <si>
    <t>- Conventionally, when using genomic datasets as input features, many research made each feature variable independently {a1,a2,b1,b2 …}</t>
  </si>
  <si>
    <t>- this does not capture the relationship between taxon which can cause information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</si>
</sst>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b/>
      <sz val="11"/>
      <color theme="1"/>
      <name val="Aptos Narrow"/>
      <family val="3"/>
      <charset val="129"/>
      <scheme val="minor"/>
    </font>
    <font>
      <b/>
      <sz val="11"/>
      <color rgb="FFFF0000"/>
      <name val="Aptos Narrow"/>
      <family val="3"/>
      <charset val="129"/>
      <scheme val="minor"/>
    </font>
    <font>
      <sz val="10"/>
      <color rgb="FF222222"/>
      <name val="Arial"/>
      <family val="2"/>
    </font>
    <font>
      <i/>
      <sz val="10"/>
      <color rgb="FF222222"/>
      <name val="Arial"/>
      <family val="2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2"/>
      <charset val="129"/>
    </font>
    <font>
      <sz val="11"/>
      <name val="맑은 고딕"/>
      <family val="2"/>
      <charset val="129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D9D9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quotePrefix="1">
      <alignment vertical="center"/>
    </xf>
    <xf numFmtId="0" fontId="0" fillId="2" borderId="1" xfId="0" applyFill="1" applyBorder="1">
      <alignment vertical="center"/>
    </xf>
    <xf numFmtId="0" fontId="0" fillId="2" borderId="0" xfId="0" applyFill="1">
      <alignment vertical="center"/>
    </xf>
    <xf numFmtId="0" fontId="6" fillId="4" borderId="1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0" fillId="0" borderId="2" xfId="0" applyBorder="1" applyAlignment="1"/>
    <xf numFmtId="0" fontId="6" fillId="4" borderId="2" xfId="0" applyFont="1" applyFill="1" applyBorder="1" applyAlignment="1"/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6" fillId="4" borderId="3" xfId="0" applyNumberFormat="1" applyFont="1" applyFill="1" applyBorder="1" applyAlignment="1">
      <alignment horizontal="center" vertical="center"/>
    </xf>
    <xf numFmtId="2" fontId="7" fillId="4" borderId="3" xfId="0" applyNumberFormat="1" applyFont="1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2" fontId="7" fillId="4" borderId="4" xfId="0" applyNumberFormat="1" applyFont="1" applyFill="1" applyBorder="1" applyAlignment="1">
      <alignment horizontal="center" vertical="center"/>
    </xf>
    <xf numFmtId="2" fontId="7" fillId="4" borderId="5" xfId="0" applyNumberFormat="1" applyFont="1" applyFill="1" applyBorder="1" applyAlignment="1">
      <alignment horizontal="center" vertical="center"/>
    </xf>
    <xf numFmtId="2" fontId="7" fillId="4" borderId="6" xfId="0" applyNumberFormat="1" applyFont="1" applyFill="1" applyBorder="1" applyAlignment="1">
      <alignment horizontal="center" vertical="center"/>
    </xf>
    <xf numFmtId="2" fontId="7" fillId="4" borderId="7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/>
    <xf numFmtId="2" fontId="8" fillId="4" borderId="1" xfId="0" applyNumberFormat="1" applyFont="1" applyFill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2" fontId="8" fillId="4" borderId="3" xfId="0" applyNumberFormat="1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9" fillId="4" borderId="3" xfId="0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6" fillId="0" borderId="1" xfId="0" applyFont="1" applyBorder="1" applyAlignment="1">
      <alignment horizontal="center" vertical="center" wrapText="1"/>
    </xf>
    <xf numFmtId="0" fontId="11" fillId="0" borderId="0" xfId="0" quotePrefix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85</xdr:row>
      <xdr:rowOff>0</xdr:rowOff>
    </xdr:from>
    <xdr:to>
      <xdr:col>29</xdr:col>
      <xdr:colOff>77304</xdr:colOff>
      <xdr:row>118</xdr:row>
      <xdr:rowOff>103809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A2BCE9-247E-F2F0-C863-81FF779A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27652" y="14544261"/>
          <a:ext cx="6858000" cy="6299200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695738</xdr:colOff>
      <xdr:row>17</xdr:row>
      <xdr:rowOff>85563</xdr:rowOff>
    </xdr:from>
    <xdr:to>
      <xdr:col>21</xdr:col>
      <xdr:colOff>430696</xdr:colOff>
      <xdr:row>24</xdr:row>
      <xdr:rowOff>98958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E8DDFB0-B4BA-0E40-F19B-736650910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36173" y="2526172"/>
          <a:ext cx="3213653" cy="1327569"/>
        </a:xfrm>
        <a:prstGeom prst="rect">
          <a:avLst/>
        </a:prstGeom>
      </xdr:spPr>
    </xdr:pic>
    <xdr:clientData/>
  </xdr:twoCellAnchor>
  <xdr:twoCellAnchor editAs="oneCell">
    <xdr:from>
      <xdr:col>10</xdr:col>
      <xdr:colOff>165652</xdr:colOff>
      <xdr:row>10</xdr:row>
      <xdr:rowOff>187737</xdr:rowOff>
    </xdr:from>
    <xdr:to>
      <xdr:col>15</xdr:col>
      <xdr:colOff>554037</xdr:colOff>
      <xdr:row>18</xdr:row>
      <xdr:rowOff>187739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3F4F8D-D3AB-5F73-4F08-13D0E2323B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6549"/>
        <a:stretch>
          <a:fillRect/>
        </a:stretch>
      </xdr:blipFill>
      <xdr:spPr>
        <a:xfrm>
          <a:off x="7531652" y="2065128"/>
          <a:ext cx="3867081" cy="1501915"/>
        </a:xfrm>
        <a:prstGeom prst="rect">
          <a:avLst/>
        </a:prstGeom>
      </xdr:spPr>
    </xdr:pic>
    <xdr:clientData/>
  </xdr:twoCellAnchor>
  <xdr:twoCellAnchor editAs="oneCell">
    <xdr:from>
      <xdr:col>16</xdr:col>
      <xdr:colOff>220869</xdr:colOff>
      <xdr:row>12</xdr:row>
      <xdr:rowOff>165651</xdr:rowOff>
    </xdr:from>
    <xdr:to>
      <xdr:col>21</xdr:col>
      <xdr:colOff>609255</xdr:colOff>
      <xdr:row>23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C52DA8C-A25A-7746-9E38-2D9D85C922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5048"/>
        <a:stretch>
          <a:fillRect/>
        </a:stretch>
      </xdr:blipFill>
      <xdr:spPr>
        <a:xfrm>
          <a:off x="11761304" y="2418521"/>
          <a:ext cx="3867081" cy="18994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BB020F-68C0-4CF9-8F4D-96E26355C8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e7e7687-c606-4748-af19-eda62392655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267A-5893-4DAC-B383-E26E2177278B}">
  <dimension ref="A1"/>
  <sheetViews>
    <sheetView workbookViewId="0"/>
  </sheetViews>
  <sheetFormatPr baseColWidth="10" defaultColWidth="8.83203125" defaultRowHeight="15"/>
  <sheetData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18C2B-52AC-4F8B-B0B8-4A3A16344E12}">
  <dimension ref="B2:U107"/>
  <sheetViews>
    <sheetView tabSelected="1" topLeftCell="A4" zoomScale="115" zoomScaleNormal="115" workbookViewId="0">
      <selection activeCell="Q13" sqref="Q13"/>
    </sheetView>
  </sheetViews>
  <sheetFormatPr baseColWidth="10" defaultColWidth="8.83203125" defaultRowHeight="15"/>
  <cols>
    <col min="1" max="1" width="3" customWidth="1"/>
    <col min="2" max="2" width="14.1640625" customWidth="1"/>
    <col min="3" max="3" width="15.5" customWidth="1"/>
    <col min="4" max="21" width="9.1640625" customWidth="1"/>
  </cols>
  <sheetData>
    <row r="2" spans="2:2">
      <c r="B2" s="2" t="s">
        <v>0</v>
      </c>
    </row>
    <row r="3" spans="2:2">
      <c r="B3" t="s">
        <v>1</v>
      </c>
    </row>
    <row r="4" spans="2:2">
      <c r="B4" s="4" t="s">
        <v>208</v>
      </c>
    </row>
    <row r="5" spans="2:2">
      <c r="B5" s="4" t="s">
        <v>209</v>
      </c>
    </row>
    <row r="8" spans="2:2">
      <c r="B8" s="4" t="s">
        <v>2</v>
      </c>
    </row>
    <row r="9" spans="2:2">
      <c r="B9" s="4" t="s">
        <v>3</v>
      </c>
    </row>
    <row r="10" spans="2:2">
      <c r="B10" s="4" t="s">
        <v>4</v>
      </c>
    </row>
    <row r="11" spans="2:2">
      <c r="B11" s="4" t="s">
        <v>5</v>
      </c>
    </row>
    <row r="13" spans="2:2">
      <c r="B13" s="2" t="s">
        <v>6</v>
      </c>
    </row>
    <row r="14" spans="2:2">
      <c r="B14" s="37" t="s">
        <v>206</v>
      </c>
    </row>
    <row r="15" spans="2:2">
      <c r="B15" s="2"/>
    </row>
    <row r="16" spans="2:2">
      <c r="B16" s="2"/>
    </row>
    <row r="17" spans="2:12">
      <c r="B17" s="1" t="s">
        <v>7</v>
      </c>
      <c r="C17" s="1" t="s">
        <v>8</v>
      </c>
    </row>
    <row r="18" spans="2:12">
      <c r="B18" s="1" t="s">
        <v>9</v>
      </c>
      <c r="C18" s="1" t="s">
        <v>10</v>
      </c>
    </row>
    <row r="19" spans="2:12">
      <c r="B19" s="1" t="s">
        <v>11</v>
      </c>
      <c r="C19" s="1" t="s">
        <v>12</v>
      </c>
      <c r="D19" s="4" t="s">
        <v>201</v>
      </c>
    </row>
    <row r="22" spans="2:12">
      <c r="B22" s="2" t="s">
        <v>13</v>
      </c>
      <c r="I22" t="s">
        <v>14</v>
      </c>
      <c r="L22" s="2" t="s">
        <v>15</v>
      </c>
    </row>
    <row r="23" spans="2:12">
      <c r="B23" s="1" t="s">
        <v>16</v>
      </c>
      <c r="C23" s="1" t="s">
        <v>17</v>
      </c>
      <c r="D23" s="1" t="s">
        <v>18</v>
      </c>
      <c r="E23" s="1" t="s">
        <v>19</v>
      </c>
      <c r="F23" s="1" t="s">
        <v>20</v>
      </c>
      <c r="G23" s="1" t="s">
        <v>21</v>
      </c>
      <c r="I23" s="1" t="s">
        <v>22</v>
      </c>
      <c r="J23" s="1" t="s">
        <v>23</v>
      </c>
      <c r="L23" t="s">
        <v>24</v>
      </c>
    </row>
    <row r="24" spans="2:12">
      <c r="B24" s="1" t="s">
        <v>25</v>
      </c>
      <c r="C24" s="1" t="s">
        <v>26</v>
      </c>
      <c r="D24" s="1" t="s">
        <v>27</v>
      </c>
      <c r="E24" s="1" t="s">
        <v>28</v>
      </c>
      <c r="F24" s="1" t="s">
        <v>29</v>
      </c>
      <c r="G24" s="1" t="s">
        <v>30</v>
      </c>
      <c r="I24" s="1">
        <v>21</v>
      </c>
      <c r="J24" s="1">
        <v>119</v>
      </c>
      <c r="L24" t="s">
        <v>31</v>
      </c>
    </row>
    <row r="25" spans="2:12">
      <c r="B25" s="5" t="s">
        <v>32</v>
      </c>
      <c r="C25" s="5" t="s">
        <v>33</v>
      </c>
      <c r="D25" s="5" t="s">
        <v>34</v>
      </c>
      <c r="E25" s="5" t="s">
        <v>35</v>
      </c>
      <c r="F25" s="5" t="s">
        <v>36</v>
      </c>
      <c r="G25" s="5" t="s">
        <v>37</v>
      </c>
      <c r="H25" s="6"/>
      <c r="I25" s="5">
        <v>9</v>
      </c>
      <c r="J25" s="5">
        <v>131</v>
      </c>
    </row>
    <row r="26" spans="2:12">
      <c r="B26" s="1" t="s">
        <v>38</v>
      </c>
      <c r="C26" s="1" t="s">
        <v>39</v>
      </c>
      <c r="D26" s="1" t="s">
        <v>40</v>
      </c>
      <c r="E26" s="1" t="s">
        <v>41</v>
      </c>
      <c r="F26" s="1" t="s">
        <v>42</v>
      </c>
      <c r="G26" s="1" t="s">
        <v>43</v>
      </c>
      <c r="I26" s="1">
        <v>4</v>
      </c>
      <c r="J26" s="1">
        <v>136</v>
      </c>
      <c r="L26" t="s">
        <v>44</v>
      </c>
    </row>
    <row r="27" spans="2:12">
      <c r="B27" s="1" t="s">
        <v>45</v>
      </c>
      <c r="C27" s="1" t="s">
        <v>46</v>
      </c>
      <c r="D27" s="1" t="s">
        <v>47</v>
      </c>
      <c r="E27" s="1" t="s">
        <v>48</v>
      </c>
      <c r="F27" s="1" t="s">
        <v>49</v>
      </c>
      <c r="G27" s="1" t="s">
        <v>50</v>
      </c>
      <c r="I27" s="1">
        <v>26</v>
      </c>
      <c r="J27" s="1">
        <v>114</v>
      </c>
      <c r="L27" t="s">
        <v>51</v>
      </c>
    </row>
    <row r="28" spans="2:12">
      <c r="B28" s="1" t="s">
        <v>52</v>
      </c>
      <c r="C28" s="1" t="s">
        <v>53</v>
      </c>
      <c r="D28" s="1" t="s">
        <v>54</v>
      </c>
      <c r="E28" s="1" t="s">
        <v>55</v>
      </c>
      <c r="F28" s="1" t="s">
        <v>56</v>
      </c>
      <c r="G28" s="1" t="s">
        <v>30</v>
      </c>
      <c r="I28" s="1">
        <v>7</v>
      </c>
      <c r="J28" s="1">
        <v>133</v>
      </c>
      <c r="L28" t="s">
        <v>57</v>
      </c>
    </row>
    <row r="29" spans="2:12">
      <c r="I29" s="3" t="s">
        <v>58</v>
      </c>
      <c r="L29" t="s">
        <v>59</v>
      </c>
    </row>
    <row r="30" spans="2:12">
      <c r="B30" s="2" t="s">
        <v>21</v>
      </c>
    </row>
    <row r="31" spans="2:12">
      <c r="B31" t="s">
        <v>60</v>
      </c>
    </row>
    <row r="32" spans="2:12">
      <c r="B32" t="s">
        <v>61</v>
      </c>
    </row>
    <row r="33" spans="2:15">
      <c r="B33" t="s">
        <v>62</v>
      </c>
    </row>
    <row r="35" spans="2:15">
      <c r="B35" s="2" t="s">
        <v>63</v>
      </c>
      <c r="O35" t="s">
        <v>64</v>
      </c>
    </row>
    <row r="36" spans="2:15">
      <c r="B36" t="s">
        <v>65</v>
      </c>
      <c r="C36" t="s">
        <v>66</v>
      </c>
      <c r="D36" t="s">
        <v>67</v>
      </c>
      <c r="E36" t="s">
        <v>68</v>
      </c>
      <c r="F36" t="s">
        <v>69</v>
      </c>
      <c r="G36" t="s">
        <v>21</v>
      </c>
      <c r="H36" t="s">
        <v>70</v>
      </c>
      <c r="O36" t="s">
        <v>71</v>
      </c>
    </row>
    <row r="37" spans="2:15">
      <c r="B37" t="s">
        <v>72</v>
      </c>
      <c r="C37" t="s">
        <v>73</v>
      </c>
      <c r="D37" t="s">
        <v>74</v>
      </c>
      <c r="E37" t="s">
        <v>74</v>
      </c>
      <c r="F37" t="s">
        <v>75</v>
      </c>
      <c r="G37" t="s">
        <v>76</v>
      </c>
      <c r="H37" t="s">
        <v>77</v>
      </c>
      <c r="O37" t="s">
        <v>78</v>
      </c>
    </row>
    <row r="38" spans="2:15">
      <c r="B38" t="s">
        <v>79</v>
      </c>
      <c r="C38" t="s">
        <v>73</v>
      </c>
      <c r="D38" t="s">
        <v>74</v>
      </c>
      <c r="E38" t="s">
        <v>74</v>
      </c>
      <c r="F38" t="s">
        <v>75</v>
      </c>
      <c r="G38" t="s">
        <v>80</v>
      </c>
      <c r="H38" t="s">
        <v>81</v>
      </c>
      <c r="O38" t="s">
        <v>82</v>
      </c>
    </row>
    <row r="39" spans="2:15">
      <c r="B39" t="s">
        <v>83</v>
      </c>
      <c r="C39" t="s">
        <v>84</v>
      </c>
      <c r="D39" t="s">
        <v>74</v>
      </c>
      <c r="E39" t="s">
        <v>74</v>
      </c>
      <c r="F39" t="s">
        <v>75</v>
      </c>
      <c r="G39" t="s">
        <v>85</v>
      </c>
      <c r="H39" t="s">
        <v>86</v>
      </c>
    </row>
    <row r="40" spans="2:15">
      <c r="B40" t="s">
        <v>87</v>
      </c>
      <c r="C40" t="s">
        <v>74</v>
      </c>
      <c r="D40" t="s">
        <v>74</v>
      </c>
      <c r="F40" t="s">
        <v>88</v>
      </c>
    </row>
    <row r="41" spans="2:15">
      <c r="B41" t="s">
        <v>89</v>
      </c>
      <c r="C41" t="s">
        <v>74</v>
      </c>
      <c r="D41" t="s">
        <v>74</v>
      </c>
      <c r="F41" t="s">
        <v>88</v>
      </c>
    </row>
    <row r="42" spans="2:15">
      <c r="B42" t="s">
        <v>90</v>
      </c>
      <c r="C42" t="s">
        <v>74</v>
      </c>
      <c r="D42" t="s">
        <v>73</v>
      </c>
      <c r="F42" t="s">
        <v>88</v>
      </c>
    </row>
    <row r="44" spans="2:15">
      <c r="B44" s="2" t="s">
        <v>94</v>
      </c>
    </row>
    <row r="45" spans="2:15">
      <c r="B45" s="37" t="s">
        <v>207</v>
      </c>
    </row>
    <row r="46" spans="2:15">
      <c r="B46" s="4" t="s">
        <v>199</v>
      </c>
    </row>
    <row r="47" spans="2:15">
      <c r="B47" s="4" t="s">
        <v>200</v>
      </c>
    </row>
    <row r="48" spans="2:15">
      <c r="B48" s="4" t="s">
        <v>204</v>
      </c>
    </row>
    <row r="49" spans="2:21">
      <c r="B49" s="4" t="s">
        <v>202</v>
      </c>
    </row>
    <row r="50" spans="2:21">
      <c r="B50" s="4" t="s">
        <v>203</v>
      </c>
    </row>
    <row r="52" spans="2:21">
      <c r="B52" s="2" t="s">
        <v>91</v>
      </c>
    </row>
    <row r="53" spans="2:21" ht="16" thickBot="1"/>
    <row r="54" spans="2:21">
      <c r="B54" s="23" t="s">
        <v>186</v>
      </c>
      <c r="C54" s="24" t="s">
        <v>95</v>
      </c>
      <c r="D54" s="25" t="s">
        <v>178</v>
      </c>
      <c r="E54" s="26"/>
      <c r="F54" s="26"/>
      <c r="G54" s="26"/>
      <c r="H54" s="26"/>
      <c r="I54" s="25" t="s">
        <v>179</v>
      </c>
      <c r="J54" s="26"/>
      <c r="K54" s="26"/>
      <c r="L54" s="26"/>
      <c r="M54" s="26"/>
      <c r="N54" s="25" t="s">
        <v>180</v>
      </c>
      <c r="O54" s="26"/>
      <c r="P54" s="26"/>
      <c r="Q54" s="26"/>
      <c r="R54" s="27"/>
      <c r="T54" s="35" t="s">
        <v>190</v>
      </c>
    </row>
    <row r="55" spans="2:21" ht="17">
      <c r="B55" s="23"/>
      <c r="C55" s="24"/>
      <c r="D55" s="12" t="s">
        <v>181</v>
      </c>
      <c r="E55" s="7" t="s">
        <v>182</v>
      </c>
      <c r="F55" s="7" t="s">
        <v>183</v>
      </c>
      <c r="G55" s="7" t="s">
        <v>184</v>
      </c>
      <c r="H55" s="7" t="s">
        <v>185</v>
      </c>
      <c r="I55" s="12" t="s">
        <v>181</v>
      </c>
      <c r="J55" s="7" t="s">
        <v>182</v>
      </c>
      <c r="K55" s="7" t="s">
        <v>183</v>
      </c>
      <c r="L55" s="7" t="s">
        <v>184</v>
      </c>
      <c r="M55" s="7" t="s">
        <v>185</v>
      </c>
      <c r="N55" s="12" t="s">
        <v>181</v>
      </c>
      <c r="O55" s="7" t="s">
        <v>182</v>
      </c>
      <c r="P55" s="7" t="s">
        <v>183</v>
      </c>
      <c r="Q55" s="7" t="s">
        <v>184</v>
      </c>
      <c r="R55" s="7" t="s">
        <v>185</v>
      </c>
      <c r="T55" t="s">
        <v>191</v>
      </c>
    </row>
    <row r="56" spans="2:21">
      <c r="B56" s="36" t="s">
        <v>205</v>
      </c>
      <c r="C56" s="10" t="s">
        <v>99</v>
      </c>
      <c r="D56" s="14">
        <v>0</v>
      </c>
      <c r="E56" s="8">
        <v>0</v>
      </c>
      <c r="F56" s="8">
        <v>0.47249999999999998</v>
      </c>
      <c r="G56" s="8">
        <v>0</v>
      </c>
      <c r="H56" s="8">
        <v>0</v>
      </c>
      <c r="I56" s="14">
        <v>3.3300000000000003E-2</v>
      </c>
      <c r="J56" s="8">
        <v>0.25</v>
      </c>
      <c r="K56" s="8">
        <v>0.25</v>
      </c>
      <c r="L56" s="8">
        <v>1</v>
      </c>
      <c r="M56" s="8">
        <v>3.85E-2</v>
      </c>
      <c r="N56" s="14">
        <v>0.5</v>
      </c>
      <c r="O56" s="8">
        <v>0.96430000000000005</v>
      </c>
      <c r="P56" s="8">
        <v>0.96430000000000005</v>
      </c>
      <c r="Q56" s="8">
        <v>1</v>
      </c>
      <c r="R56" s="15">
        <v>0.57140000000000002</v>
      </c>
      <c r="T56" t="s">
        <v>192</v>
      </c>
    </row>
    <row r="57" spans="2:21">
      <c r="B57" s="29"/>
      <c r="C57" s="10" t="s">
        <v>98</v>
      </c>
      <c r="D57" s="14">
        <v>0.27500000000000002</v>
      </c>
      <c r="E57" s="8" t="s">
        <v>188</v>
      </c>
      <c r="F57" s="8">
        <v>0.23599999999999999</v>
      </c>
      <c r="G57" s="8">
        <v>0.23599999999999999</v>
      </c>
      <c r="H57" s="8">
        <v>0.23599999999999999</v>
      </c>
      <c r="I57" s="14">
        <v>0.32929999999999998</v>
      </c>
      <c r="J57" s="8">
        <v>0.2258</v>
      </c>
      <c r="K57" s="8">
        <v>0.28249999999999997</v>
      </c>
      <c r="L57" s="8">
        <v>0.30890000000000001</v>
      </c>
      <c r="M57" s="8">
        <v>0.57120000000000004</v>
      </c>
      <c r="N57" s="14">
        <v>0.70830000000000004</v>
      </c>
      <c r="O57" s="8">
        <v>0.66669999999999996</v>
      </c>
      <c r="P57" s="8">
        <v>0.73329999999999995</v>
      </c>
      <c r="Q57" s="8">
        <v>0.68330000000000002</v>
      </c>
      <c r="R57" s="15">
        <v>0.875</v>
      </c>
      <c r="T57" t="s">
        <v>193</v>
      </c>
    </row>
    <row r="58" spans="2:21">
      <c r="B58" s="29"/>
      <c r="C58" s="10" t="s">
        <v>100</v>
      </c>
      <c r="D58" s="14">
        <v>1</v>
      </c>
      <c r="E58" s="8">
        <v>0</v>
      </c>
      <c r="F58" s="8">
        <v>0</v>
      </c>
      <c r="G58" s="8" t="s">
        <v>189</v>
      </c>
      <c r="H58" s="8">
        <v>0.41399999999999998</v>
      </c>
      <c r="I58" s="14">
        <v>1</v>
      </c>
      <c r="J58" s="8">
        <v>0.25</v>
      </c>
      <c r="K58" s="8">
        <v>1</v>
      </c>
      <c r="L58" s="8">
        <v>3.3300000000000003E-2</v>
      </c>
      <c r="M58" s="8">
        <v>1</v>
      </c>
      <c r="N58" s="14">
        <v>1</v>
      </c>
      <c r="O58" s="8">
        <v>0.96430000000000005</v>
      </c>
      <c r="P58" s="8">
        <v>1</v>
      </c>
      <c r="Q58" s="8">
        <v>0.5</v>
      </c>
      <c r="R58" s="15">
        <v>1</v>
      </c>
      <c r="T58" t="s">
        <v>194</v>
      </c>
      <c r="U58" t="s">
        <v>197</v>
      </c>
    </row>
    <row r="59" spans="2:21">
      <c r="B59" s="29"/>
      <c r="C59" s="10" t="s">
        <v>101</v>
      </c>
      <c r="D59" s="14">
        <v>0.70909999999999995</v>
      </c>
      <c r="E59" s="8">
        <v>0.70909999999999995</v>
      </c>
      <c r="F59" s="8">
        <v>0.78320000000000001</v>
      </c>
      <c r="G59" s="8">
        <v>0.87639999999999996</v>
      </c>
      <c r="H59" s="8">
        <v>0.78320000000000001</v>
      </c>
      <c r="I59" s="14">
        <v>0.43809999999999999</v>
      </c>
      <c r="J59" s="8">
        <v>0.62560000000000004</v>
      </c>
      <c r="K59" s="8">
        <v>0.83540000000000003</v>
      </c>
      <c r="L59" s="8">
        <v>0.87080000000000002</v>
      </c>
      <c r="M59" s="8">
        <v>0.54379999999999995</v>
      </c>
      <c r="N59" s="14">
        <v>0.92</v>
      </c>
      <c r="O59" s="8">
        <v>0.93</v>
      </c>
      <c r="P59" s="8">
        <v>0.97</v>
      </c>
      <c r="Q59" s="8">
        <v>0.98</v>
      </c>
      <c r="R59" s="15">
        <v>0.95</v>
      </c>
      <c r="T59" t="s">
        <v>195</v>
      </c>
    </row>
    <row r="60" spans="2:21">
      <c r="B60" s="29"/>
      <c r="C60" s="10" t="s">
        <v>102</v>
      </c>
      <c r="D60" s="31" t="s">
        <v>187</v>
      </c>
      <c r="E60" s="8">
        <v>0</v>
      </c>
      <c r="F60" s="8">
        <v>0</v>
      </c>
      <c r="G60" s="8">
        <v>0.46300000000000002</v>
      </c>
      <c r="H60" s="8">
        <v>0</v>
      </c>
      <c r="I60" s="14">
        <v>6.5799999999999997E-2</v>
      </c>
      <c r="J60" s="8">
        <v>0.70830000000000004</v>
      </c>
      <c r="K60" s="8">
        <v>0.1729</v>
      </c>
      <c r="L60" s="8">
        <v>0.33329999999999999</v>
      </c>
      <c r="M60" s="8">
        <v>0.1613</v>
      </c>
      <c r="N60" s="14">
        <v>0.5</v>
      </c>
      <c r="O60" s="8">
        <v>0.96299999999999997</v>
      </c>
      <c r="P60" s="8">
        <v>0.72219999999999995</v>
      </c>
      <c r="Q60" s="8">
        <v>0.94440000000000002</v>
      </c>
      <c r="R60" s="15">
        <v>0.62960000000000005</v>
      </c>
      <c r="T60" t="s">
        <v>196</v>
      </c>
      <c r="U60" t="s">
        <v>198</v>
      </c>
    </row>
    <row r="61" spans="2:21" ht="18" thickBot="1">
      <c r="B61" s="29"/>
      <c r="C61" s="11" t="s">
        <v>103</v>
      </c>
      <c r="D61" s="32">
        <f>AVERAGE(D57:D60)</f>
        <v>0.66136666666666655</v>
      </c>
      <c r="E61" s="18">
        <f t="shared" ref="E61:R61" si="0">AVERAGE(E57:E60)</f>
        <v>0.23636666666666664</v>
      </c>
      <c r="F61" s="18">
        <f t="shared" si="0"/>
        <v>0.25480000000000003</v>
      </c>
      <c r="G61" s="9">
        <f t="shared" si="0"/>
        <v>0.52513333333333334</v>
      </c>
      <c r="H61" s="18">
        <f t="shared" si="0"/>
        <v>0.35829999999999995</v>
      </c>
      <c r="I61" s="34">
        <f t="shared" si="0"/>
        <v>0.45829999999999999</v>
      </c>
      <c r="J61" s="33">
        <f t="shared" si="0"/>
        <v>0.45242499999999997</v>
      </c>
      <c r="K61" s="30">
        <f t="shared" si="0"/>
        <v>0.57269999999999999</v>
      </c>
      <c r="L61" s="33">
        <f t="shared" si="0"/>
        <v>0.386575</v>
      </c>
      <c r="M61" s="30">
        <f t="shared" si="0"/>
        <v>0.569075</v>
      </c>
      <c r="N61" s="20">
        <f t="shared" si="0"/>
        <v>0.78207499999999996</v>
      </c>
      <c r="O61" s="21">
        <f t="shared" si="0"/>
        <v>0.88100000000000001</v>
      </c>
      <c r="P61" s="21">
        <f t="shared" si="0"/>
        <v>0.85637499999999989</v>
      </c>
      <c r="Q61" s="21">
        <f t="shared" si="0"/>
        <v>0.77692499999999998</v>
      </c>
      <c r="R61" s="22">
        <f t="shared" si="0"/>
        <v>0.86365000000000003</v>
      </c>
    </row>
    <row r="62" spans="2:21" ht="16" thickBot="1"/>
    <row r="63" spans="2:21">
      <c r="B63" s="23" t="s">
        <v>186</v>
      </c>
      <c r="C63" s="24" t="s">
        <v>95</v>
      </c>
      <c r="D63" s="25" t="s">
        <v>178</v>
      </c>
      <c r="E63" s="26"/>
      <c r="F63" s="26"/>
      <c r="G63" s="26"/>
      <c r="H63" s="26"/>
      <c r="I63" s="25" t="s">
        <v>179</v>
      </c>
      <c r="J63" s="26"/>
      <c r="K63" s="26"/>
      <c r="L63" s="26"/>
      <c r="M63" s="26"/>
      <c r="N63" s="25" t="s">
        <v>180</v>
      </c>
      <c r="O63" s="26"/>
      <c r="P63" s="26"/>
      <c r="Q63" s="26"/>
      <c r="R63" s="27"/>
    </row>
    <row r="64" spans="2:21" ht="17">
      <c r="B64" s="23"/>
      <c r="C64" s="24"/>
      <c r="D64" s="12" t="s">
        <v>128</v>
      </c>
      <c r="E64" s="7" t="s">
        <v>113</v>
      </c>
      <c r="F64" s="7" t="s">
        <v>123</v>
      </c>
      <c r="G64" s="7" t="s">
        <v>175</v>
      </c>
      <c r="H64" s="7" t="s">
        <v>118</v>
      </c>
      <c r="I64" s="12" t="s">
        <v>128</v>
      </c>
      <c r="J64" s="7" t="s">
        <v>113</v>
      </c>
      <c r="K64" s="7" t="s">
        <v>123</v>
      </c>
      <c r="L64" s="7" t="s">
        <v>175</v>
      </c>
      <c r="M64" s="7" t="s">
        <v>118</v>
      </c>
      <c r="N64" s="12" t="s">
        <v>79</v>
      </c>
      <c r="O64" s="7" t="s">
        <v>173</v>
      </c>
      <c r="P64" s="7" t="s">
        <v>174</v>
      </c>
      <c r="Q64" s="7" t="s">
        <v>176</v>
      </c>
      <c r="R64" s="13" t="s">
        <v>177</v>
      </c>
    </row>
    <row r="65" spans="2:18">
      <c r="B65" s="28" t="s">
        <v>92</v>
      </c>
      <c r="C65" s="10" t="s">
        <v>99</v>
      </c>
      <c r="D65" s="14">
        <v>-0.05</v>
      </c>
      <c r="E65" s="8">
        <v>0</v>
      </c>
      <c r="F65" s="8">
        <v>0</v>
      </c>
      <c r="G65" s="8">
        <v>-0.18</v>
      </c>
      <c r="H65" s="8">
        <v>-0.05</v>
      </c>
      <c r="I65" s="14">
        <v>0.06</v>
      </c>
      <c r="J65" s="8">
        <v>0.05</v>
      </c>
      <c r="K65" s="8">
        <v>0.05</v>
      </c>
      <c r="L65" s="8">
        <v>7.0000000000000007E-2</v>
      </c>
      <c r="M65" s="8">
        <v>0.05</v>
      </c>
      <c r="N65" s="14">
        <v>0.19</v>
      </c>
      <c r="O65" s="8">
        <v>0.02</v>
      </c>
      <c r="P65" s="8">
        <v>0.12</v>
      </c>
      <c r="Q65" s="8">
        <v>0.28999999999999998</v>
      </c>
      <c r="R65" s="15">
        <v>0.02</v>
      </c>
    </row>
    <row r="66" spans="2:18">
      <c r="B66" s="29"/>
      <c r="C66" s="10" t="s">
        <v>98</v>
      </c>
      <c r="D66" s="14">
        <v>0.08</v>
      </c>
      <c r="E66" s="8">
        <v>0.08</v>
      </c>
      <c r="F66" s="8">
        <v>0.2</v>
      </c>
      <c r="G66" s="8">
        <v>-0.01</v>
      </c>
      <c r="H66" s="8">
        <v>0.12</v>
      </c>
      <c r="I66" s="14">
        <v>0.19</v>
      </c>
      <c r="J66" s="8">
        <v>0.17</v>
      </c>
      <c r="K66" s="8">
        <v>0.45</v>
      </c>
      <c r="L66" s="8">
        <v>0.49</v>
      </c>
      <c r="M66" s="8">
        <v>0.21</v>
      </c>
      <c r="N66" s="14">
        <v>0.68</v>
      </c>
      <c r="O66" s="8">
        <v>0.56999999999999995</v>
      </c>
      <c r="P66" s="8">
        <v>0.63</v>
      </c>
      <c r="Q66" s="8">
        <v>0.73</v>
      </c>
      <c r="R66" s="15">
        <v>0.67</v>
      </c>
    </row>
    <row r="67" spans="2:18">
      <c r="B67" s="29"/>
      <c r="C67" s="10" t="s">
        <v>100</v>
      </c>
      <c r="D67" s="14">
        <v>0.24</v>
      </c>
      <c r="E67" s="8">
        <v>0</v>
      </c>
      <c r="F67" s="8">
        <v>0</v>
      </c>
      <c r="G67" s="8">
        <v>0.68</v>
      </c>
      <c r="H67" s="8">
        <v>0</v>
      </c>
      <c r="I67" s="14">
        <v>0.2</v>
      </c>
      <c r="J67" s="8">
        <v>0.57999999999999996</v>
      </c>
      <c r="K67" s="8">
        <v>0.11</v>
      </c>
      <c r="L67" s="8">
        <v>0.57999999999999996</v>
      </c>
      <c r="M67" s="8">
        <v>0.05</v>
      </c>
      <c r="N67" s="14">
        <v>0.74</v>
      </c>
      <c r="O67" s="8">
        <v>0.81</v>
      </c>
      <c r="P67" s="8">
        <v>0.56999999999999995</v>
      </c>
      <c r="Q67" s="8">
        <v>0.97</v>
      </c>
      <c r="R67" s="15">
        <v>0.05</v>
      </c>
    </row>
    <row r="68" spans="2:18">
      <c r="B68" s="29"/>
      <c r="C68" s="10" t="s">
        <v>101</v>
      </c>
      <c r="D68" s="14">
        <v>0.26</v>
      </c>
      <c r="E68" s="8">
        <v>0.6</v>
      </c>
      <c r="F68" s="8">
        <v>0.54</v>
      </c>
      <c r="G68" s="8">
        <v>0.52</v>
      </c>
      <c r="H68" s="8">
        <v>0.14000000000000001</v>
      </c>
      <c r="I68" s="14">
        <v>0.32</v>
      </c>
      <c r="J68" s="8">
        <v>0.93</v>
      </c>
      <c r="K68" s="8">
        <v>0.64</v>
      </c>
      <c r="L68" s="8">
        <v>0.66</v>
      </c>
      <c r="M68" s="8">
        <v>0.53</v>
      </c>
      <c r="N68" s="14">
        <v>0.62</v>
      </c>
      <c r="O68" s="8">
        <v>0.98</v>
      </c>
      <c r="P68" s="8">
        <v>0.91</v>
      </c>
      <c r="Q68" s="8">
        <v>0.92</v>
      </c>
      <c r="R68" s="15">
        <v>0.6</v>
      </c>
    </row>
    <row r="69" spans="2:18">
      <c r="B69" s="29"/>
      <c r="C69" s="10" t="s">
        <v>102</v>
      </c>
      <c r="D69" s="14">
        <v>-7.0000000000000007E-2</v>
      </c>
      <c r="E69" s="8">
        <v>0</v>
      </c>
      <c r="F69" s="8">
        <v>0</v>
      </c>
      <c r="G69" s="8">
        <v>-0.06</v>
      </c>
      <c r="H69" s="8">
        <v>-0.05</v>
      </c>
      <c r="I69" s="14">
        <v>7.0000000000000007E-2</v>
      </c>
      <c r="J69" s="8">
        <v>0.11</v>
      </c>
      <c r="K69" s="8">
        <v>0.06</v>
      </c>
      <c r="L69" s="8">
        <v>0.2</v>
      </c>
      <c r="M69" s="8">
        <v>0.2</v>
      </c>
      <c r="N69" s="14">
        <v>0.56999999999999995</v>
      </c>
      <c r="O69" s="8">
        <v>0.73</v>
      </c>
      <c r="P69" s="8">
        <v>0.5</v>
      </c>
      <c r="Q69" s="8">
        <v>0.87</v>
      </c>
      <c r="R69" s="15">
        <v>0.87</v>
      </c>
    </row>
    <row r="70" spans="2:18" ht="17">
      <c r="B70" s="29"/>
      <c r="C70" s="11" t="s">
        <v>103</v>
      </c>
      <c r="D70" s="17">
        <f>AVERAGE(D66:D69)</f>
        <v>0.1275</v>
      </c>
      <c r="E70" s="18">
        <f t="shared" ref="E70:R70" si="1">AVERAGE(E66:E69)</f>
        <v>0.16999999999999998</v>
      </c>
      <c r="F70" s="18">
        <f t="shared" si="1"/>
        <v>0.185</v>
      </c>
      <c r="G70" s="9">
        <f t="shared" si="1"/>
        <v>0.28249999999999997</v>
      </c>
      <c r="H70" s="18">
        <f t="shared" si="1"/>
        <v>5.2500000000000005E-2</v>
      </c>
      <c r="I70" s="17">
        <f t="shared" si="1"/>
        <v>0.19500000000000001</v>
      </c>
      <c r="J70" s="18">
        <f t="shared" si="1"/>
        <v>0.44750000000000006</v>
      </c>
      <c r="K70" s="18">
        <f t="shared" si="1"/>
        <v>0.31500000000000006</v>
      </c>
      <c r="L70" s="9">
        <f t="shared" si="1"/>
        <v>0.48249999999999998</v>
      </c>
      <c r="M70" s="18">
        <f t="shared" si="1"/>
        <v>0.2475</v>
      </c>
      <c r="N70" s="17">
        <f t="shared" si="1"/>
        <v>0.65249999999999997</v>
      </c>
      <c r="O70" s="18">
        <f t="shared" si="1"/>
        <v>0.77249999999999996</v>
      </c>
      <c r="P70" s="18">
        <f t="shared" si="1"/>
        <v>0.65249999999999997</v>
      </c>
      <c r="Q70" s="9">
        <f t="shared" si="1"/>
        <v>0.87250000000000005</v>
      </c>
      <c r="R70" s="19">
        <f t="shared" si="1"/>
        <v>0.54749999999999999</v>
      </c>
    </row>
    <row r="71" spans="2:18">
      <c r="B71" s="28" t="s">
        <v>93</v>
      </c>
      <c r="C71" s="10" t="s">
        <v>99</v>
      </c>
      <c r="D71" s="14">
        <v>0</v>
      </c>
      <c r="E71" s="8">
        <v>0</v>
      </c>
      <c r="F71" s="8">
        <v>0</v>
      </c>
      <c r="G71" s="8">
        <v>-0.2</v>
      </c>
      <c r="H71" s="8">
        <v>0</v>
      </c>
      <c r="I71" s="14">
        <v>0.23</v>
      </c>
      <c r="J71" s="8">
        <v>0.06</v>
      </c>
      <c r="K71" s="8">
        <v>0.05</v>
      </c>
      <c r="L71" s="8">
        <v>0.06</v>
      </c>
      <c r="M71" s="8">
        <v>0.08</v>
      </c>
      <c r="N71" s="14">
        <v>0.83</v>
      </c>
      <c r="O71" s="8">
        <v>0.17</v>
      </c>
      <c r="P71" s="8">
        <v>0.12</v>
      </c>
      <c r="Q71" s="8">
        <v>0.16</v>
      </c>
      <c r="R71" s="15">
        <v>0.36</v>
      </c>
    </row>
    <row r="72" spans="2:18">
      <c r="B72" s="29"/>
      <c r="C72" s="10" t="s">
        <v>98</v>
      </c>
      <c r="D72" s="14">
        <v>0.2</v>
      </c>
      <c r="E72" s="8">
        <v>0.16</v>
      </c>
      <c r="F72" s="8">
        <v>-0.09</v>
      </c>
      <c r="G72" s="8">
        <v>-0.08</v>
      </c>
      <c r="H72" s="8">
        <v>0.21</v>
      </c>
      <c r="I72" s="14">
        <v>0.54</v>
      </c>
      <c r="J72" s="8">
        <v>0.2</v>
      </c>
      <c r="K72" s="8">
        <v>0.18</v>
      </c>
      <c r="L72" s="8">
        <v>0.17</v>
      </c>
      <c r="M72" s="8">
        <v>0.25</v>
      </c>
      <c r="N72" s="14">
        <v>0.83</v>
      </c>
      <c r="O72" s="8">
        <v>0.69</v>
      </c>
      <c r="P72" s="8">
        <v>0.68</v>
      </c>
      <c r="Q72" s="8">
        <v>0.54</v>
      </c>
      <c r="R72" s="15">
        <v>0.6</v>
      </c>
    </row>
    <row r="73" spans="2:18">
      <c r="B73" s="29"/>
      <c r="C73" s="10" t="s">
        <v>100</v>
      </c>
      <c r="D73" s="14">
        <v>0</v>
      </c>
      <c r="E73" s="8">
        <v>0</v>
      </c>
      <c r="F73" s="8">
        <v>0</v>
      </c>
      <c r="G73" s="8">
        <v>0</v>
      </c>
      <c r="H73" s="8">
        <v>0</v>
      </c>
      <c r="I73" s="14">
        <v>0.38</v>
      </c>
      <c r="J73" s="8">
        <v>0.2</v>
      </c>
      <c r="K73" s="8">
        <v>7.0000000000000007E-2</v>
      </c>
      <c r="L73" s="8">
        <v>0.09</v>
      </c>
      <c r="M73" s="8">
        <v>0.11</v>
      </c>
      <c r="N73" s="14">
        <v>0.88</v>
      </c>
      <c r="O73" s="8">
        <v>0.79</v>
      </c>
      <c r="P73" s="8">
        <v>0.28000000000000003</v>
      </c>
      <c r="Q73" s="8">
        <v>0.5</v>
      </c>
      <c r="R73" s="15">
        <v>0.56999999999999995</v>
      </c>
    </row>
    <row r="74" spans="2:18">
      <c r="B74" s="29"/>
      <c r="C74" s="10" t="s">
        <v>101</v>
      </c>
      <c r="D74" s="14">
        <v>0.14000000000000001</v>
      </c>
      <c r="E74" s="8">
        <v>0.59</v>
      </c>
      <c r="F74" s="8">
        <v>0.6</v>
      </c>
      <c r="G74" s="8">
        <v>0.59</v>
      </c>
      <c r="H74" s="8">
        <v>0.55000000000000004</v>
      </c>
      <c r="I74" s="14">
        <v>0.37</v>
      </c>
      <c r="J74" s="8">
        <v>0.49</v>
      </c>
      <c r="K74" s="8">
        <v>0.44</v>
      </c>
      <c r="L74" s="8">
        <v>0.5</v>
      </c>
      <c r="M74" s="8">
        <v>0.41</v>
      </c>
      <c r="N74" s="14">
        <v>0.82</v>
      </c>
      <c r="O74" s="8">
        <v>0.88</v>
      </c>
      <c r="P74" s="8">
        <v>0.87</v>
      </c>
      <c r="Q74" s="8">
        <v>0.88</v>
      </c>
      <c r="R74" s="15">
        <v>0.85</v>
      </c>
    </row>
    <row r="75" spans="2:18">
      <c r="B75" s="29"/>
      <c r="C75" s="10" t="s">
        <v>102</v>
      </c>
      <c r="D75" s="14">
        <v>0</v>
      </c>
      <c r="E75" s="8">
        <v>0</v>
      </c>
      <c r="F75" s="8">
        <v>0</v>
      </c>
      <c r="G75" s="8">
        <v>0</v>
      </c>
      <c r="H75" s="8">
        <v>0</v>
      </c>
      <c r="I75" s="14">
        <v>0.03</v>
      </c>
      <c r="J75" s="8">
        <v>7.0000000000000007E-2</v>
      </c>
      <c r="K75" s="8">
        <v>0.09</v>
      </c>
      <c r="L75" s="8">
        <v>0.06</v>
      </c>
      <c r="M75" s="8">
        <v>0.17</v>
      </c>
      <c r="N75" s="14">
        <v>0</v>
      </c>
      <c r="O75" s="8">
        <v>0.56999999999999995</v>
      </c>
      <c r="P75" s="8">
        <v>0.67</v>
      </c>
      <c r="Q75" s="8">
        <v>0.47</v>
      </c>
      <c r="R75" s="15">
        <v>0.83</v>
      </c>
    </row>
    <row r="76" spans="2:18" ht="17">
      <c r="B76" s="29"/>
      <c r="C76" s="11" t="s">
        <v>103</v>
      </c>
      <c r="D76" s="17">
        <f>AVERAGE(D72:D75)</f>
        <v>8.5000000000000006E-2</v>
      </c>
      <c r="E76" s="9">
        <f t="shared" ref="E76" si="2">AVERAGE(E72:E75)</f>
        <v>0.1875</v>
      </c>
      <c r="F76" s="18">
        <f t="shared" ref="F76" si="3">AVERAGE(F72:F75)</f>
        <v>0.1275</v>
      </c>
      <c r="G76" s="18">
        <f t="shared" ref="G76" si="4">AVERAGE(G72:G75)</f>
        <v>0.1275</v>
      </c>
      <c r="H76" s="9">
        <f t="shared" ref="H76" si="5">AVERAGE(H72:H75)</f>
        <v>0.19</v>
      </c>
      <c r="I76" s="16">
        <f t="shared" ref="I76" si="6">AVERAGE(I72:I75)</f>
        <v>0.33</v>
      </c>
      <c r="J76" s="18">
        <f t="shared" ref="J76" si="7">AVERAGE(J72:J75)</f>
        <v>0.24</v>
      </c>
      <c r="K76" s="18">
        <f t="shared" ref="K76" si="8">AVERAGE(K72:K75)</f>
        <v>0.19499999999999998</v>
      </c>
      <c r="L76" s="18">
        <f t="shared" ref="L76" si="9">AVERAGE(L72:L75)</f>
        <v>0.20500000000000002</v>
      </c>
      <c r="M76" s="18">
        <f t="shared" ref="M76" si="10">AVERAGE(M72:M75)</f>
        <v>0.23500000000000001</v>
      </c>
      <c r="N76" s="17">
        <f t="shared" ref="N76" si="11">AVERAGE(N72:N75)</f>
        <v>0.63249999999999995</v>
      </c>
      <c r="O76" s="18">
        <f t="shared" ref="O76" si="12">AVERAGE(O72:O75)</f>
        <v>0.73249999999999993</v>
      </c>
      <c r="P76" s="18">
        <f t="shared" ref="P76" si="13">AVERAGE(P72:P75)</f>
        <v>0.625</v>
      </c>
      <c r="Q76" s="18">
        <f t="shared" ref="Q76" si="14">AVERAGE(Q72:Q75)</f>
        <v>0.59749999999999992</v>
      </c>
      <c r="R76" s="19">
        <f t="shared" ref="R76" si="15">AVERAGE(R72:R75)</f>
        <v>0.71250000000000002</v>
      </c>
    </row>
    <row r="77" spans="2:18">
      <c r="B77" s="28" t="s">
        <v>104</v>
      </c>
      <c r="C77" s="10" t="s">
        <v>99</v>
      </c>
      <c r="D77" s="14">
        <v>-0.05</v>
      </c>
      <c r="E77" s="8">
        <v>0</v>
      </c>
      <c r="F77" s="8">
        <v>0</v>
      </c>
      <c r="G77" s="8">
        <v>-0.12</v>
      </c>
      <c r="H77" s="8">
        <v>-7.0000000000000007E-2</v>
      </c>
      <c r="I77" s="14">
        <v>0.08</v>
      </c>
      <c r="J77" s="8">
        <v>0.05</v>
      </c>
      <c r="K77" s="8">
        <v>0.06</v>
      </c>
      <c r="L77" s="8">
        <v>0.05</v>
      </c>
      <c r="M77" s="8">
        <v>0.1</v>
      </c>
      <c r="N77" s="14">
        <v>0.43</v>
      </c>
      <c r="O77" s="8">
        <v>0.12</v>
      </c>
      <c r="P77" s="8">
        <v>0.14000000000000001</v>
      </c>
      <c r="Q77" s="8">
        <v>0.03</v>
      </c>
      <c r="R77" s="15">
        <v>0.55000000000000004</v>
      </c>
    </row>
    <row r="78" spans="2:18">
      <c r="B78" s="29"/>
      <c r="C78" s="10" t="s">
        <v>98</v>
      </c>
      <c r="D78" s="14">
        <v>0.15</v>
      </c>
      <c r="E78" s="8">
        <v>0.12</v>
      </c>
      <c r="F78" s="8">
        <v>0.36</v>
      </c>
      <c r="G78" s="8">
        <v>0.14000000000000001</v>
      </c>
      <c r="H78" s="8">
        <v>0.21</v>
      </c>
      <c r="I78" s="14">
        <v>0.2</v>
      </c>
      <c r="J78" s="8">
        <v>0.28000000000000003</v>
      </c>
      <c r="K78" s="8">
        <v>0.28999999999999998</v>
      </c>
      <c r="L78" s="8">
        <v>0.15</v>
      </c>
      <c r="M78" s="8">
        <v>0.31</v>
      </c>
      <c r="N78" s="14">
        <v>0.56999999999999995</v>
      </c>
      <c r="O78" s="8">
        <v>0.76</v>
      </c>
      <c r="P78" s="8">
        <v>0.73</v>
      </c>
      <c r="Q78" s="8">
        <v>0.5</v>
      </c>
      <c r="R78" s="15">
        <v>0.61</v>
      </c>
    </row>
    <row r="79" spans="2:18">
      <c r="B79" s="29"/>
      <c r="C79" s="10" t="s">
        <v>100</v>
      </c>
      <c r="D79" s="14">
        <v>0</v>
      </c>
      <c r="E79" s="8">
        <v>0</v>
      </c>
      <c r="F79" s="8">
        <v>0</v>
      </c>
      <c r="G79" s="8">
        <v>0.31</v>
      </c>
      <c r="H79" s="8">
        <v>0</v>
      </c>
      <c r="I79" s="14">
        <v>0.1</v>
      </c>
      <c r="J79" s="8">
        <v>0.14000000000000001</v>
      </c>
      <c r="K79" s="8">
        <v>0.06</v>
      </c>
      <c r="L79" s="8">
        <v>0.75</v>
      </c>
      <c r="M79" s="8">
        <v>0.08</v>
      </c>
      <c r="N79" s="14">
        <v>0.53</v>
      </c>
      <c r="O79" s="8">
        <v>0.69</v>
      </c>
      <c r="P79" s="8">
        <v>0.17</v>
      </c>
      <c r="Q79" s="8">
        <v>0.97</v>
      </c>
      <c r="R79" s="15">
        <v>0.36</v>
      </c>
    </row>
    <row r="80" spans="2:18">
      <c r="B80" s="29"/>
      <c r="C80" s="10" t="s">
        <v>101</v>
      </c>
      <c r="D80" s="14">
        <v>0.18</v>
      </c>
      <c r="E80" s="8">
        <v>0.59</v>
      </c>
      <c r="F80" s="8">
        <v>0.6</v>
      </c>
      <c r="G80" s="8">
        <v>0.55000000000000004</v>
      </c>
      <c r="H80" s="8">
        <v>0.3</v>
      </c>
      <c r="I80" s="14">
        <v>0.35</v>
      </c>
      <c r="J80" s="8">
        <v>0.44</v>
      </c>
      <c r="K80" s="8">
        <v>0.48</v>
      </c>
      <c r="L80" s="8">
        <v>0.84</v>
      </c>
      <c r="M80" s="8">
        <v>0.38</v>
      </c>
      <c r="N80" s="14">
        <v>0.8</v>
      </c>
      <c r="O80" s="8">
        <v>0.86</v>
      </c>
      <c r="P80" s="8">
        <v>0.88</v>
      </c>
      <c r="Q80" s="8">
        <v>0.95</v>
      </c>
      <c r="R80" s="15">
        <v>0.8</v>
      </c>
    </row>
    <row r="81" spans="2:18">
      <c r="B81" s="29"/>
      <c r="C81" s="10" t="s">
        <v>102</v>
      </c>
      <c r="D81" s="14">
        <v>0</v>
      </c>
      <c r="E81" s="8">
        <v>0</v>
      </c>
      <c r="F81" s="8">
        <v>0</v>
      </c>
      <c r="G81" s="8">
        <v>0.23</v>
      </c>
      <c r="H81" s="8">
        <v>0</v>
      </c>
      <c r="I81" s="14">
        <v>0.2</v>
      </c>
      <c r="J81" s="8">
        <v>1</v>
      </c>
      <c r="K81" s="8">
        <v>7.0000000000000007E-2</v>
      </c>
      <c r="L81" s="8">
        <v>0.09</v>
      </c>
      <c r="M81" s="8">
        <v>7.0000000000000007E-2</v>
      </c>
      <c r="N81" s="14">
        <v>0.87</v>
      </c>
      <c r="O81" s="8">
        <v>1</v>
      </c>
      <c r="P81" s="8">
        <v>0.56999999999999995</v>
      </c>
      <c r="Q81" s="8">
        <v>0.67</v>
      </c>
      <c r="R81" s="15">
        <v>0.53</v>
      </c>
    </row>
    <row r="82" spans="2:18" ht="18" thickBot="1">
      <c r="B82" s="29"/>
      <c r="C82" s="11" t="s">
        <v>103</v>
      </c>
      <c r="D82" s="17">
        <f>AVERAGE(D78:D81)</f>
        <v>8.249999999999999E-2</v>
      </c>
      <c r="E82" s="18">
        <f t="shared" ref="E82" si="16">AVERAGE(E78:E81)</f>
        <v>0.17749999999999999</v>
      </c>
      <c r="F82" s="18">
        <f t="shared" ref="F82" si="17">AVERAGE(F78:F81)</f>
        <v>0.24</v>
      </c>
      <c r="G82" s="9">
        <f t="shared" ref="G82" si="18">AVERAGE(G78:G81)</f>
        <v>0.3075</v>
      </c>
      <c r="H82" s="18">
        <f t="shared" ref="H82" si="19">AVERAGE(H78:H81)</f>
        <v>0.1275</v>
      </c>
      <c r="I82" s="17">
        <f t="shared" ref="I82" si="20">AVERAGE(I78:I81)</f>
        <v>0.21250000000000002</v>
      </c>
      <c r="J82" s="30">
        <f t="shared" ref="J82" si="21">AVERAGE(J78:J81)</f>
        <v>0.46500000000000002</v>
      </c>
      <c r="K82" s="18">
        <f t="shared" ref="K82" si="22">AVERAGE(K78:K81)</f>
        <v>0.22499999999999998</v>
      </c>
      <c r="L82" s="9">
        <f t="shared" ref="L82" si="23">AVERAGE(L78:L81)</f>
        <v>0.45750000000000002</v>
      </c>
      <c r="M82" s="18">
        <f t="shared" ref="M82" si="24">AVERAGE(M78:M81)</f>
        <v>0.21000000000000002</v>
      </c>
      <c r="N82" s="20">
        <f t="shared" ref="N82" si="25">AVERAGE(N78:N81)</f>
        <v>0.6925</v>
      </c>
      <c r="O82" s="21">
        <f t="shared" ref="O82" si="26">AVERAGE(O78:O81)</f>
        <v>0.82750000000000001</v>
      </c>
      <c r="P82" s="21">
        <f t="shared" ref="P82" si="27">AVERAGE(P78:P81)</f>
        <v>0.58750000000000002</v>
      </c>
      <c r="Q82" s="21">
        <f t="shared" ref="Q82" si="28">AVERAGE(Q78:Q81)</f>
        <v>0.77249999999999996</v>
      </c>
      <c r="R82" s="22">
        <f t="shared" ref="R82" si="29">AVERAGE(R78:R81)</f>
        <v>0.57499999999999996</v>
      </c>
    </row>
    <row r="88" spans="2:18">
      <c r="B88" t="s">
        <v>105</v>
      </c>
      <c r="C88" t="s">
        <v>106</v>
      </c>
      <c r="D88" t="s">
        <v>97</v>
      </c>
      <c r="E88" t="s">
        <v>107</v>
      </c>
      <c r="F88" t="s">
        <v>96</v>
      </c>
    </row>
    <row r="89" spans="2:18">
      <c r="B89" t="s">
        <v>108</v>
      </c>
      <c r="C89" t="s">
        <v>109</v>
      </c>
      <c r="D89" t="s">
        <v>110</v>
      </c>
      <c r="E89" t="s">
        <v>111</v>
      </c>
      <c r="F89" t="s">
        <v>112</v>
      </c>
    </row>
    <row r="90" spans="2:18">
      <c r="B90" t="s">
        <v>113</v>
      </c>
      <c r="C90" t="s">
        <v>114</v>
      </c>
      <c r="D90" t="s">
        <v>115</v>
      </c>
      <c r="E90" t="s">
        <v>116</v>
      </c>
      <c r="F90" t="s">
        <v>117</v>
      </c>
    </row>
    <row r="91" spans="2:18">
      <c r="B91" t="s">
        <v>118</v>
      </c>
      <c r="C91" t="s">
        <v>119</v>
      </c>
      <c r="D91" t="s">
        <v>120</v>
      </c>
      <c r="E91" t="s">
        <v>121</v>
      </c>
      <c r="F91" t="s">
        <v>122</v>
      </c>
    </row>
    <row r="92" spans="2:18">
      <c r="B92" t="s">
        <v>123</v>
      </c>
      <c r="C92" t="s">
        <v>124</v>
      </c>
      <c r="D92" t="s">
        <v>125</v>
      </c>
      <c r="E92" t="s">
        <v>126</v>
      </c>
      <c r="F92" t="s">
        <v>127</v>
      </c>
    </row>
    <row r="93" spans="2:18">
      <c r="B93" t="s">
        <v>128</v>
      </c>
      <c r="C93" t="s">
        <v>129</v>
      </c>
      <c r="D93" t="s">
        <v>130</v>
      </c>
      <c r="E93" t="s">
        <v>131</v>
      </c>
      <c r="F93" t="s">
        <v>132</v>
      </c>
    </row>
    <row r="94" spans="2:18">
      <c r="B94" t="s">
        <v>93</v>
      </c>
    </row>
    <row r="95" spans="2:18">
      <c r="B95" t="s">
        <v>105</v>
      </c>
      <c r="C95" t="s">
        <v>106</v>
      </c>
      <c r="D95" t="s">
        <v>97</v>
      </c>
      <c r="E95" t="s">
        <v>107</v>
      </c>
      <c r="F95" t="s">
        <v>96</v>
      </c>
    </row>
    <row r="96" spans="2:18">
      <c r="B96" t="s">
        <v>108</v>
      </c>
      <c r="C96" t="s">
        <v>133</v>
      </c>
      <c r="D96" t="s">
        <v>134</v>
      </c>
      <c r="E96" t="s">
        <v>135</v>
      </c>
      <c r="F96" t="s">
        <v>136</v>
      </c>
    </row>
    <row r="97" spans="2:6">
      <c r="B97" t="s">
        <v>113</v>
      </c>
      <c r="C97" t="s">
        <v>137</v>
      </c>
      <c r="D97" t="s">
        <v>138</v>
      </c>
      <c r="E97" t="s">
        <v>139</v>
      </c>
      <c r="F97" t="s">
        <v>140</v>
      </c>
    </row>
    <row r="98" spans="2:6">
      <c r="B98" t="s">
        <v>118</v>
      </c>
      <c r="C98" t="s">
        <v>141</v>
      </c>
      <c r="D98" t="s">
        <v>142</v>
      </c>
      <c r="E98" t="s">
        <v>143</v>
      </c>
      <c r="F98" t="s">
        <v>144</v>
      </c>
    </row>
    <row r="99" spans="2:6">
      <c r="B99" t="s">
        <v>123</v>
      </c>
      <c r="C99" t="s">
        <v>145</v>
      </c>
      <c r="D99" t="s">
        <v>146</v>
      </c>
      <c r="E99" t="s">
        <v>147</v>
      </c>
      <c r="F99" t="s">
        <v>148</v>
      </c>
    </row>
    <row r="100" spans="2:6">
      <c r="B100" t="s">
        <v>128</v>
      </c>
      <c r="C100" t="s">
        <v>149</v>
      </c>
      <c r="D100" t="s">
        <v>150</v>
      </c>
      <c r="E100" t="s">
        <v>151</v>
      </c>
      <c r="F100" t="s">
        <v>152</v>
      </c>
    </row>
    <row r="101" spans="2:6">
      <c r="B101" t="s">
        <v>104</v>
      </c>
    </row>
    <row r="102" spans="2:6">
      <c r="B102" t="s">
        <v>105</v>
      </c>
      <c r="C102" t="s">
        <v>106</v>
      </c>
      <c r="D102" t="s">
        <v>97</v>
      </c>
      <c r="E102" t="s">
        <v>107</v>
      </c>
      <c r="F102" t="s">
        <v>96</v>
      </c>
    </row>
    <row r="103" spans="2:6">
      <c r="B103" t="s">
        <v>108</v>
      </c>
      <c r="C103" t="s">
        <v>153</v>
      </c>
      <c r="D103" t="s">
        <v>154</v>
      </c>
      <c r="E103" t="s">
        <v>155</v>
      </c>
      <c r="F103" t="s">
        <v>156</v>
      </c>
    </row>
    <row r="104" spans="2:6">
      <c r="B104" t="s">
        <v>113</v>
      </c>
      <c r="C104" t="s">
        <v>157</v>
      </c>
      <c r="D104" t="s">
        <v>158</v>
      </c>
      <c r="E104" t="s">
        <v>159</v>
      </c>
      <c r="F104" t="s">
        <v>160</v>
      </c>
    </row>
    <row r="105" spans="2:6">
      <c r="B105" t="s">
        <v>118</v>
      </c>
      <c r="C105" t="s">
        <v>161</v>
      </c>
      <c r="D105" t="s">
        <v>162</v>
      </c>
      <c r="E105" t="s">
        <v>163</v>
      </c>
      <c r="F105" t="s">
        <v>164</v>
      </c>
    </row>
    <row r="106" spans="2:6">
      <c r="B106" t="s">
        <v>123</v>
      </c>
      <c r="C106" t="s">
        <v>165</v>
      </c>
      <c r="D106" t="s">
        <v>166</v>
      </c>
      <c r="E106" t="s">
        <v>167</v>
      </c>
      <c r="F106" t="s">
        <v>168</v>
      </c>
    </row>
    <row r="107" spans="2:6">
      <c r="B107" t="s">
        <v>128</v>
      </c>
      <c r="C107" t="s">
        <v>169</v>
      </c>
      <c r="D107" t="s">
        <v>170</v>
      </c>
      <c r="E107" t="s">
        <v>171</v>
      </c>
      <c r="F107" t="s">
        <v>172</v>
      </c>
    </row>
  </sheetData>
  <mergeCells count="14">
    <mergeCell ref="D54:H54"/>
    <mergeCell ref="I54:M54"/>
    <mergeCell ref="N54:R54"/>
    <mergeCell ref="B56:B61"/>
    <mergeCell ref="B65:B70"/>
    <mergeCell ref="B71:B76"/>
    <mergeCell ref="B77:B82"/>
    <mergeCell ref="B54:B55"/>
    <mergeCell ref="C54:C55"/>
    <mergeCell ref="B63:B64"/>
    <mergeCell ref="C63:C64"/>
    <mergeCell ref="N63:R63"/>
    <mergeCell ref="I63:M63"/>
    <mergeCell ref="D63:H63"/>
  </mergeCells>
  <phoneticPr fontId="1" type="noConversion"/>
  <pageMargins left="0.7" right="0.7" top="0.75" bottom="0.75" header="0.3" footer="0.3"/>
  <pageSetup paperSize="9" orientation="portrait" horizontalDpi="1200" verticalDpi="1200" r:id="rId1"/>
  <ignoredErrors>
    <ignoredError sqref="O70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최수진(환경공학부)</dc:creator>
  <cp:keywords/>
  <dc:description/>
  <cp:lastModifiedBy>최수진(환경공학부)</cp:lastModifiedBy>
  <cp:revision/>
  <dcterms:created xsi:type="dcterms:W3CDTF">2026-09-07T13:12:48Z</dcterms:created>
  <dcterms:modified xsi:type="dcterms:W3CDTF">2026-09-09T22:23:17Z</dcterms:modified>
  <cp:category/>
  <cp:contentStatus/>
</cp:coreProperties>
</file>