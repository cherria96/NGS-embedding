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ostechackr-my.sharepoint.com/personal/sujineeda_postech_ac_kr/Documents/학회/2026/ICAE/paper/"/>
    </mc:Choice>
  </mc:AlternateContent>
  <xr:revisionPtr revIDLastSave="0" documentId="8_{DD7310BC-AF4D-4FB3-AAFF-E374F26D65DC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README" sheetId="1" r:id="rId1"/>
    <sheet name="Summary" sheetId="10" r:id="rId2"/>
    <sheet name="Genus_PerFlag" sheetId="2" r:id="rId3"/>
    <sheet name="Genus_MacroAvg" sheetId="3" r:id="rId4"/>
    <sheet name="ASV_PerFlag" sheetId="4" r:id="rId5"/>
    <sheet name="ASV_MacroAvg" sheetId="5" r:id="rId6"/>
    <sheet name="TaxLevel_PerFlag" sheetId="6" r:id="rId7"/>
    <sheet name="TaxLevel_MacroAvg" sheetId="7" r:id="rId8"/>
    <sheet name="Combined_MacroAvg" sheetId="8" r:id="rId9"/>
    <sheet name="Label_Support" sheetId="9" r:id="rId10"/>
  </sheets>
  <definedNames>
    <definedName name="_xlnm._FilterDatabase" localSheetId="5" hidden="1">ASV_MacroAvg!$A$1:$K$21</definedName>
    <definedName name="_xlnm._FilterDatabase" localSheetId="4" hidden="1">ASV_PerFlag!$A$1:$O$101</definedName>
    <definedName name="_xlnm._FilterDatabase" localSheetId="8" hidden="1">Combined_MacroAvg!$A$1:$M$131</definedName>
    <definedName name="_xlnm._FilterDatabase" localSheetId="3" hidden="1">Genus_MacroAvg!$A$1:$K$21</definedName>
    <definedName name="_xlnm._FilterDatabase" localSheetId="2" hidden="1">Genus_PerFlag!$A$1:$O$101</definedName>
    <definedName name="_xlnm._FilterDatabase" localSheetId="9" hidden="1">Label_Support!$A$1:$I$116</definedName>
    <definedName name="_xlnm._FilterDatabase" localSheetId="0" hidden="1">README!$A$1:$B$18</definedName>
    <definedName name="_xlnm._FilterDatabase" localSheetId="7" hidden="1">TaxLevel_MacroAvg!$A$1:$L$91</definedName>
    <definedName name="_xlnm._FilterDatabase" localSheetId="6" hidden="1">TaxLevel_PerFlag!$A$1:$P$451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7" i="10" l="1"/>
  <c r="L78" i="10"/>
  <c r="L79" i="10"/>
  <c r="L80" i="10"/>
  <c r="I77" i="10"/>
  <c r="I78" i="10"/>
  <c r="I79" i="10"/>
  <c r="I80" i="10"/>
  <c r="F77" i="10"/>
  <c r="F78" i="10"/>
  <c r="F79" i="10"/>
  <c r="F80" i="10"/>
  <c r="L76" i="10"/>
  <c r="I76" i="10"/>
  <c r="F76" i="10"/>
  <c r="L68" i="10"/>
  <c r="L69" i="10"/>
  <c r="L70" i="10"/>
  <c r="L71" i="10"/>
  <c r="I68" i="10"/>
  <c r="I69" i="10"/>
  <c r="I70" i="10"/>
  <c r="I71" i="10"/>
  <c r="F68" i="10"/>
  <c r="F69" i="10"/>
  <c r="F70" i="10"/>
  <c r="F71" i="10"/>
  <c r="L67" i="10"/>
  <c r="I67" i="10"/>
  <c r="F67" i="10"/>
  <c r="F59" i="10"/>
  <c r="G59" i="10"/>
  <c r="H59" i="10"/>
  <c r="I59" i="10"/>
  <c r="J59" i="10"/>
  <c r="K59" i="10"/>
  <c r="L59" i="10"/>
  <c r="M59" i="10"/>
  <c r="N59" i="10"/>
  <c r="F60" i="10"/>
  <c r="G60" i="10"/>
  <c r="G63" i="10" s="1"/>
  <c r="H60" i="10"/>
  <c r="I60" i="10"/>
  <c r="J60" i="10"/>
  <c r="K60" i="10"/>
  <c r="L60" i="10"/>
  <c r="M60" i="10"/>
  <c r="N60" i="10"/>
  <c r="F61" i="10"/>
  <c r="G61" i="10"/>
  <c r="H61" i="10"/>
  <c r="I61" i="10"/>
  <c r="J61" i="10"/>
  <c r="J63" i="10" s="1"/>
  <c r="K61" i="10"/>
  <c r="L61" i="10"/>
  <c r="M61" i="10"/>
  <c r="N61" i="10"/>
  <c r="F62" i="10"/>
  <c r="G62" i="10"/>
  <c r="H62" i="10"/>
  <c r="I62" i="10"/>
  <c r="J62" i="10"/>
  <c r="K62" i="10"/>
  <c r="L62" i="10"/>
  <c r="M62" i="10"/>
  <c r="N62" i="10"/>
  <c r="F58" i="10"/>
  <c r="G58" i="10"/>
  <c r="H58" i="10"/>
  <c r="I58" i="10"/>
  <c r="J58" i="10"/>
  <c r="K58" i="10"/>
  <c r="L58" i="10"/>
  <c r="M58" i="10"/>
  <c r="N58" i="10"/>
  <c r="F53" i="10"/>
  <c r="G53" i="10"/>
  <c r="H53" i="10"/>
  <c r="I53" i="10"/>
  <c r="J53" i="10"/>
  <c r="K53" i="10"/>
  <c r="L53" i="10"/>
  <c r="M53" i="10"/>
  <c r="N53" i="10"/>
  <c r="F54" i="10"/>
  <c r="G54" i="10"/>
  <c r="H54" i="10"/>
  <c r="I54" i="10"/>
  <c r="J54" i="10"/>
  <c r="K54" i="10"/>
  <c r="L54" i="10"/>
  <c r="M54" i="10"/>
  <c r="N54" i="10"/>
  <c r="F55" i="10"/>
  <c r="G55" i="10"/>
  <c r="H55" i="10"/>
  <c r="I55" i="10"/>
  <c r="J55" i="10"/>
  <c r="K55" i="10"/>
  <c r="L55" i="10"/>
  <c r="M55" i="10"/>
  <c r="M57" i="10" s="1"/>
  <c r="N55" i="10"/>
  <c r="F56" i="10"/>
  <c r="G56" i="10"/>
  <c r="H56" i="10"/>
  <c r="I56" i="10"/>
  <c r="J56" i="10"/>
  <c r="K56" i="10"/>
  <c r="L56" i="10"/>
  <c r="M56" i="10"/>
  <c r="N56" i="10"/>
  <c r="F52" i="10"/>
  <c r="G52" i="10"/>
  <c r="G57" i="10" s="1"/>
  <c r="H52" i="10"/>
  <c r="I52" i="10"/>
  <c r="J52" i="10"/>
  <c r="K52" i="10"/>
  <c r="L52" i="10"/>
  <c r="M52" i="10"/>
  <c r="N52" i="10"/>
  <c r="F47" i="10"/>
  <c r="G47" i="10"/>
  <c r="H47" i="10"/>
  <c r="I47" i="10"/>
  <c r="J47" i="10"/>
  <c r="K47" i="10"/>
  <c r="L47" i="10"/>
  <c r="M47" i="10"/>
  <c r="N47" i="10"/>
  <c r="F48" i="10"/>
  <c r="G48" i="10"/>
  <c r="H48" i="10"/>
  <c r="I48" i="10"/>
  <c r="J48" i="10"/>
  <c r="K48" i="10"/>
  <c r="L48" i="10"/>
  <c r="M48" i="10"/>
  <c r="M51" i="10" s="1"/>
  <c r="N48" i="10"/>
  <c r="F49" i="10"/>
  <c r="G49" i="10"/>
  <c r="H49" i="10"/>
  <c r="I49" i="10"/>
  <c r="J49" i="10"/>
  <c r="K49" i="10"/>
  <c r="L49" i="10"/>
  <c r="M49" i="10"/>
  <c r="N49" i="10"/>
  <c r="F50" i="10"/>
  <c r="G50" i="10"/>
  <c r="H50" i="10"/>
  <c r="I50" i="10"/>
  <c r="J50" i="10"/>
  <c r="K50" i="10"/>
  <c r="L50" i="10"/>
  <c r="M50" i="10"/>
  <c r="N50" i="10"/>
  <c r="F46" i="10"/>
  <c r="G46" i="10"/>
  <c r="H46" i="10"/>
  <c r="I46" i="10"/>
  <c r="J46" i="10"/>
  <c r="J51" i="10" s="1"/>
  <c r="K46" i="10"/>
  <c r="L46" i="10"/>
  <c r="M46" i="10"/>
  <c r="N46" i="10"/>
  <c r="F38" i="10"/>
  <c r="G38" i="10"/>
  <c r="H38" i="10"/>
  <c r="I38" i="10"/>
  <c r="J38" i="10"/>
  <c r="K38" i="10"/>
  <c r="L38" i="10"/>
  <c r="M38" i="10"/>
  <c r="N38" i="10"/>
  <c r="F39" i="10"/>
  <c r="G39" i="10"/>
  <c r="H39" i="10"/>
  <c r="I39" i="10"/>
  <c r="J39" i="10"/>
  <c r="K39" i="10"/>
  <c r="L39" i="10"/>
  <c r="M39" i="10"/>
  <c r="N39" i="10"/>
  <c r="F40" i="10"/>
  <c r="G40" i="10"/>
  <c r="G42" i="10" s="1"/>
  <c r="H40" i="10"/>
  <c r="I40" i="10"/>
  <c r="J40" i="10"/>
  <c r="K40" i="10"/>
  <c r="L40" i="10"/>
  <c r="M40" i="10"/>
  <c r="N40" i="10"/>
  <c r="F41" i="10"/>
  <c r="G41" i="10"/>
  <c r="H41" i="10"/>
  <c r="I41" i="10"/>
  <c r="J41" i="10"/>
  <c r="J42" i="10" s="1"/>
  <c r="K41" i="10"/>
  <c r="L41" i="10"/>
  <c r="M41" i="10"/>
  <c r="N41" i="10"/>
  <c r="F37" i="10"/>
  <c r="G37" i="10"/>
  <c r="H37" i="10"/>
  <c r="I37" i="10"/>
  <c r="J37" i="10"/>
  <c r="K37" i="10"/>
  <c r="L37" i="10"/>
  <c r="M37" i="10"/>
  <c r="M42" i="10" s="1"/>
  <c r="N37" i="10"/>
  <c r="F32" i="10"/>
  <c r="G32" i="10"/>
  <c r="H32" i="10"/>
  <c r="I32" i="10"/>
  <c r="J32" i="10"/>
  <c r="K32" i="10"/>
  <c r="L32" i="10"/>
  <c r="M32" i="10"/>
  <c r="N32" i="10"/>
  <c r="F33" i="10"/>
  <c r="G33" i="10"/>
  <c r="G36" i="10" s="1"/>
  <c r="H33" i="10"/>
  <c r="H36" i="10" s="1"/>
  <c r="I33" i="10"/>
  <c r="J33" i="10"/>
  <c r="K33" i="10"/>
  <c r="L33" i="10"/>
  <c r="M33" i="10"/>
  <c r="N33" i="10"/>
  <c r="F34" i="10"/>
  <c r="G34" i="10"/>
  <c r="H34" i="10"/>
  <c r="I34" i="10"/>
  <c r="J34" i="10"/>
  <c r="J36" i="10" s="1"/>
  <c r="K34" i="10"/>
  <c r="K36" i="10" s="1"/>
  <c r="L34" i="10"/>
  <c r="M34" i="10"/>
  <c r="N34" i="10"/>
  <c r="F35" i="10"/>
  <c r="G35" i="10"/>
  <c r="H35" i="10"/>
  <c r="I35" i="10"/>
  <c r="J35" i="10"/>
  <c r="K35" i="10"/>
  <c r="L35" i="10"/>
  <c r="M35" i="10"/>
  <c r="M36" i="10" s="1"/>
  <c r="N35" i="10"/>
  <c r="N36" i="10" s="1"/>
  <c r="F31" i="10"/>
  <c r="G31" i="10"/>
  <c r="H31" i="10"/>
  <c r="I31" i="10"/>
  <c r="J31" i="10"/>
  <c r="K31" i="10"/>
  <c r="L31" i="10"/>
  <c r="M31" i="10"/>
  <c r="N31" i="10"/>
  <c r="F26" i="10"/>
  <c r="G26" i="10"/>
  <c r="H26" i="10"/>
  <c r="I26" i="10"/>
  <c r="J26" i="10"/>
  <c r="K26" i="10"/>
  <c r="L26" i="10"/>
  <c r="M26" i="10"/>
  <c r="N26" i="10"/>
  <c r="F27" i="10"/>
  <c r="G27" i="10"/>
  <c r="H27" i="10"/>
  <c r="I27" i="10"/>
  <c r="J27" i="10"/>
  <c r="J30" i="10" s="1"/>
  <c r="K27" i="10"/>
  <c r="K30" i="10" s="1"/>
  <c r="L27" i="10"/>
  <c r="M27" i="10"/>
  <c r="N27" i="10"/>
  <c r="F28" i="10"/>
  <c r="G28" i="10"/>
  <c r="H28" i="10"/>
  <c r="I28" i="10"/>
  <c r="J28" i="10"/>
  <c r="K28" i="10"/>
  <c r="L28" i="10"/>
  <c r="M28" i="10"/>
  <c r="N28" i="10"/>
  <c r="F29" i="10"/>
  <c r="G29" i="10"/>
  <c r="H29" i="10"/>
  <c r="I29" i="10"/>
  <c r="J29" i="10"/>
  <c r="K29" i="10"/>
  <c r="L29" i="10"/>
  <c r="M29" i="10"/>
  <c r="N29" i="10"/>
  <c r="F25" i="10"/>
  <c r="F30" i="10" s="1"/>
  <c r="G25" i="10"/>
  <c r="G30" i="10" s="1"/>
  <c r="H25" i="10"/>
  <c r="H30" i="10" s="1"/>
  <c r="I25" i="10"/>
  <c r="J25" i="10"/>
  <c r="K25" i="10"/>
  <c r="L25" i="10"/>
  <c r="L30" i="10" s="1"/>
  <c r="M25" i="10"/>
  <c r="M30" i="10" s="1"/>
  <c r="N25" i="10"/>
  <c r="N30" i="10" s="1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F16" i="10"/>
  <c r="G16" i="10"/>
  <c r="H16" i="10"/>
  <c r="I16" i="10"/>
  <c r="J16" i="10"/>
  <c r="K16" i="10"/>
  <c r="L16" i="10"/>
  <c r="M16" i="10"/>
  <c r="N16" i="10"/>
  <c r="O16" i="10"/>
  <c r="P16" i="10"/>
  <c r="P21" i="10" s="1"/>
  <c r="Q16" i="10"/>
  <c r="R16" i="10"/>
  <c r="S16" i="10"/>
  <c r="T16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S15" i="10" s="1"/>
  <c r="T13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F10" i="10"/>
  <c r="G10" i="10"/>
  <c r="H10" i="10"/>
  <c r="I10" i="10"/>
  <c r="J10" i="10"/>
  <c r="K10" i="10"/>
  <c r="L10" i="10"/>
  <c r="M10" i="10"/>
  <c r="M15" i="10" s="1"/>
  <c r="N10" i="10"/>
  <c r="O10" i="10"/>
  <c r="P10" i="10"/>
  <c r="P15" i="10" s="1"/>
  <c r="Q10" i="10"/>
  <c r="R10" i="10"/>
  <c r="S10" i="10"/>
  <c r="T10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F6" i="10"/>
  <c r="G6" i="10"/>
  <c r="G9" i="10" s="1"/>
  <c r="H6" i="10"/>
  <c r="I6" i="10"/>
  <c r="J6" i="10"/>
  <c r="K6" i="10"/>
  <c r="L6" i="10"/>
  <c r="M6" i="10"/>
  <c r="N6" i="10"/>
  <c r="O6" i="10"/>
  <c r="P6" i="10"/>
  <c r="Q6" i="10"/>
  <c r="R6" i="10"/>
  <c r="S6" i="10"/>
  <c r="S9" i="10" s="1"/>
  <c r="T6" i="10"/>
  <c r="F7" i="10"/>
  <c r="G7" i="10"/>
  <c r="H7" i="10"/>
  <c r="I7" i="10"/>
  <c r="J7" i="10"/>
  <c r="K7" i="10"/>
  <c r="L7" i="10"/>
  <c r="M7" i="10"/>
  <c r="N7" i="10"/>
  <c r="O7" i="10"/>
  <c r="P7" i="10"/>
  <c r="P9" i="10" s="1"/>
  <c r="Q7" i="10"/>
  <c r="R7" i="10"/>
  <c r="S7" i="10"/>
  <c r="T7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T9" i="10" s="1"/>
  <c r="F4" i="10"/>
  <c r="F9" i="10" s="1"/>
  <c r="G4" i="10"/>
  <c r="H4" i="10"/>
  <c r="I4" i="10"/>
  <c r="J4" i="10"/>
  <c r="J9" i="10" s="1"/>
  <c r="K4" i="10"/>
  <c r="K9" i="10" s="1"/>
  <c r="L4" i="10"/>
  <c r="L9" i="10" s="1"/>
  <c r="M4" i="10"/>
  <c r="M9" i="10" s="1"/>
  <c r="N4" i="10"/>
  <c r="N9" i="10" s="1"/>
  <c r="O4" i="10"/>
  <c r="O9" i="10" s="1"/>
  <c r="P4" i="10"/>
  <c r="Q4" i="10"/>
  <c r="Q9" i="10" s="1"/>
  <c r="R4" i="10"/>
  <c r="R9" i="10" s="1"/>
  <c r="S4" i="10"/>
  <c r="T4" i="10"/>
  <c r="N81" i="10"/>
  <c r="M81" i="10"/>
  <c r="K81" i="10"/>
  <c r="J81" i="10"/>
  <c r="H81" i="10"/>
  <c r="G81" i="10"/>
  <c r="N72" i="10"/>
  <c r="M72" i="10"/>
  <c r="K72" i="10"/>
  <c r="J72" i="10"/>
  <c r="H72" i="10"/>
  <c r="G72" i="10"/>
  <c r="N63" i="10"/>
  <c r="M63" i="10"/>
  <c r="L63" i="10"/>
  <c r="K63" i="10"/>
  <c r="I63" i="10"/>
  <c r="H63" i="10"/>
  <c r="F63" i="10"/>
  <c r="N57" i="10"/>
  <c r="L57" i="10"/>
  <c r="K57" i="10"/>
  <c r="J57" i="10"/>
  <c r="I57" i="10"/>
  <c r="H57" i="10"/>
  <c r="F57" i="10"/>
  <c r="N51" i="10"/>
  <c r="L51" i="10"/>
  <c r="K51" i="10"/>
  <c r="I51" i="10"/>
  <c r="H51" i="10"/>
  <c r="G51" i="10"/>
  <c r="F51" i="10"/>
  <c r="N42" i="10"/>
  <c r="L42" i="10"/>
  <c r="K42" i="10"/>
  <c r="I42" i="10"/>
  <c r="H42" i="10"/>
  <c r="F42" i="10"/>
  <c r="L36" i="10"/>
  <c r="I36" i="10"/>
  <c r="F36" i="10"/>
  <c r="I30" i="10"/>
  <c r="T21" i="10"/>
  <c r="S21" i="10"/>
  <c r="R21" i="10"/>
  <c r="Q21" i="10"/>
  <c r="O21" i="10"/>
  <c r="N21" i="10"/>
  <c r="M21" i="10"/>
  <c r="L21" i="10"/>
  <c r="K21" i="10"/>
  <c r="J21" i="10"/>
  <c r="I21" i="10"/>
  <c r="H21" i="10"/>
  <c r="G21" i="10"/>
  <c r="F21" i="10"/>
  <c r="J15" i="10"/>
  <c r="T15" i="10"/>
  <c r="R15" i="10"/>
  <c r="Q15" i="10"/>
  <c r="O15" i="10"/>
  <c r="N15" i="10"/>
  <c r="L15" i="10"/>
  <c r="K15" i="10"/>
  <c r="I15" i="10"/>
  <c r="H15" i="10"/>
  <c r="G15" i="10"/>
  <c r="F15" i="10"/>
  <c r="I9" i="10"/>
  <c r="H9" i="10"/>
  <c r="L81" i="10" l="1"/>
  <c r="I81" i="10"/>
  <c r="F81" i="10"/>
  <c r="L72" i="10"/>
  <c r="I72" i="10"/>
  <c r="F72" i="10"/>
</calcChain>
</file>

<file path=xl/sharedStrings.xml><?xml version="1.0" encoding="utf-8"?>
<sst xmlns="http://schemas.openxmlformats.org/spreadsheetml/2006/main" count="6086" uniqueCount="261">
  <si>
    <t>Field</t>
  </si>
  <si>
    <t>Value</t>
  </si>
  <si>
    <t>File</t>
  </si>
  <si>
    <t>Baseline_summary_result.xlsx</t>
  </si>
  <si>
    <t>Source</t>
  </si>
  <si>
    <t>Phylospec/multi_models/results/holdout</t>
  </si>
  <si>
    <t>Generated</t>
  </si>
  <si>
    <t>2026-09-11</t>
  </si>
  <si>
    <t>Results included</t>
  </si>
  <si>
    <t>130 CSV files; 650 per-flag rows and 130 supplied MACRO rows.</t>
  </si>
  <si>
    <t>Evaluation</t>
  </si>
  <si>
    <t>Single holdout split; point estimates only. No CV repeats or confidence intervals are supplied.</t>
  </si>
  <si>
    <t>Macro values</t>
  </si>
  <si>
    <t>Copied directly from each source CSV MACRO row; not recomputed.</t>
  </si>
  <si>
    <t>Injection</t>
  </si>
  <si>
    <t>with/without are copied from source metadata. unspecified means the source CSV has no injection field; these runs are retained separately.</t>
  </si>
  <si>
    <t>Missing values</t>
  </si>
  <si>
    <t>Empty or non-finite source values appear as blank cells.</t>
  </si>
  <si>
    <t>Source traceability</t>
  </si>
  <si>
    <t>source_file identifies the original CSV for every result and support row.</t>
  </si>
  <si>
    <t>Genus_PerFlag / Genus_MacroAvg</t>
  </si>
  <si>
    <t>Genus-tree results, including separately reported injection variants.</t>
  </si>
  <si>
    <t>ASV_PerFlag / ASV_MacroAvg</t>
  </si>
  <si>
    <t>ASV-tree results, including separately reported injection variants.</t>
  </si>
  <si>
    <t>TaxLevel_PerFlag / TaxLevel_MacroAvg</t>
  </si>
  <si>
    <t>Taxonomic baselines at Phylum, Class, Order, Family and Genus levels.</t>
  </si>
  <si>
    <t>Combined_MacroAvg</t>
  </si>
  <si>
    <t>All 130 reported runs, with experiment, level, domain, model and injection identifiers.</t>
  </si>
  <si>
    <t>Label_Support</t>
  </si>
  <si>
    <t>All supplied test_label_support CSVs, including injection support files; source_file preserves their exact context.</t>
  </si>
  <si>
    <t>n_pos / prevalence</t>
  </si>
  <si>
    <t>Positive test samples and fraction of test samples positive for the flag.</t>
  </si>
  <si>
    <t>auprc_lift</t>
  </si>
  <si>
    <t>AUPRC divided by label prevalence.</t>
  </si>
  <si>
    <t>threshold</t>
  </si>
  <si>
    <t>Decision threshold supplied for each flag.</t>
  </si>
  <si>
    <t>domain</t>
  </si>
  <si>
    <t>model</t>
  </si>
  <si>
    <t>injection</t>
  </si>
  <si>
    <t>flag</t>
  </si>
  <si>
    <t>n_pos</t>
  </si>
  <si>
    <t>prevalence</t>
  </si>
  <si>
    <t>auprc</t>
  </si>
  <si>
    <t>auroc</t>
  </si>
  <si>
    <t>mcc</t>
  </si>
  <si>
    <t>f2</t>
  </si>
  <si>
    <t>precision</t>
  </si>
  <si>
    <t>recall</t>
  </si>
  <si>
    <t>source_file</t>
  </si>
  <si>
    <t>ARC</t>
  </si>
  <si>
    <t>CNN</t>
  </si>
  <si>
    <t>unspecified</t>
  </si>
  <si>
    <t>acid_accumulation</t>
  </si>
  <si>
    <t>results_genustree_ARC_CNN.csv</t>
  </si>
  <si>
    <t>acid_base_balance</t>
  </si>
  <si>
    <t>ammonia_toxicity</t>
  </si>
  <si>
    <t>biogas_quality</t>
  </si>
  <si>
    <t>buffer_capacity</t>
  </si>
  <si>
    <t>DeepPhylo</t>
  </si>
  <si>
    <t>results_genustree_ARC_DeepPhylo.csv</t>
  </si>
  <si>
    <t>MetaDR</t>
  </si>
  <si>
    <t>results_genustree_ARC_MetaDR.csv</t>
  </si>
  <si>
    <t>PMCNN</t>
  </si>
  <si>
    <t>results_genustree_ARC_PMCNN.csv</t>
  </si>
  <si>
    <t>PhyloSpec</t>
  </si>
  <si>
    <t>results_genustree_ARC_PhyloSpec.csv</t>
  </si>
  <si>
    <t>RF</t>
  </si>
  <si>
    <t>results_genustree_ARC_RF.csv</t>
  </si>
  <si>
    <t>BAC</t>
  </si>
  <si>
    <t>results_genustree_BAC_CNN.csv</t>
  </si>
  <si>
    <t>results_genustree_BAC_DeepPhylo.csv</t>
  </si>
  <si>
    <t>results_genustree_BAC_MetaDR.csv</t>
  </si>
  <si>
    <t>results_genustree_BAC_PMCNN.csv</t>
  </si>
  <si>
    <t>results_genustree_BAC_PhyloSpec.csv</t>
  </si>
  <si>
    <t>results_genustree_BAC_RF.csv</t>
  </si>
  <si>
    <t>merged</t>
  </si>
  <si>
    <t>results_genustree_merged_CNN.csv</t>
  </si>
  <si>
    <t>results_genustree_merged_DeepPhylo.csv</t>
  </si>
  <si>
    <t>with</t>
  </si>
  <si>
    <t>results_genustree_merged_DeepPhylo_with.csv</t>
  </si>
  <si>
    <t>without</t>
  </si>
  <si>
    <t>results_genustree_merged_DeepPhylo_without.csv</t>
  </si>
  <si>
    <t>results_genustree_merged_MetaDR.csv</t>
  </si>
  <si>
    <t>results_genustree_merged_PMCNN.csv</t>
  </si>
  <si>
    <t>results_genustree_merged_PhyloSpec.csv</t>
  </si>
  <si>
    <t>results_genustree_merged_RF.csv</t>
  </si>
  <si>
    <t>results_asvtree_ARC_CNN.csv</t>
  </si>
  <si>
    <t>results_asvtree_ARC_DeepPhylo.csv</t>
  </si>
  <si>
    <t>results_asvtree_ARC_MetaDR.csv</t>
  </si>
  <si>
    <t>results_asvtree_ARC_PMCNN.csv</t>
  </si>
  <si>
    <t>results_asvtree_ARC_PhyloSpec.csv</t>
  </si>
  <si>
    <t>results_asvtree_ARC_RF.csv</t>
  </si>
  <si>
    <t>results_asvtree_BAC_CNN.csv</t>
  </si>
  <si>
    <t>results_asvtree_BAC_DeepPhylo.csv</t>
  </si>
  <si>
    <t>results_asvtree_BAC_MetaDR.csv</t>
  </si>
  <si>
    <t>results_asvtree_BAC_PMCNN.csv</t>
  </si>
  <si>
    <t>results_asvtree_BAC_PhyloSpec.csv</t>
  </si>
  <si>
    <t>results_asvtree_BAC_RF.csv</t>
  </si>
  <si>
    <t>results_asvtree_merged_CNN.csv</t>
  </si>
  <si>
    <t>results_asvtree_merged_DeepPhylo.csv</t>
  </si>
  <si>
    <t>results_asvtree_merged_DeepPhylo_with.csv</t>
  </si>
  <si>
    <t>results_asvtree_merged_DeepPhylo_without.csv</t>
  </si>
  <si>
    <t>results_asvtree_merged_MetaDR.csv</t>
  </si>
  <si>
    <t>results_asvtree_merged_PMCNN.csv</t>
  </si>
  <si>
    <t>results_asvtree_merged_PhyloSpec.csv</t>
  </si>
  <si>
    <t>results_asvtree_merged_RF.csv</t>
  </si>
  <si>
    <t>level</t>
  </si>
  <si>
    <t>Phylum</t>
  </si>
  <si>
    <t>GLMNET</t>
  </si>
  <si>
    <t>results_taxlevel_Phylum_ARC_GLMNET.csv</t>
  </si>
  <si>
    <t>KNN</t>
  </si>
  <si>
    <t>results_taxlevel_Phylum_ARC_KNN.csv</t>
  </si>
  <si>
    <t>NNET</t>
  </si>
  <si>
    <t>results_taxlevel_Phylum_ARC_NNET.csv</t>
  </si>
  <si>
    <t>results_taxlevel_Phylum_ARC_RF.csv</t>
  </si>
  <si>
    <t>SVM</t>
  </si>
  <si>
    <t>results_taxlevel_Phylum_ARC_SVM.csv</t>
  </si>
  <si>
    <t>XGBoost</t>
  </si>
  <si>
    <t>results_taxlevel_Phylum_ARC_XGBoost.csv</t>
  </si>
  <si>
    <t>results_taxlevel_Phylum_BAC_GLMNET.csv</t>
  </si>
  <si>
    <t>results_taxlevel_Phylum_BAC_KNN.csv</t>
  </si>
  <si>
    <t>results_taxlevel_Phylum_BAC_NNET.csv</t>
  </si>
  <si>
    <t>results_taxlevel_Phylum_BAC_RF.csv</t>
  </si>
  <si>
    <t>results_taxlevel_Phylum_BAC_SVM.csv</t>
  </si>
  <si>
    <t>results_taxlevel_Phylum_BAC_XGBoost.csv</t>
  </si>
  <si>
    <t>results_taxlevel_Phylum_merged_GLMNET.csv</t>
  </si>
  <si>
    <t>results_taxlevel_Phylum_merged_KNN.csv</t>
  </si>
  <si>
    <t>results_taxlevel_Phylum_merged_NNET.csv</t>
  </si>
  <si>
    <t>results_taxlevel_Phylum_merged_RF.csv</t>
  </si>
  <si>
    <t>results_taxlevel_Phylum_merged_SVM.csv</t>
  </si>
  <si>
    <t>results_taxlevel_Phylum_merged_XGBoost.csv</t>
  </si>
  <si>
    <t>Class</t>
  </si>
  <si>
    <t>results_taxlevel_Class_ARC_GLMNET.csv</t>
  </si>
  <si>
    <t>results_taxlevel_Class_ARC_KNN.csv</t>
  </si>
  <si>
    <t>results_taxlevel_Class_ARC_NNET.csv</t>
  </si>
  <si>
    <t>results_taxlevel_Class_ARC_RF.csv</t>
  </si>
  <si>
    <t>results_taxlevel_Class_ARC_SVM.csv</t>
  </si>
  <si>
    <t>results_taxlevel_Class_ARC_XGBoost.csv</t>
  </si>
  <si>
    <t>results_taxlevel_Class_BAC_GLMNET.csv</t>
  </si>
  <si>
    <t>results_taxlevel_Class_BAC_KNN.csv</t>
  </si>
  <si>
    <t>results_taxlevel_Class_BAC_NNET.csv</t>
  </si>
  <si>
    <t>results_taxlevel_Class_BAC_RF.csv</t>
  </si>
  <si>
    <t>results_taxlevel_Class_BAC_SVM.csv</t>
  </si>
  <si>
    <t>results_taxlevel_Class_BAC_XGBoost.csv</t>
  </si>
  <si>
    <t>results_taxlevel_Class_merged_GLMNET.csv</t>
  </si>
  <si>
    <t>results_taxlevel_Class_merged_KNN.csv</t>
  </si>
  <si>
    <t>results_taxlevel_Class_merged_NNET.csv</t>
  </si>
  <si>
    <t>results_taxlevel_Class_merged_RF.csv</t>
  </si>
  <si>
    <t>results_taxlevel_Class_merged_SVM.csv</t>
  </si>
  <si>
    <t>results_taxlevel_Class_merged_XGBoost.csv</t>
  </si>
  <si>
    <t>Order</t>
  </si>
  <si>
    <t>results_taxlevel_Order_ARC_GLMNET.csv</t>
  </si>
  <si>
    <t>results_taxlevel_Order_ARC_KNN.csv</t>
  </si>
  <si>
    <t>results_taxlevel_Order_ARC_NNET.csv</t>
  </si>
  <si>
    <t>results_taxlevel_Order_ARC_RF.csv</t>
  </si>
  <si>
    <t>results_taxlevel_Order_ARC_SVM.csv</t>
  </si>
  <si>
    <t>results_taxlevel_Order_ARC_XGBoost.csv</t>
  </si>
  <si>
    <t>results_taxlevel_Order_BAC_GLMNET.csv</t>
  </si>
  <si>
    <t>results_taxlevel_Order_BAC_KNN.csv</t>
  </si>
  <si>
    <t>results_taxlevel_Order_BAC_NNET.csv</t>
  </si>
  <si>
    <t>results_taxlevel_Order_BAC_RF.csv</t>
  </si>
  <si>
    <t>results_taxlevel_Order_BAC_SVM.csv</t>
  </si>
  <si>
    <t>results_taxlevel_Order_BAC_XGBoost.csv</t>
  </si>
  <si>
    <t>results_taxlevel_Order_merged_GLMNET.csv</t>
  </si>
  <si>
    <t>results_taxlevel_Order_merged_KNN.csv</t>
  </si>
  <si>
    <t>results_taxlevel_Order_merged_NNET.csv</t>
  </si>
  <si>
    <t>results_taxlevel_Order_merged_RF.csv</t>
  </si>
  <si>
    <t>results_taxlevel_Order_merged_SVM.csv</t>
  </si>
  <si>
    <t>results_taxlevel_Order_merged_XGBoost.csv</t>
  </si>
  <si>
    <t>Family</t>
  </si>
  <si>
    <t>results_taxlevel_Family_ARC_GLMNET.csv</t>
  </si>
  <si>
    <t>results_taxlevel_Family_ARC_KNN.csv</t>
  </si>
  <si>
    <t>results_taxlevel_Family_ARC_NNET.csv</t>
  </si>
  <si>
    <t>results_taxlevel_Family_ARC_RF.csv</t>
  </si>
  <si>
    <t>results_taxlevel_Family_ARC_SVM.csv</t>
  </si>
  <si>
    <t>results_taxlevel_Family_ARC_XGBoost.csv</t>
  </si>
  <si>
    <t>results_taxlevel_Family_BAC_GLMNET.csv</t>
  </si>
  <si>
    <t>results_taxlevel_Family_BAC_KNN.csv</t>
  </si>
  <si>
    <t>results_taxlevel_Family_BAC_NNET.csv</t>
  </si>
  <si>
    <t>results_taxlevel_Family_BAC_RF.csv</t>
  </si>
  <si>
    <t>results_taxlevel_Family_BAC_SVM.csv</t>
  </si>
  <si>
    <t>results_taxlevel_Family_BAC_XGBoost.csv</t>
  </si>
  <si>
    <t>results_taxlevel_Family_merged_GLMNET.csv</t>
  </si>
  <si>
    <t>results_taxlevel_Family_merged_KNN.csv</t>
  </si>
  <si>
    <t>results_taxlevel_Family_merged_NNET.csv</t>
  </si>
  <si>
    <t>results_taxlevel_Family_merged_RF.csv</t>
  </si>
  <si>
    <t>results_taxlevel_Family_merged_SVM.csv</t>
  </si>
  <si>
    <t>results_taxlevel_Family_merged_XGBoost.csv</t>
  </si>
  <si>
    <t>Genus</t>
  </si>
  <si>
    <t>results_taxlevel_Genus_ARC_GLMNET.csv</t>
  </si>
  <si>
    <t>results_taxlevel_Genus_ARC_KNN.csv</t>
  </si>
  <si>
    <t>results_taxlevel_Genus_ARC_NNET.csv</t>
  </si>
  <si>
    <t>results_taxlevel_Genus_ARC_RF.csv</t>
  </si>
  <si>
    <t>results_taxlevel_Genus_ARC_SVM.csv</t>
  </si>
  <si>
    <t>results_taxlevel_Genus_ARC_XGBoost.csv</t>
  </si>
  <si>
    <t>results_taxlevel_Genus_BAC_GLMNET.csv</t>
  </si>
  <si>
    <t>results_taxlevel_Genus_BAC_KNN.csv</t>
  </si>
  <si>
    <t>results_taxlevel_Genus_BAC_NNET.csv</t>
  </si>
  <si>
    <t>results_taxlevel_Genus_BAC_RF.csv</t>
  </si>
  <si>
    <t>results_taxlevel_Genus_BAC_SVM.csv</t>
  </si>
  <si>
    <t>results_taxlevel_Genus_BAC_XGBoost.csv</t>
  </si>
  <si>
    <t>results_taxlevel_Genus_merged_GLMNET.csv</t>
  </si>
  <si>
    <t>results_taxlevel_Genus_merged_KNN.csv</t>
  </si>
  <si>
    <t>results_taxlevel_Genus_merged_NNET.csv</t>
  </si>
  <si>
    <t>results_taxlevel_Genus_merged_RF.csv</t>
  </si>
  <si>
    <t>results_taxlevel_Genus_merged_SVM.csv</t>
  </si>
  <si>
    <t>results_taxlevel_Genus_merged_XGBoost.csv</t>
  </si>
  <si>
    <t>experiment</t>
  </si>
  <si>
    <t>ASV tree</t>
  </si>
  <si>
    <t>ASV</t>
  </si>
  <si>
    <t>Genus tree</t>
  </si>
  <si>
    <t>Taxonomic level (baseline models)</t>
  </si>
  <si>
    <t>arm</t>
  </si>
  <si>
    <t>label</t>
  </si>
  <si>
    <t>n_pos_samples</t>
  </si>
  <si>
    <t>n_pos_sites</t>
  </si>
  <si>
    <t>n_sites</t>
  </si>
  <si>
    <t>asvtree</t>
  </si>
  <si>
    <t>test_label_support_asvtree_ARC.csv</t>
  </si>
  <si>
    <t>test_label_support_asvtree_BAC.csv</t>
  </si>
  <si>
    <t>injection support</t>
  </si>
  <si>
    <t>test_label_support_asvtree_injection.csv</t>
  </si>
  <si>
    <t>test_label_support_asvtree_merged.csv</t>
  </si>
  <si>
    <t>genustree</t>
  </si>
  <si>
    <t>test_label_support_genustree_ARC.csv</t>
  </si>
  <si>
    <t>test_label_support_genustree_BAC.csv</t>
  </si>
  <si>
    <t>test_label_support_genustree_injection.csv</t>
  </si>
  <si>
    <t>test_label_support_genustree_merged.csv</t>
  </si>
  <si>
    <t>taxlevel</t>
  </si>
  <si>
    <t>test_label_support_taxlevel_Class_ARC.csv</t>
  </si>
  <si>
    <t>test_label_support_taxlevel_Class_BAC.csv</t>
  </si>
  <si>
    <t>test_label_support_taxlevel_Class_merged.csv</t>
  </si>
  <si>
    <t>test_label_support_taxlevel_Family_ARC.csv</t>
  </si>
  <si>
    <t>test_label_support_taxlevel_Family_BAC.csv</t>
  </si>
  <si>
    <t>test_label_support_taxlevel_Family_merged.csv</t>
  </si>
  <si>
    <t>test_label_support_taxlevel_Genus_ARC.csv</t>
  </si>
  <si>
    <t>test_label_support_taxlevel_Genus_BAC.csv</t>
  </si>
  <si>
    <t>test_label_support_taxlevel_Genus_merged.csv</t>
  </si>
  <si>
    <t>test_label_support_taxlevel_Order_ARC.csv</t>
  </si>
  <si>
    <t>test_label_support_taxlevel_Order_BAC.csv</t>
  </si>
  <si>
    <t>test_label_support_taxlevel_Order_merged.csv</t>
  </si>
  <si>
    <t>test_label_support_taxlevel_Phylum_ARC.csv</t>
  </si>
  <si>
    <t>test_label_support_taxlevel_Phylum_BAC.csv</t>
  </si>
  <si>
    <t>test_label_support_taxlevel_Phylum_merged.csv</t>
  </si>
  <si>
    <t>1) TaxLevel</t>
    <phoneticPr fontId="2" type="noConversion"/>
  </si>
  <si>
    <t>Dataset</t>
  </si>
  <si>
    <t>Flag</t>
  </si>
  <si>
    <t>n_pos</t>
    <phoneticPr fontId="2" type="noConversion"/>
  </si>
  <si>
    <t>prevalence</t>
    <phoneticPr fontId="2" type="noConversion"/>
  </si>
  <si>
    <t>MCC</t>
    <phoneticPr fontId="4" type="noConversion"/>
  </si>
  <si>
    <t>AUPR</t>
    <phoneticPr fontId="4" type="noConversion"/>
  </si>
  <si>
    <t>F2</t>
    <phoneticPr fontId="4" type="noConversion"/>
  </si>
  <si>
    <t>Macro-avg</t>
  </si>
  <si>
    <t>Phylospec</t>
  </si>
  <si>
    <t>DeepPhylo</t>
    <phoneticPr fontId="4" type="noConversion"/>
  </si>
  <si>
    <t>MetaDR</t>
    <phoneticPr fontId="4" type="noConversion"/>
  </si>
  <si>
    <t>Phylospec</t>
    <phoneticPr fontId="4" type="noConversion"/>
  </si>
  <si>
    <t>2) ASV-tree</t>
    <phoneticPr fontId="2" type="noConversion"/>
  </si>
  <si>
    <t>3) Genus-tree</t>
    <phoneticPr fontId="2" type="noConversion"/>
  </si>
  <si>
    <t>4) ASV-tree + cross-domain</t>
    <phoneticPr fontId="2" type="noConversion"/>
  </si>
  <si>
    <t>5) Genus-tree + cross-domain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</si>
</sst>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8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</font>
    <font>
      <sz val="11"/>
      <name val="맑은 고딕"/>
      <family val="3"/>
      <charset val="129"/>
    </font>
    <font>
      <b/>
      <sz val="11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176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2" fontId="0" fillId="0" borderId="3" xfId="0" applyNumberFormat="1" applyBorder="1"/>
    <xf numFmtId="2" fontId="0" fillId="0" borderId="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2" fontId="0" fillId="0" borderId="14" xfId="0" applyNumberFormat="1" applyBorder="1"/>
    <xf numFmtId="2" fontId="0" fillId="0" borderId="1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0" fillId="0" borderId="16" xfId="0" applyBorder="1"/>
    <xf numFmtId="0" fontId="1" fillId="2" borderId="17" xfId="0" applyFont="1" applyFill="1" applyBorder="1"/>
    <xf numFmtId="2" fontId="1" fillId="2" borderId="17" xfId="0" applyNumberFormat="1" applyFont="1" applyFill="1" applyBorder="1"/>
    <xf numFmtId="2" fontId="5" fillId="2" borderId="16" xfId="0" applyNumberFormat="1" applyFont="1" applyFill="1" applyBorder="1" applyAlignment="1">
      <alignment horizontal="center" vertical="center"/>
    </xf>
    <xf numFmtId="2" fontId="6" fillId="2" borderId="18" xfId="0" applyNumberFormat="1" applyFont="1" applyFill="1" applyBorder="1" applyAlignment="1">
      <alignment horizontal="center" vertical="center"/>
    </xf>
    <xf numFmtId="2" fontId="1" fillId="2" borderId="18" xfId="0" applyNumberFormat="1" applyFont="1" applyFill="1" applyBorder="1" applyAlignment="1">
      <alignment horizontal="center" vertical="center"/>
    </xf>
    <xf numFmtId="2" fontId="5" fillId="2" borderId="18" xfId="0" applyNumberFormat="1" applyFont="1" applyFill="1" applyBorder="1" applyAlignment="1">
      <alignment horizontal="center" vertical="center"/>
    </xf>
    <xf numFmtId="2" fontId="7" fillId="2" borderId="18" xfId="0" applyNumberFormat="1" applyFont="1" applyFill="1" applyBorder="1" applyAlignment="1">
      <alignment horizontal="center" vertical="center"/>
    </xf>
    <xf numFmtId="2" fontId="6" fillId="2" borderId="16" xfId="0" applyNumberFormat="1" applyFont="1" applyFill="1" applyBorder="1" applyAlignment="1">
      <alignment horizontal="center" vertical="center"/>
    </xf>
    <xf numFmtId="2" fontId="6" fillId="2" borderId="19" xfId="0" applyNumberFormat="1" applyFont="1" applyFill="1" applyBorder="1" applyAlignment="1">
      <alignment horizontal="center" vertical="center"/>
    </xf>
    <xf numFmtId="2" fontId="0" fillId="0" borderId="0" xfId="0" applyNumberFormat="1"/>
    <xf numFmtId="2" fontId="1" fillId="2" borderId="3" xfId="0" applyNumberFormat="1" applyFont="1" applyFill="1" applyBorder="1" applyAlignment="1">
      <alignment horizontal="center" vertical="center"/>
    </xf>
    <xf numFmtId="2" fontId="1" fillId="2" borderId="8" xfId="0" applyNumberFormat="1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</cellXfs>
  <cellStyles count="1">
    <cellStyle name="표준" xfId="0" builtinId="0"/>
  </cellStyles>
  <dxfs count="2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CD7A1C7-05D2-43F4-8D96-59EC78CAFE8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3bf881c-7100-42d2-936e-468c38c69b1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30" customWidth="1"/>
    <col min="2" max="2" width="40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</sheetData>
  <autoFilter ref="A1:B18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DA4C3-FF10-4391-A86D-3A66F7AB8C69}">
  <dimension ref="B1:T81"/>
  <sheetViews>
    <sheetView tabSelected="1" workbookViewId="0">
      <selection activeCell="U27" sqref="U27"/>
    </sheetView>
  </sheetViews>
  <sheetFormatPr defaultRowHeight="16.5"/>
  <sheetData>
    <row r="1" spans="2:20" ht="17.25" thickBot="1">
      <c r="B1" t="s">
        <v>244</v>
      </c>
    </row>
    <row r="2" spans="2:20">
      <c r="B2" s="4" t="s">
        <v>245</v>
      </c>
      <c r="C2" s="5" t="s">
        <v>246</v>
      </c>
      <c r="D2" s="5" t="s">
        <v>247</v>
      </c>
      <c r="E2" s="5" t="s">
        <v>248</v>
      </c>
      <c r="F2" s="6" t="s">
        <v>249</v>
      </c>
      <c r="G2" s="7"/>
      <c r="H2" s="7"/>
      <c r="I2" s="7"/>
      <c r="J2" s="7"/>
      <c r="K2" s="6" t="s">
        <v>250</v>
      </c>
      <c r="L2" s="7"/>
      <c r="M2" s="7"/>
      <c r="N2" s="7"/>
      <c r="O2" s="7"/>
      <c r="P2" s="6" t="s">
        <v>251</v>
      </c>
      <c r="Q2" s="7"/>
      <c r="R2" s="7"/>
      <c r="S2" s="7"/>
      <c r="T2" s="8"/>
    </row>
    <row r="3" spans="2:20" ht="17.25" thickBot="1">
      <c r="B3" s="9"/>
      <c r="C3" s="10"/>
      <c r="D3" s="10"/>
      <c r="E3" s="10"/>
      <c r="F3" s="11" t="s">
        <v>107</v>
      </c>
      <c r="G3" s="12" t="s">
        <v>131</v>
      </c>
      <c r="H3" s="12" t="s">
        <v>150</v>
      </c>
      <c r="I3" s="12" t="s">
        <v>169</v>
      </c>
      <c r="J3" s="12" t="s">
        <v>188</v>
      </c>
      <c r="K3" s="11" t="s">
        <v>107</v>
      </c>
      <c r="L3" s="12" t="s">
        <v>131</v>
      </c>
      <c r="M3" s="12" t="s">
        <v>150</v>
      </c>
      <c r="N3" s="12" t="s">
        <v>169</v>
      </c>
      <c r="O3" s="12" t="s">
        <v>188</v>
      </c>
      <c r="P3" s="11" t="s">
        <v>107</v>
      </c>
      <c r="Q3" s="12" t="s">
        <v>131</v>
      </c>
      <c r="R3" s="12" t="s">
        <v>150</v>
      </c>
      <c r="S3" s="12" t="s">
        <v>169</v>
      </c>
      <c r="T3" s="13" t="s">
        <v>188</v>
      </c>
    </row>
    <row r="4" spans="2:20" ht="17.25" thickBot="1">
      <c r="B4" s="14" t="s">
        <v>49</v>
      </c>
      <c r="C4" s="15" t="s">
        <v>57</v>
      </c>
      <c r="D4" s="15">
        <v>9</v>
      </c>
      <c r="E4" s="16">
        <v>6.5217391304347797E-2</v>
      </c>
      <c r="F4" s="17">
        <f>_xlfn.MAXIFS(TaxLevel_PerFlag!$K:$K,TaxLevel_PerFlag!$A:$A,F$3,TaxLevel_PerFlag!$B:$B,$B$4,TaxLevel_PerFlag!$E:$E,$C4)</f>
        <v>0.47245559126153402</v>
      </c>
      <c r="G4" s="18">
        <f>_xlfn.MAXIFS(TaxLevel_PerFlag!$K:$K,TaxLevel_PerFlag!$A:$A,G$3,TaxLevel_PerFlag!$B:$B,$B$4,TaxLevel_PerFlag!$E:$E,$C4)</f>
        <v>0.18257418583505541</v>
      </c>
      <c r="H4" s="18">
        <f>_xlfn.MAXIFS(TaxLevel_PerFlag!$K:$K,TaxLevel_PerFlag!$A:$A,H$3,TaxLevel_PerFlag!$B:$B,$B$4,TaxLevel_PerFlag!$E:$E,$C4)</f>
        <v>0.20965696734438369</v>
      </c>
      <c r="I4" s="18">
        <f>_xlfn.MAXIFS(TaxLevel_PerFlag!$K:$K,TaxLevel_PerFlag!$A:$A,I$3,TaxLevel_PerFlag!$B:$B,$B$4,TaxLevel_PerFlag!$E:$E,$C4)</f>
        <v>0.18257418583505541</v>
      </c>
      <c r="J4" s="18">
        <f>_xlfn.MAXIFS(TaxLevel_PerFlag!$K:$K,TaxLevel_PerFlag!$A:$A,J$3,TaxLevel_PerFlag!$B:$B,$B$4,TaxLevel_PerFlag!$E:$E,$C4)</f>
        <v>0.15877683720748889</v>
      </c>
      <c r="K4" s="17">
        <f>_xlfn.MAXIFS(TaxLevel_PerFlag!$H:$H,TaxLevel_PerFlag!$A:$A,K$3,TaxLevel_PerFlag!$B:$B,$B$4,TaxLevel_PerFlag!$E:$E,$C4)</f>
        <v>0.33333333333333331</v>
      </c>
      <c r="L4" s="18">
        <f>_xlfn.MAXIFS(TaxLevel_PerFlag!$H:$H,TaxLevel_PerFlag!$A:$A,L$3,TaxLevel_PerFlag!$B:$B,$B$4,TaxLevel_PerFlag!$E:$E,$C4)</f>
        <v>1</v>
      </c>
      <c r="M4" s="18">
        <f>_xlfn.MAXIFS(TaxLevel_PerFlag!$H:$H,TaxLevel_PerFlag!$A:$A,M$3,TaxLevel_PerFlag!$B:$B,$B$4,TaxLevel_PerFlag!$E:$E,$C4)</f>
        <v>1</v>
      </c>
      <c r="N4" s="18">
        <f>_xlfn.MAXIFS(TaxLevel_PerFlag!$H:$H,TaxLevel_PerFlag!$A:$A,N$3,TaxLevel_PerFlag!$B:$B,$B$4,TaxLevel_PerFlag!$E:$E,$C4)</f>
        <v>8.3333333333333329E-2</v>
      </c>
      <c r="O4" s="18">
        <f>_xlfn.MAXIFS(TaxLevel_PerFlag!$H:$H,TaxLevel_PerFlag!$A:$A,O$3,TaxLevel_PerFlag!$B:$B,$B$4,TaxLevel_PerFlag!$E:$E,$C4)</f>
        <v>0.2</v>
      </c>
      <c r="P4" s="17">
        <f>_xlfn.MAXIFS(TaxLevel_PerFlag!$L:$L,TaxLevel_PerFlag!$A:$A,P$3,TaxLevel_PerFlag!$B:$B,$B$4,TaxLevel_PerFlag!$E:$E,$C4)</f>
        <v>0.625</v>
      </c>
      <c r="Q4" s="18">
        <f>_xlfn.MAXIFS(TaxLevel_PerFlag!$L:$L,TaxLevel_PerFlag!$A:$A,Q$3,TaxLevel_PerFlag!$B:$B,$B$4,TaxLevel_PerFlag!$E:$E,$C4)</f>
        <v>0.26315789473684209</v>
      </c>
      <c r="R4" s="18">
        <f>_xlfn.MAXIFS(TaxLevel_PerFlag!$L:$L,TaxLevel_PerFlag!$A:$A,R$3,TaxLevel_PerFlag!$B:$B,$B$4,TaxLevel_PerFlag!$E:$E,$C4)</f>
        <v>0.29411764705882348</v>
      </c>
      <c r="S4" s="18">
        <f>_xlfn.MAXIFS(TaxLevel_PerFlag!$L:$L,TaxLevel_PerFlag!$A:$A,S$3,TaxLevel_PerFlag!$B:$B,$B$4,TaxLevel_PerFlag!$E:$E,$C4)</f>
        <v>0.26315789473684209</v>
      </c>
      <c r="T4" s="19">
        <f>_xlfn.MAXIFS(TaxLevel_PerFlag!$L:$L,TaxLevel_PerFlag!$A:$A,T$3,TaxLevel_PerFlag!$B:$B,$B$4,TaxLevel_PerFlag!$E:$E,$C4)</f>
        <v>0.23809523809523811</v>
      </c>
    </row>
    <row r="5" spans="2:20" ht="17.25" thickBot="1">
      <c r="B5" s="20"/>
      <c r="C5" s="21" t="s">
        <v>54</v>
      </c>
      <c r="D5" s="21">
        <v>4</v>
      </c>
      <c r="E5" s="22">
        <v>2.8985507246376802E-2</v>
      </c>
      <c r="F5" s="17">
        <f>_xlfn.MAXIFS(TaxLevel_PerFlag!$K:$K,TaxLevel_PerFlag!$A:$A,F$3,TaxLevel_PerFlag!$B:$B,$B$4,TaxLevel_PerFlag!$E:$E,$C5)</f>
        <v>0.16919084232174361</v>
      </c>
      <c r="G5" s="18">
        <f>_xlfn.MAXIFS(TaxLevel_PerFlag!$K:$K,TaxLevel_PerFlag!$A:$A,G$3,TaxLevel_PerFlag!$B:$B,$B$4,TaxLevel_PerFlag!$E:$E,$C5)</f>
        <v>0.27500000000000002</v>
      </c>
      <c r="H5" s="18">
        <f>_xlfn.MAXIFS(TaxLevel_PerFlag!$K:$K,TaxLevel_PerFlag!$A:$A,H$3,TaxLevel_PerFlag!$B:$B,$B$4,TaxLevel_PerFlag!$E:$E,$C5)</f>
        <v>3.3333333333333333E-2</v>
      </c>
      <c r="I5" s="18">
        <f>_xlfn.MAXIFS(TaxLevel_PerFlag!$K:$K,TaxLevel_PerFlag!$A:$A,I$3,TaxLevel_PerFlag!$B:$B,$B$4,TaxLevel_PerFlag!$E:$E,$C5)</f>
        <v>0.38251842611872477</v>
      </c>
      <c r="J5" s="18">
        <f>_xlfn.MAXIFS(TaxLevel_PerFlag!$K:$K,TaxLevel_PerFlag!$A:$A,J$3,TaxLevel_PerFlag!$B:$B,$B$4,TaxLevel_PerFlag!$E:$E,$C5)</f>
        <v>0</v>
      </c>
      <c r="K5" s="17">
        <f>_xlfn.MAXIFS(TaxLevel_PerFlag!$H:$H,TaxLevel_PerFlag!$A:$A,K$3,TaxLevel_PerFlag!$B:$B,$B$4,TaxLevel_PerFlag!$E:$E,$C5)</f>
        <v>0.56114942528735634</v>
      </c>
      <c r="L5" s="18">
        <f>_xlfn.MAXIFS(TaxLevel_PerFlag!$H:$H,TaxLevel_PerFlag!$A:$A,L$3,TaxLevel_PerFlag!$B:$B,$B$4,TaxLevel_PerFlag!$E:$E,$C5)</f>
        <v>0.36543859649122801</v>
      </c>
      <c r="M5" s="18">
        <f>_xlfn.MAXIFS(TaxLevel_PerFlag!$H:$H,TaxLevel_PerFlag!$A:$A,M$3,TaxLevel_PerFlag!$B:$B,$B$4,TaxLevel_PerFlag!$E:$E,$C5)</f>
        <v>0.27594771241830057</v>
      </c>
      <c r="N5" s="18">
        <f>_xlfn.MAXIFS(TaxLevel_PerFlag!$H:$H,TaxLevel_PerFlag!$A:$A,N$3,TaxLevel_PerFlag!$B:$B,$B$4,TaxLevel_PerFlag!$E:$E,$C5)</f>
        <v>0.33238095238095228</v>
      </c>
      <c r="O5" s="18">
        <f>_xlfn.MAXIFS(TaxLevel_PerFlag!$H:$H,TaxLevel_PerFlag!$A:$A,O$3,TaxLevel_PerFlag!$B:$B,$B$4,TaxLevel_PerFlag!$E:$E,$C5)</f>
        <v>0.23520817417876241</v>
      </c>
      <c r="P5" s="17">
        <f>_xlfn.MAXIFS(TaxLevel_PerFlag!$L:$L,TaxLevel_PerFlag!$A:$A,P$3,TaxLevel_PerFlag!$B:$B,$B$4,TaxLevel_PerFlag!$E:$E,$C5)</f>
        <v>0.37037037037037029</v>
      </c>
      <c r="Q5" s="18">
        <f>_xlfn.MAXIFS(TaxLevel_PerFlag!$L:$L,TaxLevel_PerFlag!$A:$A,Q$3,TaxLevel_PerFlag!$B:$B,$B$4,TaxLevel_PerFlag!$E:$E,$C5)</f>
        <v>0.4</v>
      </c>
      <c r="R5" s="18">
        <f>_xlfn.MAXIFS(TaxLevel_PerFlag!$L:$L,TaxLevel_PerFlag!$A:$A,R$3,TaxLevel_PerFlag!$B:$B,$B$4,TaxLevel_PerFlag!$E:$E,$C5)</f>
        <v>0.2</v>
      </c>
      <c r="S5" s="18">
        <f>_xlfn.MAXIFS(TaxLevel_PerFlag!$L:$L,TaxLevel_PerFlag!$A:$A,S$3,TaxLevel_PerFlag!$B:$B,$B$4,TaxLevel_PerFlag!$E:$E,$C5)</f>
        <v>0.55555555555555558</v>
      </c>
      <c r="T5" s="19">
        <f>_xlfn.MAXIFS(TaxLevel_PerFlag!$L:$L,TaxLevel_PerFlag!$A:$A,T$3,TaxLevel_PerFlag!$B:$B,$B$4,TaxLevel_PerFlag!$E:$E,$C5)</f>
        <v>0.29411764705882348</v>
      </c>
    </row>
    <row r="6" spans="2:20" ht="17.25" thickBot="1">
      <c r="B6" s="20"/>
      <c r="C6" s="21" t="s">
        <v>52</v>
      </c>
      <c r="D6" s="21">
        <v>20</v>
      </c>
      <c r="E6" s="22">
        <v>0.14492753623188401</v>
      </c>
      <c r="F6" s="17">
        <f>_xlfn.MAXIFS(TaxLevel_PerFlag!$K:$K,TaxLevel_PerFlag!$A:$A,F$3,TaxLevel_PerFlag!$B:$B,$B$4,TaxLevel_PerFlag!$E:$E,$C6)</f>
        <v>1</v>
      </c>
      <c r="G6" s="18">
        <f>_xlfn.MAXIFS(TaxLevel_PerFlag!$K:$K,TaxLevel_PerFlag!$A:$A,G$3,TaxLevel_PerFlag!$B:$B,$B$4,TaxLevel_PerFlag!$E:$E,$C6)</f>
        <v>0</v>
      </c>
      <c r="H6" s="18">
        <f>_xlfn.MAXIFS(TaxLevel_PerFlag!$K:$K,TaxLevel_PerFlag!$A:$A,H$3,TaxLevel_PerFlag!$B:$B,$B$4,TaxLevel_PerFlag!$E:$E,$C6)</f>
        <v>0</v>
      </c>
      <c r="I6" s="18">
        <f>_xlfn.MAXIFS(TaxLevel_PerFlag!$K:$K,TaxLevel_PerFlag!$A:$A,I$3,TaxLevel_PerFlag!$B:$B,$B$4,TaxLevel_PerFlag!$E:$E,$C6)</f>
        <v>0.69436507482941356</v>
      </c>
      <c r="J6" s="18">
        <f>_xlfn.MAXIFS(TaxLevel_PerFlag!$K:$K,TaxLevel_PerFlag!$A:$A,J$3,TaxLevel_PerFlag!$B:$B,$B$4,TaxLevel_PerFlag!$E:$E,$C6)</f>
        <v>1</v>
      </c>
      <c r="K6" s="17">
        <f>_xlfn.MAXIFS(TaxLevel_PerFlag!$H:$H,TaxLevel_PerFlag!$A:$A,K$3,TaxLevel_PerFlag!$B:$B,$B$4,TaxLevel_PerFlag!$E:$E,$C6)</f>
        <v>1</v>
      </c>
      <c r="L6" s="18">
        <f>_xlfn.MAXIFS(TaxLevel_PerFlag!$H:$H,TaxLevel_PerFlag!$A:$A,L$3,TaxLevel_PerFlag!$B:$B,$B$4,TaxLevel_PerFlag!$E:$E,$C6)</f>
        <v>0.33333333333333331</v>
      </c>
      <c r="M6" s="18">
        <f>_xlfn.MAXIFS(TaxLevel_PerFlag!$H:$H,TaxLevel_PerFlag!$A:$A,M$3,TaxLevel_PerFlag!$B:$B,$B$4,TaxLevel_PerFlag!$E:$E,$C6)</f>
        <v>0.33333333333333331</v>
      </c>
      <c r="N6" s="18">
        <f>_xlfn.MAXIFS(TaxLevel_PerFlag!$H:$H,TaxLevel_PerFlag!$A:$A,N$3,TaxLevel_PerFlag!$B:$B,$B$4,TaxLevel_PerFlag!$E:$E,$C6)</f>
        <v>1</v>
      </c>
      <c r="O6" s="18">
        <f>_xlfn.MAXIFS(TaxLevel_PerFlag!$H:$H,TaxLevel_PerFlag!$A:$A,O$3,TaxLevel_PerFlag!$B:$B,$B$4,TaxLevel_PerFlag!$E:$E,$C6)</f>
        <v>1</v>
      </c>
      <c r="P6" s="17">
        <f>_xlfn.MAXIFS(TaxLevel_PerFlag!$L:$L,TaxLevel_PerFlag!$A:$A,P$3,TaxLevel_PerFlag!$B:$B,$B$4,TaxLevel_PerFlag!$E:$E,$C6)</f>
        <v>1</v>
      </c>
      <c r="Q6" s="18">
        <f>_xlfn.MAXIFS(TaxLevel_PerFlag!$L:$L,TaxLevel_PerFlag!$A:$A,Q$3,TaxLevel_PerFlag!$B:$B,$B$4,TaxLevel_PerFlag!$E:$E,$C6)</f>
        <v>0</v>
      </c>
      <c r="R6" s="18">
        <f>_xlfn.MAXIFS(TaxLevel_PerFlag!$L:$L,TaxLevel_PerFlag!$A:$A,R$3,TaxLevel_PerFlag!$B:$B,$B$4,TaxLevel_PerFlag!$E:$E,$C6)</f>
        <v>0</v>
      </c>
      <c r="S6" s="18">
        <f>_xlfn.MAXIFS(TaxLevel_PerFlag!$L:$L,TaxLevel_PerFlag!$A:$A,S$3,TaxLevel_PerFlag!$B:$B,$B$4,TaxLevel_PerFlag!$E:$E,$C6)</f>
        <v>0.83333333333333337</v>
      </c>
      <c r="T6" s="19">
        <f>_xlfn.MAXIFS(TaxLevel_PerFlag!$L:$L,TaxLevel_PerFlag!$A:$A,T$3,TaxLevel_PerFlag!$B:$B,$B$4,TaxLevel_PerFlag!$E:$E,$C6)</f>
        <v>1</v>
      </c>
    </row>
    <row r="7" spans="2:20" ht="17.25" thickBot="1">
      <c r="B7" s="20"/>
      <c r="C7" s="21" t="s">
        <v>55</v>
      </c>
      <c r="D7" s="21">
        <v>26</v>
      </c>
      <c r="E7" s="22">
        <v>0.1884057971014492</v>
      </c>
      <c r="F7" s="17">
        <f>_xlfn.MAXIFS(TaxLevel_PerFlag!$K:$K,TaxLevel_PerFlag!$A:$A,F$3,TaxLevel_PerFlag!$B:$B,$B$4,TaxLevel_PerFlag!$E:$E,$C7)</f>
        <v>0.61162352254743546</v>
      </c>
      <c r="G7" s="18">
        <f>_xlfn.MAXIFS(TaxLevel_PerFlag!$K:$K,TaxLevel_PerFlag!$A:$A,G$3,TaxLevel_PerFlag!$B:$B,$B$4,TaxLevel_PerFlag!$E:$E,$C7)</f>
        <v>0.61162352254743546</v>
      </c>
      <c r="H7" s="18">
        <f>_xlfn.MAXIFS(TaxLevel_PerFlag!$K:$K,TaxLevel_PerFlag!$A:$A,H$3,TaxLevel_PerFlag!$B:$B,$B$4,TaxLevel_PerFlag!$E:$E,$C7)</f>
        <v>0.61162352254743546</v>
      </c>
      <c r="I7" s="18">
        <f>_xlfn.MAXIFS(TaxLevel_PerFlag!$K:$K,TaxLevel_PerFlag!$A:$A,I$3,TaxLevel_PerFlag!$B:$B,$B$4,TaxLevel_PerFlag!$E:$E,$C7)</f>
        <v>0.70912420834233469</v>
      </c>
      <c r="J7" s="18">
        <f>_xlfn.MAXIFS(TaxLevel_PerFlag!$K:$K,TaxLevel_PerFlag!$A:$A,J$3,TaxLevel_PerFlag!$B:$B,$B$4,TaxLevel_PerFlag!$E:$E,$C7)</f>
        <v>0.64807406984078608</v>
      </c>
      <c r="K7" s="17">
        <f>_xlfn.MAXIFS(TaxLevel_PerFlag!$H:$H,TaxLevel_PerFlag!$A:$A,K$3,TaxLevel_PerFlag!$B:$B,$B$4,TaxLevel_PerFlag!$E:$E,$C7)</f>
        <v>0.72916666666666663</v>
      </c>
      <c r="L7" s="18">
        <f>_xlfn.MAXIFS(TaxLevel_PerFlag!$H:$H,TaxLevel_PerFlag!$A:$A,L$3,TaxLevel_PerFlag!$B:$B,$B$4,TaxLevel_PerFlag!$E:$E,$C7)</f>
        <v>0.53448275862068972</v>
      </c>
      <c r="M7" s="18">
        <f>_xlfn.MAXIFS(TaxLevel_PerFlag!$H:$H,TaxLevel_PerFlag!$A:$A,M$3,TaxLevel_PerFlag!$B:$B,$B$4,TaxLevel_PerFlag!$E:$E,$C7)</f>
        <v>0.53448275862068972</v>
      </c>
      <c r="N7" s="18">
        <f>_xlfn.MAXIFS(TaxLevel_PerFlag!$H:$H,TaxLevel_PerFlag!$A:$A,N$3,TaxLevel_PerFlag!$B:$B,$B$4,TaxLevel_PerFlag!$E:$E,$C7)</f>
        <v>0.85</v>
      </c>
      <c r="O7" s="18">
        <f>_xlfn.MAXIFS(TaxLevel_PerFlag!$H:$H,TaxLevel_PerFlag!$A:$A,O$3,TaxLevel_PerFlag!$B:$B,$B$4,TaxLevel_PerFlag!$E:$E,$C7)</f>
        <v>0.70952380952380945</v>
      </c>
      <c r="P7" s="17">
        <f>_xlfn.MAXIFS(TaxLevel_PerFlag!$L:$L,TaxLevel_PerFlag!$A:$A,P$3,TaxLevel_PerFlag!$B:$B,$B$4,TaxLevel_PerFlag!$E:$E,$C7)</f>
        <v>0.76923076923076927</v>
      </c>
      <c r="Q7" s="18">
        <f>_xlfn.MAXIFS(TaxLevel_PerFlag!$L:$L,TaxLevel_PerFlag!$A:$A,Q$3,TaxLevel_PerFlag!$B:$B,$B$4,TaxLevel_PerFlag!$E:$E,$C7)</f>
        <v>0.7142857142857143</v>
      </c>
      <c r="R7" s="18">
        <f>_xlfn.MAXIFS(TaxLevel_PerFlag!$L:$L,TaxLevel_PerFlag!$A:$A,R$3,TaxLevel_PerFlag!$B:$B,$B$4,TaxLevel_PerFlag!$E:$E,$C7)</f>
        <v>0.7142857142857143</v>
      </c>
      <c r="S7" s="18">
        <f>_xlfn.MAXIFS(TaxLevel_PerFlag!$L:$L,TaxLevel_PerFlag!$A:$A,S$3,TaxLevel_PerFlag!$B:$B,$B$4,TaxLevel_PerFlag!$E:$E,$C7)</f>
        <v>0.86956521739130432</v>
      </c>
      <c r="T7" s="19">
        <f>_xlfn.MAXIFS(TaxLevel_PerFlag!$L:$L,TaxLevel_PerFlag!$A:$A,T$3,TaxLevel_PerFlag!$B:$B,$B$4,TaxLevel_PerFlag!$E:$E,$C7)</f>
        <v>0.83333333333333337</v>
      </c>
    </row>
    <row r="8" spans="2:20">
      <c r="B8" s="20"/>
      <c r="C8" s="21" t="s">
        <v>56</v>
      </c>
      <c r="D8" s="21">
        <v>7</v>
      </c>
      <c r="E8" s="22">
        <v>5.0724637681159403E-2</v>
      </c>
      <c r="F8" s="17">
        <f>_xlfn.MAXIFS(TaxLevel_PerFlag!$K:$K,TaxLevel_PerFlag!$A:$A,F$3,TaxLevel_PerFlag!$B:$B,$B$4,TaxLevel_PerFlag!$E:$E,$C8)</f>
        <v>0</v>
      </c>
      <c r="G8" s="18">
        <f>_xlfn.MAXIFS(TaxLevel_PerFlag!$K:$K,TaxLevel_PerFlag!$A:$A,G$3,TaxLevel_PerFlag!$B:$B,$B$4,TaxLevel_PerFlag!$E:$E,$C8)</f>
        <v>0</v>
      </c>
      <c r="H8" s="18">
        <f>_xlfn.MAXIFS(TaxLevel_PerFlag!$K:$K,TaxLevel_PerFlag!$A:$A,H$3,TaxLevel_PerFlag!$B:$B,$B$4,TaxLevel_PerFlag!$E:$E,$C8)</f>
        <v>0</v>
      </c>
      <c r="I8" s="18">
        <f>_xlfn.MAXIFS(TaxLevel_PerFlag!$K:$K,TaxLevel_PerFlag!$A:$A,I$3,TaxLevel_PerFlag!$B:$B,$B$4,TaxLevel_PerFlag!$E:$E,$C8)</f>
        <v>0.23602939762497779</v>
      </c>
      <c r="J8" s="18">
        <f>_xlfn.MAXIFS(TaxLevel_PerFlag!$K:$K,TaxLevel_PerFlag!$A:$A,J$3,TaxLevel_PerFlag!$B:$B,$B$4,TaxLevel_PerFlag!$E:$E,$C8)</f>
        <v>0</v>
      </c>
      <c r="K8" s="17">
        <f>_xlfn.MAXIFS(TaxLevel_PerFlag!$H:$H,TaxLevel_PerFlag!$A:$A,K$3,TaxLevel_PerFlag!$B:$B,$B$4,TaxLevel_PerFlag!$E:$E,$C8)</f>
        <v>0.14215686274509801</v>
      </c>
      <c r="L8" s="18">
        <f>_xlfn.MAXIFS(TaxLevel_PerFlag!$H:$H,TaxLevel_PerFlag!$A:$A,L$3,TaxLevel_PerFlag!$B:$B,$B$4,TaxLevel_PerFlag!$E:$E,$C8)</f>
        <v>0.17499999999999999</v>
      </c>
      <c r="M8" s="18">
        <f>_xlfn.MAXIFS(TaxLevel_PerFlag!$H:$H,TaxLevel_PerFlag!$A:$A,M$3,TaxLevel_PerFlag!$B:$B,$B$4,TaxLevel_PerFlag!$E:$E,$C8)</f>
        <v>0.1964285714285714</v>
      </c>
      <c r="N8" s="18">
        <f>_xlfn.MAXIFS(TaxLevel_PerFlag!$H:$H,TaxLevel_PerFlag!$A:$A,N$3,TaxLevel_PerFlag!$B:$B,$B$4,TaxLevel_PerFlag!$E:$E,$C8)</f>
        <v>0.22500000000000001</v>
      </c>
      <c r="O8" s="18">
        <f>_xlfn.MAXIFS(TaxLevel_PerFlag!$H:$H,TaxLevel_PerFlag!$A:$A,O$3,TaxLevel_PerFlag!$B:$B,$B$4,TaxLevel_PerFlag!$E:$E,$C8)</f>
        <v>0.18333333333333329</v>
      </c>
      <c r="P8" s="17">
        <f>_xlfn.MAXIFS(TaxLevel_PerFlag!$L:$L,TaxLevel_PerFlag!$A:$A,P$3,TaxLevel_PerFlag!$B:$B,$B$4,TaxLevel_PerFlag!$E:$E,$C8)</f>
        <v>0</v>
      </c>
      <c r="Q8" s="18">
        <f>_xlfn.MAXIFS(TaxLevel_PerFlag!$L:$L,TaxLevel_PerFlag!$A:$A,Q$3,TaxLevel_PerFlag!$B:$B,$B$4,TaxLevel_PerFlag!$E:$E,$C8)</f>
        <v>0</v>
      </c>
      <c r="R8" s="18">
        <f>_xlfn.MAXIFS(TaxLevel_PerFlag!$L:$L,TaxLevel_PerFlag!$A:$A,R$3,TaxLevel_PerFlag!$B:$B,$B$4,TaxLevel_PerFlag!$E:$E,$C8)</f>
        <v>0</v>
      </c>
      <c r="S8" s="18">
        <f>_xlfn.MAXIFS(TaxLevel_PerFlag!$L:$L,TaxLevel_PerFlag!$A:$A,S$3,TaxLevel_PerFlag!$B:$B,$B$4,TaxLevel_PerFlag!$E:$E,$C8)</f>
        <v>0.38461538461538458</v>
      </c>
      <c r="T8" s="19">
        <f>_xlfn.MAXIFS(TaxLevel_PerFlag!$L:$L,TaxLevel_PerFlag!$A:$A,T$3,TaxLevel_PerFlag!$B:$B,$B$4,TaxLevel_PerFlag!$E:$E,$C8)</f>
        <v>0</v>
      </c>
    </row>
    <row r="9" spans="2:20" ht="17.25" thickBot="1">
      <c r="B9" s="25"/>
      <c r="C9" s="26" t="s">
        <v>252</v>
      </c>
      <c r="D9" s="26"/>
      <c r="E9" s="27"/>
      <c r="F9" s="28">
        <f>AVERAGE(F4:F8)</f>
        <v>0.45065399122614264</v>
      </c>
      <c r="G9" s="29">
        <f t="shared" ref="G9:T9" si="0">AVERAGE(G4:G8)</f>
        <v>0.21383954167649816</v>
      </c>
      <c r="H9" s="29">
        <f t="shared" si="0"/>
        <v>0.17092276464503048</v>
      </c>
      <c r="I9" s="30">
        <f t="shared" si="0"/>
        <v>0.4409222585501012</v>
      </c>
      <c r="J9" s="29">
        <f t="shared" si="0"/>
        <v>0.36137018140965499</v>
      </c>
      <c r="K9" s="28">
        <f t="shared" si="0"/>
        <v>0.55316125760649082</v>
      </c>
      <c r="L9" s="31">
        <f t="shared" si="0"/>
        <v>0.48165093768905021</v>
      </c>
      <c r="M9" s="31">
        <f t="shared" si="0"/>
        <v>0.46803847516017888</v>
      </c>
      <c r="N9" s="32">
        <f t="shared" si="0"/>
        <v>0.49814285714285711</v>
      </c>
      <c r="O9" s="31">
        <f t="shared" si="0"/>
        <v>0.465613063407181</v>
      </c>
      <c r="P9" s="33">
        <f t="shared" si="0"/>
        <v>0.55292022792022788</v>
      </c>
      <c r="Q9" s="29">
        <f t="shared" si="0"/>
        <v>0.27548872180451128</v>
      </c>
      <c r="R9" s="29">
        <f t="shared" si="0"/>
        <v>0.24168067226890755</v>
      </c>
      <c r="S9" s="30">
        <f t="shared" si="0"/>
        <v>0.58124547712648389</v>
      </c>
      <c r="T9" s="34">
        <f t="shared" si="0"/>
        <v>0.47310924369747898</v>
      </c>
    </row>
    <row r="10" spans="2:20" ht="17.25" thickBot="1">
      <c r="B10" s="14" t="s">
        <v>68</v>
      </c>
      <c r="C10" s="15" t="s">
        <v>57</v>
      </c>
      <c r="D10" s="15">
        <v>9</v>
      </c>
      <c r="E10" s="16">
        <v>6.5217391304347797E-2</v>
      </c>
      <c r="F10" s="17">
        <f>_xlfn.MAXIFS(TaxLevel_PerFlag!$K:$K,TaxLevel_PerFlag!$A:$A,F$3,TaxLevel_PerFlag!$B:$B,$B$10,TaxLevel_PerFlag!$E:$E,$C10)</f>
        <v>0.37000643495047741</v>
      </c>
      <c r="G10" s="18">
        <f>_xlfn.MAXIFS(TaxLevel_PerFlag!$K:$K,TaxLevel_PerFlag!$A:$A,G$3,TaxLevel_PerFlag!$B:$B,$B$10,TaxLevel_PerFlag!$E:$E,$C10)</f>
        <v>1</v>
      </c>
      <c r="H10" s="18">
        <f>_xlfn.MAXIFS(TaxLevel_PerFlag!$K:$K,TaxLevel_PerFlag!$A:$A,H$3,TaxLevel_PerFlag!$B:$B,$B$10,TaxLevel_PerFlag!$E:$E,$C10)</f>
        <v>0.47245559126153402</v>
      </c>
      <c r="I10" s="18">
        <f>_xlfn.MAXIFS(TaxLevel_PerFlag!$K:$K,TaxLevel_PerFlag!$A:$A,I$3,TaxLevel_PerFlag!$B:$B,$B$10,TaxLevel_PerFlag!$E:$E,$C10)</f>
        <v>0.33502969713024489</v>
      </c>
      <c r="J10" s="18">
        <f>_xlfn.MAXIFS(TaxLevel_PerFlag!$K:$K,TaxLevel_PerFlag!$A:$A,J$3,TaxLevel_PerFlag!$B:$B,$B$10,TaxLevel_PerFlag!$E:$E,$C10)</f>
        <v>0.37000643495047741</v>
      </c>
      <c r="K10" s="17">
        <f>_xlfn.MAXIFS(TaxLevel_PerFlag!$H:$H,TaxLevel_PerFlag!$A:$A,K$3,TaxLevel_PerFlag!$B:$B,$B$10,TaxLevel_PerFlag!$E:$E,$C10)</f>
        <v>0.25</v>
      </c>
      <c r="L10" s="18">
        <f>_xlfn.MAXIFS(TaxLevel_PerFlag!$H:$H,TaxLevel_PerFlag!$A:$A,L$3,TaxLevel_PerFlag!$B:$B,$B$10,TaxLevel_PerFlag!$E:$E,$C10)</f>
        <v>1</v>
      </c>
      <c r="M10" s="18">
        <f>_xlfn.MAXIFS(TaxLevel_PerFlag!$H:$H,TaxLevel_PerFlag!$A:$A,M$3,TaxLevel_PerFlag!$B:$B,$B$10,TaxLevel_PerFlag!$E:$E,$C10)</f>
        <v>0.5</v>
      </c>
      <c r="N10" s="18">
        <f>_xlfn.MAXIFS(TaxLevel_PerFlag!$H:$H,TaxLevel_PerFlag!$A:$A,N$3,TaxLevel_PerFlag!$B:$B,$B$10,TaxLevel_PerFlag!$E:$E,$C10)</f>
        <v>0.5</v>
      </c>
      <c r="O10" s="18">
        <f>_xlfn.MAXIFS(TaxLevel_PerFlag!$H:$H,TaxLevel_PerFlag!$A:$A,O$3,TaxLevel_PerFlag!$B:$B,$B$10,TaxLevel_PerFlag!$E:$E,$C10)</f>
        <v>0.5</v>
      </c>
      <c r="P10" s="17">
        <f>_xlfn.MAXIFS(TaxLevel_PerFlag!$L:$L,TaxLevel_PerFlag!$A:$A,P$3,TaxLevel_PerFlag!$B:$B,$B$10,TaxLevel_PerFlag!$E:$E,$C10)</f>
        <v>0.5</v>
      </c>
      <c r="Q10" s="18">
        <f>_xlfn.MAXIFS(TaxLevel_PerFlag!$L:$L,TaxLevel_PerFlag!$A:$A,Q$3,TaxLevel_PerFlag!$B:$B,$B$10,TaxLevel_PerFlag!$E:$E,$C10)</f>
        <v>1</v>
      </c>
      <c r="R10" s="18">
        <f>_xlfn.MAXIFS(TaxLevel_PerFlag!$L:$L,TaxLevel_PerFlag!$A:$A,R$3,TaxLevel_PerFlag!$B:$B,$B$10,TaxLevel_PerFlag!$E:$E,$C10)</f>
        <v>0.625</v>
      </c>
      <c r="S10" s="18">
        <f>_xlfn.MAXIFS(TaxLevel_PerFlag!$L:$L,TaxLevel_PerFlag!$A:$A,S$3,TaxLevel_PerFlag!$B:$B,$B$10,TaxLevel_PerFlag!$E:$E,$C10)</f>
        <v>0.45454545454545447</v>
      </c>
      <c r="T10" s="19">
        <f>_xlfn.MAXIFS(TaxLevel_PerFlag!$L:$L,TaxLevel_PerFlag!$A:$A,T$3,TaxLevel_PerFlag!$B:$B,$B$10,TaxLevel_PerFlag!$E:$E,$C10)</f>
        <v>0.5</v>
      </c>
    </row>
    <row r="11" spans="2:20" ht="17.25" thickBot="1">
      <c r="B11" s="20"/>
      <c r="C11" s="21" t="s">
        <v>54</v>
      </c>
      <c r="D11" s="21">
        <v>4</v>
      </c>
      <c r="E11" s="22">
        <v>2.8985507246376802E-2</v>
      </c>
      <c r="F11" s="17">
        <f>_xlfn.MAXIFS(TaxLevel_PerFlag!$K:$K,TaxLevel_PerFlag!$A:$A,F$3,TaxLevel_PerFlag!$B:$B,$B$10,TaxLevel_PerFlag!$E:$E,$C11)</f>
        <v>0.44445779894466358</v>
      </c>
      <c r="G11" s="18">
        <f>_xlfn.MAXIFS(TaxLevel_PerFlag!$K:$K,TaxLevel_PerFlag!$A:$A,G$3,TaxLevel_PerFlag!$B:$B,$B$10,TaxLevel_PerFlag!$E:$E,$C11)</f>
        <v>0.35791699479543948</v>
      </c>
      <c r="H11" s="18">
        <f>_xlfn.MAXIFS(TaxLevel_PerFlag!$K:$K,TaxLevel_PerFlag!$A:$A,H$3,TaxLevel_PerFlag!$B:$B,$B$10,TaxLevel_PerFlag!$E:$E,$C11)</f>
        <v>0.74420840753525075</v>
      </c>
      <c r="I11" s="18">
        <f>_xlfn.MAXIFS(TaxLevel_PerFlag!$K:$K,TaxLevel_PerFlag!$A:$A,I$3,TaxLevel_PerFlag!$B:$B,$B$10,TaxLevel_PerFlag!$E:$E,$C11)</f>
        <v>0.41403933560541262</v>
      </c>
      <c r="J11" s="18">
        <f>_xlfn.MAXIFS(TaxLevel_PerFlag!$K:$K,TaxLevel_PerFlag!$A:$A,J$3,TaxLevel_PerFlag!$B:$B,$B$10,TaxLevel_PerFlag!$E:$E,$C11)</f>
        <v>0.66829511257222485</v>
      </c>
      <c r="K11" s="17">
        <f>_xlfn.MAXIFS(TaxLevel_PerFlag!$H:$H,TaxLevel_PerFlag!$A:$A,K$3,TaxLevel_PerFlag!$B:$B,$B$10,TaxLevel_PerFlag!$E:$E,$C11)</f>
        <v>0.85285714285714276</v>
      </c>
      <c r="L11" s="18">
        <f>_xlfn.MAXIFS(TaxLevel_PerFlag!$H:$H,TaxLevel_PerFlag!$A:$A,L$3,TaxLevel_PerFlag!$B:$B,$B$10,TaxLevel_PerFlag!$E:$E,$C11)</f>
        <v>1</v>
      </c>
      <c r="M11" s="18">
        <f>_xlfn.MAXIFS(TaxLevel_PerFlag!$H:$H,TaxLevel_PerFlag!$A:$A,M$3,TaxLevel_PerFlag!$B:$B,$B$10,TaxLevel_PerFlag!$E:$E,$C11)</f>
        <v>0.77692307692307683</v>
      </c>
      <c r="N11" s="18">
        <f>_xlfn.MAXIFS(TaxLevel_PerFlag!$H:$H,TaxLevel_PerFlag!$A:$A,N$3,TaxLevel_PerFlag!$B:$B,$B$10,TaxLevel_PerFlag!$E:$E,$C11)</f>
        <v>0.69619047619047625</v>
      </c>
      <c r="O11" s="18">
        <f>_xlfn.MAXIFS(TaxLevel_PerFlag!$H:$H,TaxLevel_PerFlag!$A:$A,O$3,TaxLevel_PerFlag!$B:$B,$B$10,TaxLevel_PerFlag!$E:$E,$C11)</f>
        <v>0.75444444444444447</v>
      </c>
      <c r="P11" s="17">
        <f>_xlfn.MAXIFS(TaxLevel_PerFlag!$L:$L,TaxLevel_PerFlag!$A:$A,P$3,TaxLevel_PerFlag!$B:$B,$B$10,TaxLevel_PerFlag!$E:$E,$C11)</f>
        <v>0.55555555555555558</v>
      </c>
      <c r="Q11" s="18">
        <f>_xlfn.MAXIFS(TaxLevel_PerFlag!$L:$L,TaxLevel_PerFlag!$A:$A,Q$3,TaxLevel_PerFlag!$B:$B,$B$10,TaxLevel_PerFlag!$E:$E,$C11)</f>
        <v>0.625</v>
      </c>
      <c r="R11" s="18">
        <f>_xlfn.MAXIFS(TaxLevel_PerFlag!$L:$L,TaxLevel_PerFlag!$A:$A,R$3,TaxLevel_PerFlag!$B:$B,$B$10,TaxLevel_PerFlag!$E:$E,$C11)</f>
        <v>0.65217391304347827</v>
      </c>
      <c r="S11" s="18">
        <f>_xlfn.MAXIFS(TaxLevel_PerFlag!$L:$L,TaxLevel_PerFlag!$A:$A,S$3,TaxLevel_PerFlag!$B:$B,$B$10,TaxLevel_PerFlag!$E:$E,$C11)</f>
        <v>0.41666666666666669</v>
      </c>
      <c r="T11" s="19">
        <f>_xlfn.MAXIFS(TaxLevel_PerFlag!$L:$L,TaxLevel_PerFlag!$A:$A,T$3,TaxLevel_PerFlag!$B:$B,$B$10,TaxLevel_PerFlag!$E:$E,$C11)</f>
        <v>0.76923076923076927</v>
      </c>
    </row>
    <row r="12" spans="2:20" ht="17.25" thickBot="1">
      <c r="B12" s="20"/>
      <c r="C12" s="21" t="s">
        <v>52</v>
      </c>
      <c r="D12" s="21">
        <v>20</v>
      </c>
      <c r="E12" s="22">
        <v>0.14492753623188401</v>
      </c>
      <c r="F12" s="17">
        <f>_xlfn.MAXIFS(TaxLevel_PerFlag!$K:$K,TaxLevel_PerFlag!$A:$A,F$3,TaxLevel_PerFlag!$B:$B,$B$10,TaxLevel_PerFlag!$E:$E,$C12)</f>
        <v>0.69436507482941356</v>
      </c>
      <c r="G12" s="18">
        <f>_xlfn.MAXIFS(TaxLevel_PerFlag!$K:$K,TaxLevel_PerFlag!$A:$A,G$3,TaxLevel_PerFlag!$B:$B,$B$10,TaxLevel_PerFlag!$E:$E,$C12)</f>
        <v>0.47245559126153402</v>
      </c>
      <c r="H12" s="18">
        <f>_xlfn.MAXIFS(TaxLevel_PerFlag!$K:$K,TaxLevel_PerFlag!$A:$A,H$3,TaxLevel_PerFlag!$B:$B,$B$10,TaxLevel_PerFlag!$E:$E,$C12)</f>
        <v>1</v>
      </c>
      <c r="I12" s="18">
        <f>_xlfn.MAXIFS(TaxLevel_PerFlag!$K:$K,TaxLevel_PerFlag!$A:$A,I$3,TaxLevel_PerFlag!$B:$B,$B$10,TaxLevel_PerFlag!$E:$E,$C12)</f>
        <v>0.55634864026418673</v>
      </c>
      <c r="J12" s="18">
        <f>_xlfn.MAXIFS(TaxLevel_PerFlag!$K:$K,TaxLevel_PerFlag!$A:$A,J$3,TaxLevel_PerFlag!$B:$B,$B$10,TaxLevel_PerFlag!$E:$E,$C12)</f>
        <v>0</v>
      </c>
      <c r="K12" s="17">
        <f>_xlfn.MAXIFS(TaxLevel_PerFlag!$H:$H,TaxLevel_PerFlag!$A:$A,K$3,TaxLevel_PerFlag!$B:$B,$B$10,TaxLevel_PerFlag!$E:$E,$C12)</f>
        <v>1</v>
      </c>
      <c r="L12" s="18">
        <f>_xlfn.MAXIFS(TaxLevel_PerFlag!$H:$H,TaxLevel_PerFlag!$A:$A,L$3,TaxLevel_PerFlag!$B:$B,$B$10,TaxLevel_PerFlag!$E:$E,$C12)</f>
        <v>1</v>
      </c>
      <c r="M12" s="18">
        <f>_xlfn.MAXIFS(TaxLevel_PerFlag!$H:$H,TaxLevel_PerFlag!$A:$A,M$3,TaxLevel_PerFlag!$B:$B,$B$10,TaxLevel_PerFlag!$E:$E,$C12)</f>
        <v>1</v>
      </c>
      <c r="N12" s="18">
        <f>_xlfn.MAXIFS(TaxLevel_PerFlag!$H:$H,TaxLevel_PerFlag!$A:$A,N$3,TaxLevel_PerFlag!$B:$B,$B$10,TaxLevel_PerFlag!$E:$E,$C12)</f>
        <v>1</v>
      </c>
      <c r="O12" s="18">
        <f>_xlfn.MAXIFS(TaxLevel_PerFlag!$H:$H,TaxLevel_PerFlag!$A:$A,O$3,TaxLevel_PerFlag!$B:$B,$B$10,TaxLevel_PerFlag!$E:$E,$C12)</f>
        <v>1</v>
      </c>
      <c r="P12" s="17">
        <f>_xlfn.MAXIFS(TaxLevel_PerFlag!$L:$L,TaxLevel_PerFlag!$A:$A,P$3,TaxLevel_PerFlag!$B:$B,$B$10,TaxLevel_PerFlag!$E:$E,$C12)</f>
        <v>0.83333333333333337</v>
      </c>
      <c r="Q12" s="18">
        <f>_xlfn.MAXIFS(TaxLevel_PerFlag!$L:$L,TaxLevel_PerFlag!$A:$A,Q$3,TaxLevel_PerFlag!$B:$B,$B$10,TaxLevel_PerFlag!$E:$E,$C12)</f>
        <v>0.625</v>
      </c>
      <c r="R12" s="18">
        <f>_xlfn.MAXIFS(TaxLevel_PerFlag!$L:$L,TaxLevel_PerFlag!$A:$A,R$3,TaxLevel_PerFlag!$B:$B,$B$10,TaxLevel_PerFlag!$E:$E,$C12)</f>
        <v>1</v>
      </c>
      <c r="S12" s="18">
        <f>_xlfn.MAXIFS(TaxLevel_PerFlag!$L:$L,TaxLevel_PerFlag!$A:$A,S$3,TaxLevel_PerFlag!$B:$B,$B$10,TaxLevel_PerFlag!$E:$E,$C12)</f>
        <v>0.7142857142857143</v>
      </c>
      <c r="T12" s="19">
        <f>_xlfn.MAXIFS(TaxLevel_PerFlag!$L:$L,TaxLevel_PerFlag!$A:$A,T$3,TaxLevel_PerFlag!$B:$B,$B$10,TaxLevel_PerFlag!$E:$E,$C12)</f>
        <v>0</v>
      </c>
    </row>
    <row r="13" spans="2:20" ht="17.25" thickBot="1">
      <c r="B13" s="20"/>
      <c r="C13" s="21" t="s">
        <v>55</v>
      </c>
      <c r="D13" s="21">
        <v>26</v>
      </c>
      <c r="E13" s="22">
        <v>0.1884057971014492</v>
      </c>
      <c r="F13" s="17">
        <f>_xlfn.MAXIFS(TaxLevel_PerFlag!$K:$K,TaxLevel_PerFlag!$A:$A,F$3,TaxLevel_PerFlag!$B:$B,$B$10,TaxLevel_PerFlag!$E:$E,$C13)</f>
        <v>0.70912420834233469</v>
      </c>
      <c r="G13" s="18">
        <f>_xlfn.MAXIFS(TaxLevel_PerFlag!$K:$K,TaxLevel_PerFlag!$A:$A,G$3,TaxLevel_PerFlag!$B:$B,$B$10,TaxLevel_PerFlag!$E:$E,$C13)</f>
        <v>0.8763560920082657</v>
      </c>
      <c r="H13" s="18">
        <f>_xlfn.MAXIFS(TaxLevel_PerFlag!$K:$K,TaxLevel_PerFlag!$A:$A,H$3,TaxLevel_PerFlag!$B:$B,$B$10,TaxLevel_PerFlag!$E:$E,$C13)</f>
        <v>0.8763560920082657</v>
      </c>
      <c r="I13" s="18">
        <f>_xlfn.MAXIFS(TaxLevel_PerFlag!$K:$K,TaxLevel_PerFlag!$A:$A,I$3,TaxLevel_PerFlag!$B:$B,$B$10,TaxLevel_PerFlag!$E:$E,$C13)</f>
        <v>0.71</v>
      </c>
      <c r="J13" s="18">
        <f>_xlfn.MAXIFS(TaxLevel_PerFlag!$K:$K,TaxLevel_PerFlag!$A:$A,J$3,TaxLevel_PerFlag!$B:$B,$B$10,TaxLevel_PerFlag!$E:$E,$C13)</f>
        <v>1</v>
      </c>
      <c r="K13" s="17">
        <f>_xlfn.MAXIFS(TaxLevel_PerFlag!$H:$H,TaxLevel_PerFlag!$A:$A,K$3,TaxLevel_PerFlag!$B:$B,$B$10,TaxLevel_PerFlag!$E:$E,$C13)</f>
        <v>0.81666666666666665</v>
      </c>
      <c r="L13" s="18">
        <f>_xlfn.MAXIFS(TaxLevel_PerFlag!$H:$H,TaxLevel_PerFlag!$A:$A,L$3,TaxLevel_PerFlag!$B:$B,$B$10,TaxLevel_PerFlag!$E:$E,$C13)</f>
        <v>1</v>
      </c>
      <c r="M13" s="18">
        <f>_xlfn.MAXIFS(TaxLevel_PerFlag!$H:$H,TaxLevel_PerFlag!$A:$A,M$3,TaxLevel_PerFlag!$B:$B,$B$10,TaxLevel_PerFlag!$E:$E,$C13)</f>
        <v>1</v>
      </c>
      <c r="N13" s="18">
        <f>_xlfn.MAXIFS(TaxLevel_PerFlag!$H:$H,TaxLevel_PerFlag!$A:$A,N$3,TaxLevel_PerFlag!$B:$B,$B$10,TaxLevel_PerFlag!$E:$E,$C13)</f>
        <v>0.95</v>
      </c>
      <c r="O13" s="18">
        <f>_xlfn.MAXIFS(TaxLevel_PerFlag!$H:$H,TaxLevel_PerFlag!$A:$A,O$3,TaxLevel_PerFlag!$B:$B,$B$10,TaxLevel_PerFlag!$E:$E,$C13)</f>
        <v>1</v>
      </c>
      <c r="P13" s="17">
        <f>_xlfn.MAXIFS(TaxLevel_PerFlag!$L:$L,TaxLevel_PerFlag!$A:$A,P$3,TaxLevel_PerFlag!$B:$B,$B$10,TaxLevel_PerFlag!$E:$E,$C13)</f>
        <v>0.86956521739130432</v>
      </c>
      <c r="Q13" s="18">
        <f>_xlfn.MAXIFS(TaxLevel_PerFlag!$L:$L,TaxLevel_PerFlag!$A:$A,Q$3,TaxLevel_PerFlag!$B:$B,$B$10,TaxLevel_PerFlag!$E:$E,$C13)</f>
        <v>0.95238095238095233</v>
      </c>
      <c r="R13" s="18">
        <f>_xlfn.MAXIFS(TaxLevel_PerFlag!$L:$L,TaxLevel_PerFlag!$A:$A,R$3,TaxLevel_PerFlag!$B:$B,$B$10,TaxLevel_PerFlag!$E:$E,$C13)</f>
        <v>0.95238095238095233</v>
      </c>
      <c r="S13" s="18">
        <f>_xlfn.MAXIFS(TaxLevel_PerFlag!$L:$L,TaxLevel_PerFlag!$A:$A,S$3,TaxLevel_PerFlag!$B:$B,$B$10,TaxLevel_PerFlag!$E:$E,$C13)</f>
        <v>0.86956521739130432</v>
      </c>
      <c r="T13" s="19">
        <f>_xlfn.MAXIFS(TaxLevel_PerFlag!$L:$L,TaxLevel_PerFlag!$A:$A,T$3,TaxLevel_PerFlag!$B:$B,$B$10,TaxLevel_PerFlag!$E:$E,$C13)</f>
        <v>1</v>
      </c>
    </row>
    <row r="14" spans="2:20">
      <c r="B14" s="20"/>
      <c r="C14" s="21" t="s">
        <v>56</v>
      </c>
      <c r="D14" s="21">
        <v>7</v>
      </c>
      <c r="E14" s="22">
        <v>5.0724637681159403E-2</v>
      </c>
      <c r="F14" s="17">
        <f>_xlfn.MAXIFS(TaxLevel_PerFlag!$K:$K,TaxLevel_PerFlag!$A:$A,F$3,TaxLevel_PerFlag!$B:$B,$B$10,TaxLevel_PerFlag!$E:$E,$C14)</f>
        <v>0</v>
      </c>
      <c r="G14" s="18">
        <f>_xlfn.MAXIFS(TaxLevel_PerFlag!$K:$K,TaxLevel_PerFlag!$A:$A,G$3,TaxLevel_PerFlag!$B:$B,$B$10,TaxLevel_PerFlag!$E:$E,$C14)</f>
        <v>0</v>
      </c>
      <c r="H14" s="18">
        <f>_xlfn.MAXIFS(TaxLevel_PerFlag!$K:$K,TaxLevel_PerFlag!$A:$A,H$3,TaxLevel_PerFlag!$B:$B,$B$10,TaxLevel_PerFlag!$E:$E,$C14)</f>
        <v>0</v>
      </c>
      <c r="I14" s="18">
        <f>_xlfn.MAXIFS(TaxLevel_PerFlag!$K:$K,TaxLevel_PerFlag!$A:$A,I$3,TaxLevel_PerFlag!$B:$B,$B$10,TaxLevel_PerFlag!$E:$E,$C14)</f>
        <v>0.69436507482941356</v>
      </c>
      <c r="J14" s="18">
        <f>_xlfn.MAXIFS(TaxLevel_PerFlag!$K:$K,TaxLevel_PerFlag!$A:$A,J$3,TaxLevel_PerFlag!$B:$B,$B$10,TaxLevel_PerFlag!$E:$E,$C14)</f>
        <v>0.35439179203278531</v>
      </c>
      <c r="K14" s="17">
        <f>_xlfn.MAXIFS(TaxLevel_PerFlag!$H:$H,TaxLevel_PerFlag!$A:$A,K$3,TaxLevel_PerFlag!$B:$B,$B$10,TaxLevel_PerFlag!$E:$E,$C14)</f>
        <v>0.29166666666666657</v>
      </c>
      <c r="L14" s="18">
        <f>_xlfn.MAXIFS(TaxLevel_PerFlag!$H:$H,TaxLevel_PerFlag!$A:$A,L$3,TaxLevel_PerFlag!$B:$B,$B$10,TaxLevel_PerFlag!$E:$E,$C14)</f>
        <v>0.30882352941176472</v>
      </c>
      <c r="M14" s="18">
        <f>_xlfn.MAXIFS(TaxLevel_PerFlag!$H:$H,TaxLevel_PerFlag!$A:$A,M$3,TaxLevel_PerFlag!$B:$B,$B$10,TaxLevel_PerFlag!$E:$E,$C14)</f>
        <v>0.28999999999999998</v>
      </c>
      <c r="N14" s="18">
        <f>_xlfn.MAXIFS(TaxLevel_PerFlag!$H:$H,TaxLevel_PerFlag!$A:$A,N$3,TaxLevel_PerFlag!$B:$B,$B$10,TaxLevel_PerFlag!$E:$E,$C14)</f>
        <v>0.54166666666666663</v>
      </c>
      <c r="O14" s="18">
        <f>_xlfn.MAXIFS(TaxLevel_PerFlag!$H:$H,TaxLevel_PerFlag!$A:$A,O$3,TaxLevel_PerFlag!$B:$B,$B$10,TaxLevel_PerFlag!$E:$E,$C14)</f>
        <v>0.66666666666666663</v>
      </c>
      <c r="P14" s="17">
        <f>_xlfn.MAXIFS(TaxLevel_PerFlag!$L:$L,TaxLevel_PerFlag!$A:$A,P$3,TaxLevel_PerFlag!$B:$B,$B$10,TaxLevel_PerFlag!$E:$E,$C14)</f>
        <v>0</v>
      </c>
      <c r="Q14" s="18">
        <f>_xlfn.MAXIFS(TaxLevel_PerFlag!$L:$L,TaxLevel_PerFlag!$A:$A,Q$3,TaxLevel_PerFlag!$B:$B,$B$10,TaxLevel_PerFlag!$E:$E,$C14)</f>
        <v>0.15151515151515149</v>
      </c>
      <c r="R14" s="18">
        <f>_xlfn.MAXIFS(TaxLevel_PerFlag!$L:$L,TaxLevel_PerFlag!$A:$A,R$3,TaxLevel_PerFlag!$B:$B,$B$10,TaxLevel_PerFlag!$E:$E,$C14)</f>
        <v>0</v>
      </c>
      <c r="S14" s="18">
        <f>_xlfn.MAXIFS(TaxLevel_PerFlag!$L:$L,TaxLevel_PerFlag!$A:$A,S$3,TaxLevel_PerFlag!$B:$B,$B$10,TaxLevel_PerFlag!$E:$E,$C14)</f>
        <v>0.55555555555555558</v>
      </c>
      <c r="T14" s="19">
        <f>_xlfn.MAXIFS(TaxLevel_PerFlag!$L:$L,TaxLevel_PerFlag!$A:$A,T$3,TaxLevel_PerFlag!$B:$B,$B$10,TaxLevel_PerFlag!$E:$E,$C14)</f>
        <v>0.45454545454545447</v>
      </c>
    </row>
    <row r="15" spans="2:20" ht="17.25" thickBot="1">
      <c r="B15" s="25"/>
      <c r="C15" s="26" t="s">
        <v>252</v>
      </c>
      <c r="D15" s="26"/>
      <c r="E15" s="27"/>
      <c r="F15" s="28">
        <f>AVERAGE(F10:F14)</f>
        <v>0.44359070341337786</v>
      </c>
      <c r="G15" s="29">
        <f t="shared" ref="G15:T15" si="1">AVERAGE(G10:G14)</f>
        <v>0.54134573561304777</v>
      </c>
      <c r="H15" s="30">
        <f t="shared" si="1"/>
        <v>0.61860401816101018</v>
      </c>
      <c r="I15" s="29">
        <f t="shared" si="1"/>
        <v>0.5419565495658516</v>
      </c>
      <c r="J15" s="29">
        <f t="shared" si="1"/>
        <v>0.47853866791109756</v>
      </c>
      <c r="K15" s="28">
        <f t="shared" si="1"/>
        <v>0.64223809523809527</v>
      </c>
      <c r="L15" s="31">
        <f t="shared" si="1"/>
        <v>0.86176470588235288</v>
      </c>
      <c r="M15" s="32">
        <f t="shared" si="1"/>
        <v>0.71338461538461539</v>
      </c>
      <c r="N15" s="31">
        <f t="shared" si="1"/>
        <v>0.73757142857142854</v>
      </c>
      <c r="O15" s="31">
        <f t="shared" si="1"/>
        <v>0.78422222222222215</v>
      </c>
      <c r="P15" s="33">
        <f t="shared" si="1"/>
        <v>0.55169082125603863</v>
      </c>
      <c r="Q15" s="29">
        <f t="shared" si="1"/>
        <v>0.67077922077922081</v>
      </c>
      <c r="R15" s="30">
        <f t="shared" si="1"/>
        <v>0.64591097308488621</v>
      </c>
      <c r="S15" s="29">
        <f t="shared" si="1"/>
        <v>0.60212372168893913</v>
      </c>
      <c r="T15" s="34">
        <f t="shared" si="1"/>
        <v>0.54475524475524473</v>
      </c>
    </row>
    <row r="16" spans="2:20" ht="17.25" thickBot="1">
      <c r="B16" s="14" t="s">
        <v>75</v>
      </c>
      <c r="C16" s="15" t="s">
        <v>57</v>
      </c>
      <c r="D16" s="15">
        <v>9</v>
      </c>
      <c r="E16" s="16">
        <v>6.5217391304347797E-2</v>
      </c>
      <c r="F16" s="17">
        <f>_xlfn.MAXIFS(TaxLevel_PerFlag!$K:$K,TaxLevel_PerFlag!$A:$A,F$3,TaxLevel_PerFlag!$B:$B,$B$16,TaxLevel_PerFlag!$E:$E,$C16)</f>
        <v>0.20965696734438369</v>
      </c>
      <c r="G16" s="18">
        <f>_xlfn.MAXIFS(TaxLevel_PerFlag!$K:$K,TaxLevel_PerFlag!$A:$A,G$3,TaxLevel_PerFlag!$B:$B,$B$16,TaxLevel_PerFlag!$E:$E,$C16)</f>
        <v>0.41403933560541262</v>
      </c>
      <c r="H16" s="18">
        <f>_xlfn.MAXIFS(TaxLevel_PerFlag!$K:$K,TaxLevel_PerFlag!$A:$A,H$3,TaxLevel_PerFlag!$B:$B,$B$16,TaxLevel_PerFlag!$E:$E,$C16)</f>
        <v>0.41403933560541262</v>
      </c>
      <c r="I16" s="18">
        <f>_xlfn.MAXIFS(TaxLevel_PerFlag!$K:$K,TaxLevel_PerFlag!$A:$A,I$3,TaxLevel_PerFlag!$B:$B,$B$16,TaxLevel_PerFlag!$E:$E,$C16)</f>
        <v>0.22493385271060931</v>
      </c>
      <c r="J16" s="18">
        <f>_xlfn.MAXIFS(TaxLevel_PerFlag!$K:$K,TaxLevel_PerFlag!$A:$A,J$3,TaxLevel_PerFlag!$B:$B,$B$16,TaxLevel_PerFlag!$E:$E,$C16)</f>
        <v>0.30618621784789718</v>
      </c>
      <c r="K16" s="17">
        <f>_xlfn.MAXIFS(TaxLevel_PerFlag!$H:$H,TaxLevel_PerFlag!$A:$A,K$3,TaxLevel_PerFlag!$B:$B,$B$16,TaxLevel_PerFlag!$E:$E,$C16)</f>
        <v>1</v>
      </c>
      <c r="L16" s="18">
        <f>_xlfn.MAXIFS(TaxLevel_PerFlag!$H:$H,TaxLevel_PerFlag!$A:$A,L$3,TaxLevel_PerFlag!$B:$B,$B$16,TaxLevel_PerFlag!$E:$E,$C16)</f>
        <v>0.5</v>
      </c>
      <c r="M16" s="18">
        <f>_xlfn.MAXIFS(TaxLevel_PerFlag!$H:$H,TaxLevel_PerFlag!$A:$A,M$3,TaxLevel_PerFlag!$B:$B,$B$16,TaxLevel_PerFlag!$E:$E,$C16)</f>
        <v>0.5</v>
      </c>
      <c r="N16" s="18">
        <f>_xlfn.MAXIFS(TaxLevel_PerFlag!$H:$H,TaxLevel_PerFlag!$A:$A,N$3,TaxLevel_PerFlag!$B:$B,$B$16,TaxLevel_PerFlag!$E:$E,$C16)</f>
        <v>0.5</v>
      </c>
      <c r="O16" s="18">
        <f>_xlfn.MAXIFS(TaxLevel_PerFlag!$H:$H,TaxLevel_PerFlag!$A:$A,O$3,TaxLevel_PerFlag!$B:$B,$B$16,TaxLevel_PerFlag!$E:$E,$C16)</f>
        <v>0.33333333333333331</v>
      </c>
      <c r="P16" s="17">
        <f>_xlfn.MAXIFS(TaxLevel_PerFlag!$L:$L,TaxLevel_PerFlag!$A:$A,P$3,TaxLevel_PerFlag!$B:$B,$B$16,TaxLevel_PerFlag!$E:$E,$C16)</f>
        <v>0.29411764705882348</v>
      </c>
      <c r="Q16" s="18">
        <f>_xlfn.MAXIFS(TaxLevel_PerFlag!$L:$L,TaxLevel_PerFlag!$A:$A,Q$3,TaxLevel_PerFlag!$B:$B,$B$16,TaxLevel_PerFlag!$E:$E,$C16)</f>
        <v>0.55555555555555558</v>
      </c>
      <c r="R16" s="18">
        <f>_xlfn.MAXIFS(TaxLevel_PerFlag!$L:$L,TaxLevel_PerFlag!$A:$A,R$3,TaxLevel_PerFlag!$B:$B,$B$16,TaxLevel_PerFlag!$E:$E,$C16)</f>
        <v>0.55555555555555558</v>
      </c>
      <c r="S16" s="18">
        <f>_xlfn.MAXIFS(TaxLevel_PerFlag!$L:$L,TaxLevel_PerFlag!$A:$A,S$3,TaxLevel_PerFlag!$B:$B,$B$16,TaxLevel_PerFlag!$E:$E,$C16)</f>
        <v>0.3125</v>
      </c>
      <c r="T16" s="19">
        <f>_xlfn.MAXIFS(TaxLevel_PerFlag!$L:$L,TaxLevel_PerFlag!$A:$A,T$3,TaxLevel_PerFlag!$B:$B,$B$16,TaxLevel_PerFlag!$E:$E,$C16)</f>
        <v>0.41666666666666669</v>
      </c>
    </row>
    <row r="17" spans="2:20" ht="17.25" thickBot="1">
      <c r="B17" s="20"/>
      <c r="C17" s="21" t="s">
        <v>54</v>
      </c>
      <c r="D17" s="21">
        <v>4</v>
      </c>
      <c r="E17" s="22">
        <v>2.8985507246376802E-2</v>
      </c>
      <c r="F17" s="17">
        <f>_xlfn.MAXIFS(TaxLevel_PerFlag!$K:$K,TaxLevel_PerFlag!$A:$A,F$3,TaxLevel_PerFlag!$B:$B,$B$16,TaxLevel_PerFlag!$E:$E,$C17)</f>
        <v>0.73950997288745191</v>
      </c>
      <c r="G17" s="18">
        <f>_xlfn.MAXIFS(TaxLevel_PerFlag!$K:$K,TaxLevel_PerFlag!$A:$A,G$3,TaxLevel_PerFlag!$B:$B,$B$16,TaxLevel_PerFlag!$E:$E,$C17)</f>
        <v>0.7583333333333333</v>
      </c>
      <c r="H17" s="18">
        <f>_xlfn.MAXIFS(TaxLevel_PerFlag!$K:$K,TaxLevel_PerFlag!$A:$A,H$3,TaxLevel_PerFlag!$B:$B,$B$16,TaxLevel_PerFlag!$E:$E,$C17)</f>
        <v>0.34689095308660522</v>
      </c>
      <c r="I17" s="18">
        <f>_xlfn.MAXIFS(TaxLevel_PerFlag!$K:$K,TaxLevel_PerFlag!$A:$A,I$3,TaxLevel_PerFlag!$B:$B,$B$16,TaxLevel_PerFlag!$E:$E,$C17)</f>
        <v>0.34689095308660522</v>
      </c>
      <c r="J17" s="18">
        <f>_xlfn.MAXIFS(TaxLevel_PerFlag!$K:$K,TaxLevel_PerFlag!$A:$A,J$3,TaxLevel_PerFlag!$B:$B,$B$16,TaxLevel_PerFlag!$E:$E,$C17)</f>
        <v>0.7583333333333333</v>
      </c>
      <c r="K17" s="17">
        <f>_xlfn.MAXIFS(TaxLevel_PerFlag!$H:$H,TaxLevel_PerFlag!$A:$A,K$3,TaxLevel_PerFlag!$B:$B,$B$16,TaxLevel_PerFlag!$E:$E,$C17)</f>
        <v>0.9028571428571428</v>
      </c>
      <c r="L17" s="18">
        <f>_xlfn.MAXIFS(TaxLevel_PerFlag!$H:$H,TaxLevel_PerFlag!$A:$A,L$3,TaxLevel_PerFlag!$B:$B,$B$16,TaxLevel_PerFlag!$E:$E,$C17)</f>
        <v>0.83703703703703702</v>
      </c>
      <c r="M17" s="18">
        <f>_xlfn.MAXIFS(TaxLevel_PerFlag!$H:$H,TaxLevel_PerFlag!$A:$A,M$3,TaxLevel_PerFlag!$B:$B,$B$16,TaxLevel_PerFlag!$E:$E,$C17)</f>
        <v>0.7416666666666667</v>
      </c>
      <c r="N17" s="18">
        <f>_xlfn.MAXIFS(TaxLevel_PerFlag!$H:$H,TaxLevel_PerFlag!$A:$A,N$3,TaxLevel_PerFlag!$B:$B,$B$16,TaxLevel_PerFlag!$E:$E,$C17)</f>
        <v>0.69619047619047625</v>
      </c>
      <c r="O17" s="18">
        <f>_xlfn.MAXIFS(TaxLevel_PerFlag!$H:$H,TaxLevel_PerFlag!$A:$A,O$3,TaxLevel_PerFlag!$B:$B,$B$16,TaxLevel_PerFlag!$E:$E,$C17)</f>
        <v>0.66444444444444439</v>
      </c>
      <c r="P17" s="17">
        <f>_xlfn.MAXIFS(TaxLevel_PerFlag!$L:$L,TaxLevel_PerFlag!$A:$A,P$3,TaxLevel_PerFlag!$B:$B,$B$16,TaxLevel_PerFlag!$E:$E,$C17)</f>
        <v>0.8928571428571429</v>
      </c>
      <c r="Q17" s="18">
        <f>_xlfn.MAXIFS(TaxLevel_PerFlag!$L:$L,TaxLevel_PerFlag!$A:$A,Q$3,TaxLevel_PerFlag!$B:$B,$B$16,TaxLevel_PerFlag!$E:$E,$C17)</f>
        <v>0.8</v>
      </c>
      <c r="R17" s="18">
        <f>_xlfn.MAXIFS(TaxLevel_PerFlag!$L:$L,TaxLevel_PerFlag!$A:$A,R$3,TaxLevel_PerFlag!$B:$B,$B$16,TaxLevel_PerFlag!$E:$E,$C17)</f>
        <v>0.41666666666666669</v>
      </c>
      <c r="S17" s="18">
        <f>_xlfn.MAXIFS(TaxLevel_PerFlag!$L:$L,TaxLevel_PerFlag!$A:$A,S$3,TaxLevel_PerFlag!$B:$B,$B$16,TaxLevel_PerFlag!$E:$E,$C17)</f>
        <v>0.625</v>
      </c>
      <c r="T17" s="19">
        <f>_xlfn.MAXIFS(TaxLevel_PerFlag!$L:$L,TaxLevel_PerFlag!$A:$A,T$3,TaxLevel_PerFlag!$B:$B,$B$16,TaxLevel_PerFlag!$E:$E,$C17)</f>
        <v>0.8</v>
      </c>
    </row>
    <row r="18" spans="2:20" ht="17.25" thickBot="1">
      <c r="B18" s="20"/>
      <c r="C18" s="21" t="s">
        <v>52</v>
      </c>
      <c r="D18" s="21">
        <v>20</v>
      </c>
      <c r="E18" s="22">
        <v>0.14492753623188401</v>
      </c>
      <c r="F18" s="17">
        <f>_xlfn.MAXIFS(TaxLevel_PerFlag!$K:$K,TaxLevel_PerFlag!$A:$A,F$3,TaxLevel_PerFlag!$B:$B,$B$16,TaxLevel_PerFlag!$E:$E,$C18)</f>
        <v>1</v>
      </c>
      <c r="G18" s="18">
        <f>_xlfn.MAXIFS(TaxLevel_PerFlag!$K:$K,TaxLevel_PerFlag!$A:$A,G$3,TaxLevel_PerFlag!$B:$B,$B$16,TaxLevel_PerFlag!$E:$E,$C18)</f>
        <v>0.55634864026418673</v>
      </c>
      <c r="H18" s="18">
        <f>_xlfn.MAXIFS(TaxLevel_PerFlag!$K:$K,TaxLevel_PerFlag!$A:$A,H$3,TaxLevel_PerFlag!$B:$B,$B$16,TaxLevel_PerFlag!$E:$E,$C18)</f>
        <v>1</v>
      </c>
      <c r="I18" s="18">
        <f>_xlfn.MAXIFS(TaxLevel_PerFlag!$K:$K,TaxLevel_PerFlag!$A:$A,I$3,TaxLevel_PerFlag!$B:$B,$B$16,TaxLevel_PerFlag!$E:$E,$C18)</f>
        <v>0.47245559126153402</v>
      </c>
      <c r="J18" s="18">
        <f>_xlfn.MAXIFS(TaxLevel_PerFlag!$K:$K,TaxLevel_PerFlag!$A:$A,J$3,TaxLevel_PerFlag!$B:$B,$B$16,TaxLevel_PerFlag!$E:$E,$C18)</f>
        <v>0.2604940361258638</v>
      </c>
      <c r="K18" s="17">
        <f>_xlfn.MAXIFS(TaxLevel_PerFlag!$H:$H,TaxLevel_PerFlag!$A:$A,K$3,TaxLevel_PerFlag!$B:$B,$B$16,TaxLevel_PerFlag!$E:$E,$C18)</f>
        <v>1</v>
      </c>
      <c r="L18" s="18">
        <f>_xlfn.MAXIFS(TaxLevel_PerFlag!$H:$H,TaxLevel_PerFlag!$A:$A,L$3,TaxLevel_PerFlag!$B:$B,$B$16,TaxLevel_PerFlag!$E:$E,$C18)</f>
        <v>1</v>
      </c>
      <c r="M18" s="18">
        <f>_xlfn.MAXIFS(TaxLevel_PerFlag!$H:$H,TaxLevel_PerFlag!$A:$A,M$3,TaxLevel_PerFlag!$B:$B,$B$16,TaxLevel_PerFlag!$E:$E,$C18)</f>
        <v>1</v>
      </c>
      <c r="N18" s="18">
        <f>_xlfn.MAXIFS(TaxLevel_PerFlag!$H:$H,TaxLevel_PerFlag!$A:$A,N$3,TaxLevel_PerFlag!$B:$B,$B$16,TaxLevel_PerFlag!$E:$E,$C18)</f>
        <v>1</v>
      </c>
      <c r="O18" s="18">
        <f>_xlfn.MAXIFS(TaxLevel_PerFlag!$H:$H,TaxLevel_PerFlag!$A:$A,O$3,TaxLevel_PerFlag!$B:$B,$B$16,TaxLevel_PerFlag!$E:$E,$C18)</f>
        <v>1</v>
      </c>
      <c r="P18" s="17">
        <f>_xlfn.MAXIFS(TaxLevel_PerFlag!$L:$L,TaxLevel_PerFlag!$A:$A,P$3,TaxLevel_PerFlag!$B:$B,$B$16,TaxLevel_PerFlag!$E:$E,$C18)</f>
        <v>1</v>
      </c>
      <c r="Q18" s="18">
        <f>_xlfn.MAXIFS(TaxLevel_PerFlag!$L:$L,TaxLevel_PerFlag!$A:$A,Q$3,TaxLevel_PerFlag!$B:$B,$B$16,TaxLevel_PerFlag!$E:$E,$C18)</f>
        <v>0.7142857142857143</v>
      </c>
      <c r="R18" s="18">
        <f>_xlfn.MAXIFS(TaxLevel_PerFlag!$L:$L,TaxLevel_PerFlag!$A:$A,R$3,TaxLevel_PerFlag!$B:$B,$B$16,TaxLevel_PerFlag!$E:$E,$C18)</f>
        <v>1</v>
      </c>
      <c r="S18" s="18">
        <f>_xlfn.MAXIFS(TaxLevel_PerFlag!$L:$L,TaxLevel_PerFlag!$A:$A,S$3,TaxLevel_PerFlag!$B:$B,$B$16,TaxLevel_PerFlag!$E:$E,$C18)</f>
        <v>0.625</v>
      </c>
      <c r="T18" s="19">
        <f>_xlfn.MAXIFS(TaxLevel_PerFlag!$L:$L,TaxLevel_PerFlag!$A:$A,T$3,TaxLevel_PerFlag!$B:$B,$B$16,TaxLevel_PerFlag!$E:$E,$C18)</f>
        <v>0.35714285714285721</v>
      </c>
    </row>
    <row r="19" spans="2:20" ht="17.25" thickBot="1">
      <c r="B19" s="20"/>
      <c r="C19" s="21" t="s">
        <v>55</v>
      </c>
      <c r="D19" s="21">
        <v>26</v>
      </c>
      <c r="E19" s="22">
        <v>0.1884057971014492</v>
      </c>
      <c r="F19" s="17">
        <f>_xlfn.MAXIFS(TaxLevel_PerFlag!$K:$K,TaxLevel_PerFlag!$A:$A,F$3,TaxLevel_PerFlag!$B:$B,$B$16,TaxLevel_PerFlag!$E:$E,$C19)</f>
        <v>0.70912420834233469</v>
      </c>
      <c r="G19" s="18">
        <f>_xlfn.MAXIFS(TaxLevel_PerFlag!$K:$K,TaxLevel_PerFlag!$A:$A,G$3,TaxLevel_PerFlag!$B:$B,$B$16,TaxLevel_PerFlag!$E:$E,$C19)</f>
        <v>0.8763560920082657</v>
      </c>
      <c r="H19" s="18">
        <f>_xlfn.MAXIFS(TaxLevel_PerFlag!$K:$K,TaxLevel_PerFlag!$A:$A,H$3,TaxLevel_PerFlag!$B:$B,$B$16,TaxLevel_PerFlag!$E:$E,$C19)</f>
        <v>0.8763560920082657</v>
      </c>
      <c r="I19" s="18">
        <f>_xlfn.MAXIFS(TaxLevel_PerFlag!$K:$K,TaxLevel_PerFlag!$A:$A,I$3,TaxLevel_PerFlag!$B:$B,$B$16,TaxLevel_PerFlag!$E:$E,$C19)</f>
        <v>0.71</v>
      </c>
      <c r="J19" s="18">
        <f>_xlfn.MAXIFS(TaxLevel_PerFlag!$K:$K,TaxLevel_PerFlag!$A:$A,J$3,TaxLevel_PerFlag!$B:$B,$B$16,TaxLevel_PerFlag!$E:$E,$C19)</f>
        <v>0.8763560920082657</v>
      </c>
      <c r="K19" s="17">
        <f>_xlfn.MAXIFS(TaxLevel_PerFlag!$H:$H,TaxLevel_PerFlag!$A:$A,K$3,TaxLevel_PerFlag!$B:$B,$B$16,TaxLevel_PerFlag!$E:$E,$C19)</f>
        <v>0.88749999999999996</v>
      </c>
      <c r="L19" s="18">
        <f>_xlfn.MAXIFS(TaxLevel_PerFlag!$H:$H,TaxLevel_PerFlag!$A:$A,L$3,TaxLevel_PerFlag!$B:$B,$B$16,TaxLevel_PerFlag!$E:$E,$C19)</f>
        <v>1</v>
      </c>
      <c r="M19" s="18">
        <f>_xlfn.MAXIFS(TaxLevel_PerFlag!$H:$H,TaxLevel_PerFlag!$A:$A,M$3,TaxLevel_PerFlag!$B:$B,$B$16,TaxLevel_PerFlag!$E:$E,$C19)</f>
        <v>1</v>
      </c>
      <c r="N19" s="18">
        <f>_xlfn.MAXIFS(TaxLevel_PerFlag!$H:$H,TaxLevel_PerFlag!$A:$A,N$3,TaxLevel_PerFlag!$B:$B,$B$16,TaxLevel_PerFlag!$E:$E,$C19)</f>
        <v>1</v>
      </c>
      <c r="O19" s="18">
        <f>_xlfn.MAXIFS(TaxLevel_PerFlag!$H:$H,TaxLevel_PerFlag!$A:$A,O$3,TaxLevel_PerFlag!$B:$B,$B$16,TaxLevel_PerFlag!$E:$E,$C19)</f>
        <v>0.95</v>
      </c>
      <c r="P19" s="17">
        <f>_xlfn.MAXIFS(TaxLevel_PerFlag!$L:$L,TaxLevel_PerFlag!$A:$A,P$3,TaxLevel_PerFlag!$B:$B,$B$16,TaxLevel_PerFlag!$E:$E,$C19)</f>
        <v>0.86956521739130432</v>
      </c>
      <c r="Q19" s="18">
        <f>_xlfn.MAXIFS(TaxLevel_PerFlag!$L:$L,TaxLevel_PerFlag!$A:$A,Q$3,TaxLevel_PerFlag!$B:$B,$B$16,TaxLevel_PerFlag!$E:$E,$C19)</f>
        <v>0.95238095238095233</v>
      </c>
      <c r="R19" s="18">
        <f>_xlfn.MAXIFS(TaxLevel_PerFlag!$L:$L,TaxLevel_PerFlag!$A:$A,R$3,TaxLevel_PerFlag!$B:$B,$B$16,TaxLevel_PerFlag!$E:$E,$C19)</f>
        <v>0.95238095238095233</v>
      </c>
      <c r="S19" s="18">
        <f>_xlfn.MAXIFS(TaxLevel_PerFlag!$L:$L,TaxLevel_PerFlag!$A:$A,S$3,TaxLevel_PerFlag!$B:$B,$B$16,TaxLevel_PerFlag!$E:$E,$C19)</f>
        <v>0.86956521739130432</v>
      </c>
      <c r="T19" s="19">
        <f>_xlfn.MAXIFS(TaxLevel_PerFlag!$L:$L,TaxLevel_PerFlag!$A:$A,T$3,TaxLevel_PerFlag!$B:$B,$B$16,TaxLevel_PerFlag!$E:$E,$C19)</f>
        <v>0.95238095238095233</v>
      </c>
    </row>
    <row r="20" spans="2:20">
      <c r="B20" s="20"/>
      <c r="C20" s="21" t="s">
        <v>56</v>
      </c>
      <c r="D20" s="21">
        <v>7</v>
      </c>
      <c r="E20" s="22">
        <v>5.0724637681159403E-2</v>
      </c>
      <c r="F20" s="17">
        <f>_xlfn.MAXIFS(TaxLevel_PerFlag!$K:$K,TaxLevel_PerFlag!$A:$A,F$3,TaxLevel_PerFlag!$B:$B,$B$16,TaxLevel_PerFlag!$E:$E,$C20)</f>
        <v>0</v>
      </c>
      <c r="G20" s="18">
        <f>_xlfn.MAXIFS(TaxLevel_PerFlag!$K:$K,TaxLevel_PerFlag!$A:$A,G$3,TaxLevel_PerFlag!$B:$B,$B$16,TaxLevel_PerFlag!$E:$E,$C20)</f>
        <v>0</v>
      </c>
      <c r="H20" s="18">
        <f>_xlfn.MAXIFS(TaxLevel_PerFlag!$K:$K,TaxLevel_PerFlag!$A:$A,H$3,TaxLevel_PerFlag!$B:$B,$B$16,TaxLevel_PerFlag!$E:$E,$C20)</f>
        <v>0.28577380332470409</v>
      </c>
      <c r="I20" s="18">
        <f>_xlfn.MAXIFS(TaxLevel_PerFlag!$K:$K,TaxLevel_PerFlag!$A:$A,I$3,TaxLevel_PerFlag!$B:$B,$B$16,TaxLevel_PerFlag!$E:$E,$C20)</f>
        <v>0.69436507482941356</v>
      </c>
      <c r="J20" s="18">
        <f>_xlfn.MAXIFS(TaxLevel_PerFlag!$K:$K,TaxLevel_PerFlag!$A:$A,J$3,TaxLevel_PerFlag!$B:$B,$B$16,TaxLevel_PerFlag!$E:$E,$C20)</f>
        <v>0.35439179203278531</v>
      </c>
      <c r="K20" s="17">
        <f>_xlfn.MAXIFS(TaxLevel_PerFlag!$H:$H,TaxLevel_PerFlag!$A:$A,K$3,TaxLevel_PerFlag!$B:$B,$B$16,TaxLevel_PerFlag!$E:$E,$C20)</f>
        <v>0.17261904761904759</v>
      </c>
      <c r="L20" s="18">
        <f>_xlfn.MAXIFS(TaxLevel_PerFlag!$H:$H,TaxLevel_PerFlag!$A:$A,L$3,TaxLevel_PerFlag!$B:$B,$B$16,TaxLevel_PerFlag!$E:$E,$C20)</f>
        <v>0.28703703703703698</v>
      </c>
      <c r="M20" s="18">
        <f>_xlfn.MAXIFS(TaxLevel_PerFlag!$H:$H,TaxLevel_PerFlag!$A:$A,M$3,TaxLevel_PerFlag!$B:$B,$B$16,TaxLevel_PerFlag!$E:$E,$C20)</f>
        <v>0.41666666666666657</v>
      </c>
      <c r="N20" s="18">
        <f>_xlfn.MAXIFS(TaxLevel_PerFlag!$H:$H,TaxLevel_PerFlag!$A:$A,N$3,TaxLevel_PerFlag!$B:$B,$B$16,TaxLevel_PerFlag!$E:$E,$C20)</f>
        <v>0.54</v>
      </c>
      <c r="O20" s="18">
        <f>_xlfn.MAXIFS(TaxLevel_PerFlag!$H:$H,TaxLevel_PerFlag!$A:$A,O$3,TaxLevel_PerFlag!$B:$B,$B$16,TaxLevel_PerFlag!$E:$E,$C20)</f>
        <v>0.66666666666666663</v>
      </c>
      <c r="P20" s="17">
        <f>_xlfn.MAXIFS(TaxLevel_PerFlag!$L:$L,TaxLevel_PerFlag!$A:$A,P$3,TaxLevel_PerFlag!$B:$B,$B$16,TaxLevel_PerFlag!$E:$E,$C20)</f>
        <v>0</v>
      </c>
      <c r="Q20" s="18">
        <f>_xlfn.MAXIFS(TaxLevel_PerFlag!$L:$L,TaxLevel_PerFlag!$A:$A,Q$3,TaxLevel_PerFlag!$B:$B,$B$16,TaxLevel_PerFlag!$E:$E,$C20)</f>
        <v>0</v>
      </c>
      <c r="R20" s="18">
        <f>_xlfn.MAXIFS(TaxLevel_PerFlag!$L:$L,TaxLevel_PerFlag!$A:$A,R$3,TaxLevel_PerFlag!$B:$B,$B$16,TaxLevel_PerFlag!$E:$E,$C20)</f>
        <v>0.41666666666666669</v>
      </c>
      <c r="S20" s="18">
        <f>_xlfn.MAXIFS(TaxLevel_PerFlag!$L:$L,TaxLevel_PerFlag!$A:$A,S$3,TaxLevel_PerFlag!$B:$B,$B$16,TaxLevel_PerFlag!$E:$E,$C20)</f>
        <v>0.55555555555555558</v>
      </c>
      <c r="T20" s="19">
        <f>_xlfn.MAXIFS(TaxLevel_PerFlag!$L:$L,TaxLevel_PerFlag!$A:$A,T$3,TaxLevel_PerFlag!$B:$B,$B$16,TaxLevel_PerFlag!$E:$E,$C20)</f>
        <v>0.45454545454545447</v>
      </c>
    </row>
    <row r="21" spans="2:20" ht="17.25" thickBot="1">
      <c r="B21" s="25"/>
      <c r="C21" s="26" t="s">
        <v>252</v>
      </c>
      <c r="D21" s="26"/>
      <c r="E21" s="27"/>
      <c r="F21" s="28">
        <f>AVERAGE(F16:F20)</f>
        <v>0.53165822971483401</v>
      </c>
      <c r="G21" s="29">
        <f t="shared" ref="G21:T21" si="2">AVERAGE(G16:G20)</f>
        <v>0.52101548024223976</v>
      </c>
      <c r="H21" s="30">
        <f t="shared" si="2"/>
        <v>0.58461203680499751</v>
      </c>
      <c r="I21" s="29">
        <f t="shared" si="2"/>
        <v>0.48972909437763246</v>
      </c>
      <c r="J21" s="29">
        <f t="shared" si="2"/>
        <v>0.51115229426962905</v>
      </c>
      <c r="K21" s="28">
        <f t="shared" si="2"/>
        <v>0.79259523809523813</v>
      </c>
      <c r="L21" s="31">
        <f t="shared" si="2"/>
        <v>0.7248148148148148</v>
      </c>
      <c r="M21" s="32">
        <f t="shared" si="2"/>
        <v>0.73166666666666669</v>
      </c>
      <c r="N21" s="31">
        <f t="shared" si="2"/>
        <v>0.74723809523809526</v>
      </c>
      <c r="O21" s="31">
        <f t="shared" si="2"/>
        <v>0.7228888888888888</v>
      </c>
      <c r="P21" s="33">
        <f t="shared" si="2"/>
        <v>0.61130800146145414</v>
      </c>
      <c r="Q21" s="29">
        <f t="shared" si="2"/>
        <v>0.60444444444444445</v>
      </c>
      <c r="R21" s="30">
        <f t="shared" si="2"/>
        <v>0.66825396825396832</v>
      </c>
      <c r="S21" s="29">
        <f t="shared" si="2"/>
        <v>0.59752415458937203</v>
      </c>
      <c r="T21" s="34">
        <f t="shared" si="2"/>
        <v>0.59614718614718609</v>
      </c>
    </row>
    <row r="22" spans="2:20" ht="17.25" thickBot="1">
      <c r="B22" t="s">
        <v>257</v>
      </c>
      <c r="E22" s="35"/>
    </row>
    <row r="23" spans="2:20">
      <c r="B23" s="4" t="s">
        <v>245</v>
      </c>
      <c r="C23" s="5" t="s">
        <v>246</v>
      </c>
      <c r="D23" s="5" t="s">
        <v>247</v>
      </c>
      <c r="E23" s="36" t="s">
        <v>248</v>
      </c>
      <c r="F23" s="6" t="s">
        <v>249</v>
      </c>
      <c r="G23" s="7"/>
      <c r="H23" s="7"/>
      <c r="I23" s="6" t="s">
        <v>250</v>
      </c>
      <c r="J23" s="7"/>
      <c r="K23" s="7"/>
      <c r="L23" s="6" t="s">
        <v>251</v>
      </c>
      <c r="M23" s="7"/>
      <c r="N23" s="8"/>
    </row>
    <row r="24" spans="2:20" ht="17.25" thickBot="1">
      <c r="B24" s="9"/>
      <c r="C24" s="10"/>
      <c r="D24" s="10"/>
      <c r="E24" s="37"/>
      <c r="F24" s="11" t="s">
        <v>58</v>
      </c>
      <c r="G24" s="12" t="s">
        <v>60</v>
      </c>
      <c r="H24" s="12" t="s">
        <v>253</v>
      </c>
      <c r="I24" s="11" t="s">
        <v>58</v>
      </c>
      <c r="J24" s="12" t="s">
        <v>60</v>
      </c>
      <c r="K24" s="12" t="s">
        <v>253</v>
      </c>
      <c r="L24" s="38" t="s">
        <v>254</v>
      </c>
      <c r="M24" s="39" t="s">
        <v>255</v>
      </c>
      <c r="N24" s="39" t="s">
        <v>256</v>
      </c>
    </row>
    <row r="25" spans="2:20" ht="17.25" thickBot="1">
      <c r="B25" s="14" t="s">
        <v>49</v>
      </c>
      <c r="C25" s="15" t="s">
        <v>57</v>
      </c>
      <c r="D25" s="15">
        <v>9</v>
      </c>
      <c r="E25" s="16">
        <v>6.5217391304347797E-2</v>
      </c>
      <c r="F25" s="17">
        <f>_xlfn.MAXIFS(ASV_PerFlag!$J:$J,ASV_PerFlag!$A:$A,$B$25,ASV_PerFlag!$B:$B,F$24,ASV_PerFlag!$C:$C,"unspecified",ASV_PerFlag!$D:$D,$C25)</f>
        <v>0.12677313820927749</v>
      </c>
      <c r="G25" s="18">
        <f>_xlfn.MAXIFS(ASV_PerFlag!$J:$J,ASV_PerFlag!$A:$A,$B$25,ASV_PerFlag!$B:$B,G$24,ASV_PerFlag!$C:$C,"unspecified",ASV_PerFlag!$D:$D,$C25)</f>
        <v>0.18257418583505541</v>
      </c>
      <c r="H25" s="18">
        <f>_xlfn.MAXIFS(ASV_PerFlag!$J:$J,ASV_PerFlag!$A:$A,$B$25,ASV_PerFlag!$B:$B,H$24,ASV_PerFlag!$C:$C,"unspecified",ASV_PerFlag!$D:$D,$C25)</f>
        <v>-0.12677313820927749</v>
      </c>
      <c r="I25" s="17">
        <f>_xlfn.MAXIFS(ASV_PerFlag!$G:$G,ASV_PerFlag!$A:$A,$B$25,ASV_PerFlag!$B:$B,I$24,ASV_PerFlag!$C:$C,"unspecified",ASV_PerFlag!$D:$D,$C25)</f>
        <v>7.1428571428571425E-2</v>
      </c>
      <c r="J25" s="18">
        <f>_xlfn.MAXIFS(ASV_PerFlag!$G:$G,ASV_PerFlag!$A:$A,$B$25,ASV_PerFlag!$B:$B,J$24,ASV_PerFlag!$C:$C,"unspecified",ASV_PerFlag!$D:$D,$C25)</f>
        <v>6.6666666666666666E-2</v>
      </c>
      <c r="K25" s="18">
        <f>_xlfn.MAXIFS(ASV_PerFlag!$G:$G,ASV_PerFlag!$A:$A,$B$25,ASV_PerFlag!$B:$B,K$24,ASV_PerFlag!$C:$C,"unspecified",ASV_PerFlag!$D:$D,$C25)</f>
        <v>5.5555555555555552E-2</v>
      </c>
      <c r="L25" s="17">
        <f>_xlfn.MAXIFS(ASV_PerFlag!$K:$K,ASV_PerFlag!$A:$A,$B$25,ASV_PerFlag!$B:$B,L$24,ASV_PerFlag!$C:$C,"unspecified",ASV_PerFlag!$D:$D,$C25)</f>
        <v>0.20833333333333329</v>
      </c>
      <c r="M25" s="18">
        <f>_xlfn.MAXIFS(ASV_PerFlag!$K:$K,ASV_PerFlag!$A:$A,$B$25,ASV_PerFlag!$B:$B,M$24,ASV_PerFlag!$C:$C,"unspecified",ASV_PerFlag!$D:$D,$C25)</f>
        <v>0.26315789473684209</v>
      </c>
      <c r="N25" s="18">
        <f>_xlfn.MAXIFS(ASV_PerFlag!$K:$K,ASV_PerFlag!$A:$A,$B$25,ASV_PerFlag!$B:$B,N$24,ASV_PerFlag!$C:$C,"unspecified",ASV_PerFlag!$D:$D,$C25)</f>
        <v>0</v>
      </c>
    </row>
    <row r="26" spans="2:20" ht="17.25" thickBot="1">
      <c r="B26" s="20"/>
      <c r="C26" s="21" t="s">
        <v>54</v>
      </c>
      <c r="D26" s="21">
        <v>20</v>
      </c>
      <c r="E26" s="22">
        <v>0.14000000000000001</v>
      </c>
      <c r="F26" s="17">
        <f>_xlfn.MAXIFS(ASV_PerFlag!$J:$J,ASV_PerFlag!$A:$A,$B$25,ASV_PerFlag!$B:$B,F$24,ASV_PerFlag!$C:$C,"unspecified",ASV_PerFlag!$D:$D,$C26)</f>
        <v>0.30618621784789718</v>
      </c>
      <c r="G26" s="18">
        <f>_xlfn.MAXIFS(ASV_PerFlag!$J:$J,ASV_PerFlag!$A:$A,$B$25,ASV_PerFlag!$B:$B,G$24,ASV_PerFlag!$C:$C,"unspecified",ASV_PerFlag!$D:$D,$C26)</f>
        <v>0.44445779894466358</v>
      </c>
      <c r="H26" s="18">
        <f>_xlfn.MAXIFS(ASV_PerFlag!$J:$J,ASV_PerFlag!$A:$A,$B$25,ASV_PerFlag!$B:$B,H$24,ASV_PerFlag!$C:$C,"unspecified",ASV_PerFlag!$D:$D,$C26)</f>
        <v>0</v>
      </c>
      <c r="I26" s="17">
        <f>_xlfn.MAXIFS(ASV_PerFlag!$G:$G,ASV_PerFlag!$A:$A,$B$25,ASV_PerFlag!$B:$B,I$24,ASV_PerFlag!$C:$C,"unspecified",ASV_PerFlag!$D:$D,$C26)</f>
        <v>0.35714285714285721</v>
      </c>
      <c r="J26" s="18">
        <f>_xlfn.MAXIFS(ASV_PerFlag!$G:$G,ASV_PerFlag!$A:$A,$B$25,ASV_PerFlag!$B:$B,J$24,ASV_PerFlag!$C:$C,"unspecified",ASV_PerFlag!$D:$D,$C26)</f>
        <v>0.47681159420289848</v>
      </c>
      <c r="K26" s="18">
        <f>_xlfn.MAXIFS(ASV_PerFlag!$G:$G,ASV_PerFlag!$A:$A,$B$25,ASV_PerFlag!$B:$B,K$24,ASV_PerFlag!$C:$C,"unspecified",ASV_PerFlag!$D:$D,$C26)</f>
        <v>0.28387041773231031</v>
      </c>
      <c r="L26" s="17">
        <f>_xlfn.MAXIFS(ASV_PerFlag!$K:$K,ASV_PerFlag!$A:$A,$B$25,ASV_PerFlag!$B:$B,L$24,ASV_PerFlag!$C:$C,"unspecified",ASV_PerFlag!$D:$D,$C26)</f>
        <v>0.625</v>
      </c>
      <c r="M26" s="18">
        <f>_xlfn.MAXIFS(ASV_PerFlag!$K:$K,ASV_PerFlag!$A:$A,$B$25,ASV_PerFlag!$B:$B,M$24,ASV_PerFlag!$C:$C,"unspecified",ASV_PerFlag!$D:$D,$C26)</f>
        <v>0.43478260869565222</v>
      </c>
      <c r="N26" s="18">
        <f>_xlfn.MAXIFS(ASV_PerFlag!$K:$K,ASV_PerFlag!$A:$A,$B$25,ASV_PerFlag!$B:$B,N$24,ASV_PerFlag!$C:$C,"unspecified",ASV_PerFlag!$D:$D,$C26)</f>
        <v>0</v>
      </c>
    </row>
    <row r="27" spans="2:20" ht="17.25" thickBot="1">
      <c r="B27" s="20"/>
      <c r="C27" s="21" t="s">
        <v>52</v>
      </c>
      <c r="D27" s="21">
        <v>4</v>
      </c>
      <c r="E27" s="22">
        <v>0.03</v>
      </c>
      <c r="F27" s="17">
        <f>_xlfn.MAXIFS(ASV_PerFlag!$J:$J,ASV_PerFlag!$A:$A,$B$25,ASV_PerFlag!$B:$B,F$24,ASV_PerFlag!$C:$C,"unspecified",ASV_PerFlag!$D:$D,$C27)</f>
        <v>0.69436507482941356</v>
      </c>
      <c r="G27" s="18">
        <f>_xlfn.MAXIFS(ASV_PerFlag!$J:$J,ASV_PerFlag!$A:$A,$B$25,ASV_PerFlag!$B:$B,G$24,ASV_PerFlag!$C:$C,"unspecified",ASV_PerFlag!$D:$D,$C27)</f>
        <v>1</v>
      </c>
      <c r="H27" s="18">
        <f>_xlfn.MAXIFS(ASV_PerFlag!$J:$J,ASV_PerFlag!$A:$A,$B$25,ASV_PerFlag!$B:$B,H$24,ASV_PerFlag!$C:$C,"unspecified",ASV_PerFlag!$D:$D,$C27)</f>
        <v>0.69436507482941356</v>
      </c>
      <c r="I27" s="17">
        <f>_xlfn.MAXIFS(ASV_PerFlag!$G:$G,ASV_PerFlag!$A:$A,$B$25,ASV_PerFlag!$B:$B,I$24,ASV_PerFlag!$C:$C,"unspecified",ASV_PerFlag!$D:$D,$C27)</f>
        <v>1</v>
      </c>
      <c r="J27" s="18">
        <f>_xlfn.MAXIFS(ASV_PerFlag!$G:$G,ASV_PerFlag!$A:$A,$B$25,ASV_PerFlag!$B:$B,J$24,ASV_PerFlag!$C:$C,"unspecified",ASV_PerFlag!$D:$D,$C27)</f>
        <v>1</v>
      </c>
      <c r="K27" s="18">
        <f>_xlfn.MAXIFS(ASV_PerFlag!$G:$G,ASV_PerFlag!$A:$A,$B$25,ASV_PerFlag!$B:$B,K$24,ASV_PerFlag!$C:$C,"unspecified",ASV_PerFlag!$D:$D,$C27)</f>
        <v>1</v>
      </c>
      <c r="L27" s="17">
        <f>_xlfn.MAXIFS(ASV_PerFlag!$K:$K,ASV_PerFlag!$A:$A,$B$25,ASV_PerFlag!$B:$B,L$24,ASV_PerFlag!$C:$C,"unspecified",ASV_PerFlag!$D:$D,$C27)</f>
        <v>0.83333333333333337</v>
      </c>
      <c r="M27" s="18">
        <f>_xlfn.MAXIFS(ASV_PerFlag!$K:$K,ASV_PerFlag!$A:$A,$B$25,ASV_PerFlag!$B:$B,M$24,ASV_PerFlag!$C:$C,"unspecified",ASV_PerFlag!$D:$D,$C27)</f>
        <v>1</v>
      </c>
      <c r="N27" s="18">
        <f>_xlfn.MAXIFS(ASV_PerFlag!$K:$K,ASV_PerFlag!$A:$A,$B$25,ASV_PerFlag!$B:$B,N$24,ASV_PerFlag!$C:$C,"unspecified",ASV_PerFlag!$D:$D,$C27)</f>
        <v>0.83333333333333337</v>
      </c>
    </row>
    <row r="28" spans="2:20" ht="17.25" thickBot="1">
      <c r="B28" s="20"/>
      <c r="C28" s="21" t="s">
        <v>55</v>
      </c>
      <c r="D28" s="21">
        <v>26</v>
      </c>
      <c r="E28" s="22">
        <v>0.1884057971014492</v>
      </c>
      <c r="F28" s="17">
        <f>_xlfn.MAXIFS(ASV_PerFlag!$J:$J,ASV_PerFlag!$A:$A,$B$25,ASV_PerFlag!$B:$B,F$24,ASV_PerFlag!$C:$C,"unspecified",ASV_PerFlag!$D:$D,$C28)</f>
        <v>0.24268133584853771</v>
      </c>
      <c r="G28" s="18">
        <f>_xlfn.MAXIFS(ASV_PerFlag!$J:$J,ASV_PerFlag!$A:$A,$B$25,ASV_PerFlag!$B:$B,G$24,ASV_PerFlag!$C:$C,"unspecified",ASV_PerFlag!$D:$D,$C28)</f>
        <v>0.61162352254743546</v>
      </c>
      <c r="H28" s="18">
        <f>_xlfn.MAXIFS(ASV_PerFlag!$J:$J,ASV_PerFlag!$A:$A,$B$25,ASV_PerFlag!$B:$B,H$24,ASV_PerFlag!$C:$C,"unspecified",ASV_PerFlag!$D:$D,$C28)</f>
        <v>0.64807406984078608</v>
      </c>
      <c r="I28" s="17">
        <f>_xlfn.MAXIFS(ASV_PerFlag!$G:$G,ASV_PerFlag!$A:$A,$B$25,ASV_PerFlag!$B:$B,I$24,ASV_PerFlag!$C:$C,"unspecified",ASV_PerFlag!$D:$D,$C28)</f>
        <v>0.2589285714285714</v>
      </c>
      <c r="J28" s="18">
        <f>_xlfn.MAXIFS(ASV_PerFlag!$G:$G,ASV_PerFlag!$A:$A,$B$25,ASV_PerFlag!$B:$B,J$24,ASV_PerFlag!$C:$C,"unspecified",ASV_PerFlag!$D:$D,$C28)</f>
        <v>0.89285714285714279</v>
      </c>
      <c r="K28" s="18">
        <f>_xlfn.MAXIFS(ASV_PerFlag!$G:$G,ASV_PerFlag!$A:$A,$B$25,ASV_PerFlag!$B:$B,K$24,ASV_PerFlag!$C:$C,"unspecified",ASV_PerFlag!$D:$D,$C28)</f>
        <v>0.88749999999999996</v>
      </c>
      <c r="L28" s="17">
        <f>_xlfn.MAXIFS(ASV_PerFlag!$K:$K,ASV_PerFlag!$A:$A,$B$25,ASV_PerFlag!$B:$B,L$24,ASV_PerFlag!$C:$C,"unspecified",ASV_PerFlag!$D:$D,$C28)</f>
        <v>0.51724137931034486</v>
      </c>
      <c r="M28" s="18">
        <f>_xlfn.MAXIFS(ASV_PerFlag!$K:$K,ASV_PerFlag!$A:$A,$B$25,ASV_PerFlag!$B:$B,M$24,ASV_PerFlag!$C:$C,"unspecified",ASV_PerFlag!$D:$D,$C28)</f>
        <v>0.7142857142857143</v>
      </c>
      <c r="N28" s="18">
        <f>_xlfn.MAXIFS(ASV_PerFlag!$K:$K,ASV_PerFlag!$A:$A,$B$25,ASV_PerFlag!$B:$B,N$24,ASV_PerFlag!$C:$C,"unspecified",ASV_PerFlag!$D:$D,$C28)</f>
        <v>0.83333333333333337</v>
      </c>
    </row>
    <row r="29" spans="2:20">
      <c r="B29" s="20"/>
      <c r="C29" s="21" t="s">
        <v>56</v>
      </c>
      <c r="D29" s="21">
        <v>7</v>
      </c>
      <c r="E29" s="22">
        <v>5.0724637681159403E-2</v>
      </c>
      <c r="F29" s="17">
        <f>_xlfn.MAXIFS(ASV_PerFlag!$J:$J,ASV_PerFlag!$A:$A,$B$25,ASV_PerFlag!$B:$B,F$24,ASV_PerFlag!$C:$C,"unspecified",ASV_PerFlag!$D:$D,$C29)</f>
        <v>-7.407407407407407E-2</v>
      </c>
      <c r="G29" s="18">
        <f>_xlfn.MAXIFS(ASV_PerFlag!$J:$J,ASV_PerFlag!$A:$A,$B$25,ASV_PerFlag!$B:$B,G$24,ASV_PerFlag!$C:$C,"unspecified",ASV_PerFlag!$D:$D,$C29)</f>
        <v>-7.407407407407407E-2</v>
      </c>
      <c r="H29" s="18">
        <f>_xlfn.MAXIFS(ASV_PerFlag!$J:$J,ASV_PerFlag!$A:$A,$B$25,ASV_PerFlag!$B:$B,H$24,ASV_PerFlag!$C:$C,"unspecified",ASV_PerFlag!$D:$D,$C29)</f>
        <v>0.1969302799427928</v>
      </c>
      <c r="I29" s="17">
        <f>_xlfn.MAXIFS(ASV_PerFlag!$G:$G,ASV_PerFlag!$A:$A,$B$25,ASV_PerFlag!$B:$B,I$24,ASV_PerFlag!$C:$C,"unspecified",ASV_PerFlag!$D:$D,$C29)</f>
        <v>0.14285714285714279</v>
      </c>
      <c r="J29" s="18">
        <f>_xlfn.MAXIFS(ASV_PerFlag!$G:$G,ASV_PerFlag!$A:$A,$B$25,ASV_PerFlag!$B:$B,J$24,ASV_PerFlag!$C:$C,"unspecified",ASV_PerFlag!$D:$D,$C29)</f>
        <v>6.3894523326572E-2</v>
      </c>
      <c r="K29" s="18">
        <f>_xlfn.MAXIFS(ASV_PerFlag!$G:$G,ASV_PerFlag!$A:$A,$B$25,ASV_PerFlag!$B:$B,K$24,ASV_PerFlag!$C:$C,"unspecified",ASV_PerFlag!$D:$D,$C29)</f>
        <v>0.17763157894736839</v>
      </c>
      <c r="L29" s="17">
        <f>_xlfn.MAXIFS(ASV_PerFlag!$K:$K,ASV_PerFlag!$A:$A,$B$25,ASV_PerFlag!$B:$B,L$24,ASV_PerFlag!$C:$C,"unspecified",ASV_PerFlag!$D:$D,$C29)</f>
        <v>0</v>
      </c>
      <c r="M29" s="18">
        <f>_xlfn.MAXIFS(ASV_PerFlag!$K:$K,ASV_PerFlag!$A:$A,$B$25,ASV_PerFlag!$B:$B,M$24,ASV_PerFlag!$C:$C,"unspecified",ASV_PerFlag!$D:$D,$C29)</f>
        <v>0</v>
      </c>
      <c r="N29" s="18">
        <f>_xlfn.MAXIFS(ASV_PerFlag!$K:$K,ASV_PerFlag!$A:$A,$B$25,ASV_PerFlag!$B:$B,N$24,ASV_PerFlag!$C:$C,"unspecified",ASV_PerFlag!$D:$D,$C29)</f>
        <v>0.35714285714285721</v>
      </c>
    </row>
    <row r="30" spans="2:20" ht="17.25" thickBot="1">
      <c r="B30" s="25"/>
      <c r="C30" s="26" t="s">
        <v>252</v>
      </c>
      <c r="D30" s="26"/>
      <c r="E30" s="27"/>
      <c r="F30" s="29">
        <f t="shared" ref="F30:N30" si="3">AVERAGE(F25:F29)</f>
        <v>0.2591863385322104</v>
      </c>
      <c r="G30" s="30">
        <f t="shared" si="3"/>
        <v>0.4329162866506161</v>
      </c>
      <c r="H30" s="29">
        <f t="shared" si="3"/>
        <v>0.28251925728074301</v>
      </c>
      <c r="I30" s="28">
        <f t="shared" si="3"/>
        <v>0.36607142857142855</v>
      </c>
      <c r="J30" s="31">
        <f t="shared" si="3"/>
        <v>0.50004598541065604</v>
      </c>
      <c r="K30" s="31">
        <f t="shared" si="3"/>
        <v>0.48091151044704689</v>
      </c>
      <c r="L30" s="28">
        <f t="shared" si="3"/>
        <v>0.43678160919540227</v>
      </c>
      <c r="M30" s="31">
        <f t="shared" si="3"/>
        <v>0.48244524354364177</v>
      </c>
      <c r="N30" s="31">
        <f t="shared" si="3"/>
        <v>0.40476190476190477</v>
      </c>
    </row>
    <row r="31" spans="2:20" ht="17.25" thickBot="1">
      <c r="B31" s="14" t="s">
        <v>68</v>
      </c>
      <c r="C31" s="15" t="s">
        <v>57</v>
      </c>
      <c r="D31" s="15">
        <v>9</v>
      </c>
      <c r="E31" s="16">
        <v>6.5217391304347797E-2</v>
      </c>
      <c r="F31" s="17">
        <f>_xlfn.MAXIFS(ASV_PerFlag!$J:$J,ASV_PerFlag!$A:$A,$B$31,ASV_PerFlag!$B:$B,F$24,ASV_PerFlag!$C:$C,"unspecified",ASV_PerFlag!$D:$D,$C31)</f>
        <v>7.5592894601845442E-2</v>
      </c>
      <c r="G31" s="18">
        <f>_xlfn.MAXIFS(ASV_PerFlag!$J:$J,ASV_PerFlag!$A:$A,$B$31,ASV_PerFlag!$B:$B,G$24,ASV_PerFlag!$C:$C,"unspecified",ASV_PerFlag!$D:$D,$C31)</f>
        <v>0</v>
      </c>
      <c r="H31" s="18">
        <f>_xlfn.MAXIFS(ASV_PerFlag!$J:$J,ASV_PerFlag!$A:$A,$B$31,ASV_PerFlag!$B:$B,H$24,ASV_PerFlag!$C:$C,"unspecified",ASV_PerFlag!$D:$D,$C31)</f>
        <v>0.28171808490950551</v>
      </c>
      <c r="I31" s="17">
        <f>_xlfn.MAXIFS(ASV_PerFlag!$G:$G,ASV_PerFlag!$A:$A,$B$31,ASV_PerFlag!$B:$B,I$24,ASV_PerFlag!$C:$C,"unspecified",ASV_PerFlag!$D:$D,$C31)</f>
        <v>0.04</v>
      </c>
      <c r="J31" s="18">
        <f>_xlfn.MAXIFS(ASV_PerFlag!$G:$G,ASV_PerFlag!$A:$A,$B$31,ASV_PerFlag!$B:$B,J$24,ASV_PerFlag!$C:$C,"unspecified",ASV_PerFlag!$D:$D,$C31)</f>
        <v>0.25</v>
      </c>
      <c r="K31" s="18">
        <f>_xlfn.MAXIFS(ASV_PerFlag!$G:$G,ASV_PerFlag!$A:$A,$B$31,ASV_PerFlag!$B:$B,K$24,ASV_PerFlag!$C:$C,"unspecified",ASV_PerFlag!$D:$D,$C31)</f>
        <v>0.1111111111111111</v>
      </c>
      <c r="L31" s="17">
        <f>_xlfn.MAXIFS(ASV_PerFlag!$K:$K,ASV_PerFlag!$A:$A,$B$31,ASV_PerFlag!$B:$B,L$24,ASV_PerFlag!$C:$C,"unspecified",ASV_PerFlag!$D:$D,$C31)</f>
        <v>0.17241379310344829</v>
      </c>
      <c r="M31" s="18">
        <f>_xlfn.MAXIFS(ASV_PerFlag!$K:$K,ASV_PerFlag!$A:$A,$B$31,ASV_PerFlag!$B:$B,M$24,ASV_PerFlag!$C:$C,"unspecified",ASV_PerFlag!$D:$D,$C31)</f>
        <v>0.15151515151515149</v>
      </c>
      <c r="N31" s="18">
        <f>_xlfn.MAXIFS(ASV_PerFlag!$K:$K,ASV_PerFlag!$A:$A,$B$31,ASV_PerFlag!$B:$B,N$24,ASV_PerFlag!$C:$C,"unspecified",ASV_PerFlag!$D:$D,$C31)</f>
        <v>0.38461538461538458</v>
      </c>
    </row>
    <row r="32" spans="2:20" ht="17.25" thickBot="1">
      <c r="B32" s="20"/>
      <c r="C32" s="21" t="s">
        <v>54</v>
      </c>
      <c r="D32" s="21">
        <v>20</v>
      </c>
      <c r="E32" s="22">
        <v>0.14000000000000001</v>
      </c>
      <c r="F32" s="17">
        <f>_xlfn.MAXIFS(ASV_PerFlag!$J:$J,ASV_PerFlag!$A:$A,$B$31,ASV_PerFlag!$B:$B,F$24,ASV_PerFlag!$C:$C,"unspecified",ASV_PerFlag!$D:$D,$C32)</f>
        <v>-8.2158383625774919E-2</v>
      </c>
      <c r="G32" s="18">
        <f>_xlfn.MAXIFS(ASV_PerFlag!$J:$J,ASV_PerFlag!$A:$A,$B$31,ASV_PerFlag!$B:$B,G$24,ASV_PerFlag!$C:$C,"unspecified",ASV_PerFlag!$D:$D,$C32)</f>
        <v>0</v>
      </c>
      <c r="H32" s="18">
        <f>_xlfn.MAXIFS(ASV_PerFlag!$J:$J,ASV_PerFlag!$A:$A,$B$31,ASV_PerFlag!$B:$B,H$24,ASV_PerFlag!$C:$C,"unspecified",ASV_PerFlag!$D:$D,$C32)</f>
        <v>0.32281067325791868</v>
      </c>
      <c r="I32" s="17">
        <f>_xlfn.MAXIFS(ASV_PerFlag!$G:$G,ASV_PerFlag!$A:$A,$B$31,ASV_PerFlag!$B:$B,I$24,ASV_PerFlag!$C:$C,"unspecified",ASV_PerFlag!$D:$D,$C32)</f>
        <v>0.16248275862068959</v>
      </c>
      <c r="J32" s="18">
        <f>_xlfn.MAXIFS(ASV_PerFlag!$G:$G,ASV_PerFlag!$A:$A,$B$31,ASV_PerFlag!$B:$B,J$24,ASV_PerFlag!$C:$C,"unspecified",ASV_PerFlag!$D:$D,$C32)</f>
        <v>0.70114942528735624</v>
      </c>
      <c r="K32" s="18">
        <f>_xlfn.MAXIFS(ASV_PerFlag!$G:$G,ASV_PerFlag!$A:$A,$B$31,ASV_PerFlag!$B:$B,K$24,ASV_PerFlag!$C:$C,"unspecified",ASV_PerFlag!$D:$D,$C32)</f>
        <v>0.69500000000000006</v>
      </c>
      <c r="L32" s="17">
        <f>_xlfn.MAXIFS(ASV_PerFlag!$K:$K,ASV_PerFlag!$A:$A,$B$31,ASV_PerFlag!$B:$B,L$24,ASV_PerFlag!$C:$C,"unspecified",ASV_PerFlag!$D:$D,$C32)</f>
        <v>0.44444444444444442</v>
      </c>
      <c r="M32" s="18">
        <f>_xlfn.MAXIFS(ASV_PerFlag!$K:$K,ASV_PerFlag!$A:$A,$B$31,ASV_PerFlag!$B:$B,M$24,ASV_PerFlag!$C:$C,"unspecified",ASV_PerFlag!$D:$D,$C32)</f>
        <v>0</v>
      </c>
      <c r="N32" s="18">
        <f>_xlfn.MAXIFS(ASV_PerFlag!$K:$K,ASV_PerFlag!$A:$A,$B$31,ASV_PerFlag!$B:$B,N$24,ASV_PerFlag!$C:$C,"unspecified",ASV_PerFlag!$D:$D,$C32)</f>
        <v>0.60606060606060608</v>
      </c>
    </row>
    <row r="33" spans="2:14" ht="17.25" thickBot="1">
      <c r="B33" s="20"/>
      <c r="C33" s="21" t="s">
        <v>52</v>
      </c>
      <c r="D33" s="21">
        <v>4</v>
      </c>
      <c r="E33" s="22">
        <v>0.03</v>
      </c>
      <c r="F33" s="17">
        <f>_xlfn.MAXIFS(ASV_PerFlag!$J:$J,ASV_PerFlag!$A:$A,$B$31,ASV_PerFlag!$B:$B,F$24,ASV_PerFlag!$C:$C,"unspecified",ASV_PerFlag!$D:$D,$C33)</f>
        <v>0</v>
      </c>
      <c r="G33" s="18">
        <f>_xlfn.MAXIFS(ASV_PerFlag!$J:$J,ASV_PerFlag!$A:$A,$B$31,ASV_PerFlag!$B:$B,G$24,ASV_PerFlag!$C:$C,"unspecified",ASV_PerFlag!$D:$D,$C33)</f>
        <v>0</v>
      </c>
      <c r="H33" s="18">
        <f>_xlfn.MAXIFS(ASV_PerFlag!$J:$J,ASV_PerFlag!$A:$A,$B$31,ASV_PerFlag!$B:$B,H$24,ASV_PerFlag!$C:$C,"unspecified",ASV_PerFlag!$D:$D,$C33)</f>
        <v>-5.1434449987363969E-2</v>
      </c>
      <c r="I33" s="17">
        <f>_xlfn.MAXIFS(ASV_PerFlag!$G:$G,ASV_PerFlag!$A:$A,$B$31,ASV_PerFlag!$B:$B,I$24,ASV_PerFlag!$C:$C,"unspecified",ASV_PerFlag!$D:$D,$C33)</f>
        <v>0.04</v>
      </c>
      <c r="J33" s="18">
        <f>_xlfn.MAXIFS(ASV_PerFlag!$G:$G,ASV_PerFlag!$A:$A,$B$31,ASV_PerFlag!$B:$B,J$24,ASV_PerFlag!$C:$C,"unspecified",ASV_PerFlag!$D:$D,$C33)</f>
        <v>0.5</v>
      </c>
      <c r="K33" s="18">
        <f>_xlfn.MAXIFS(ASV_PerFlag!$G:$G,ASV_PerFlag!$A:$A,$B$31,ASV_PerFlag!$B:$B,K$24,ASV_PerFlag!$C:$C,"unspecified",ASV_PerFlag!$D:$D,$C33)</f>
        <v>0.16666666666666671</v>
      </c>
      <c r="L33" s="17">
        <f>_xlfn.MAXIFS(ASV_PerFlag!$K:$K,ASV_PerFlag!$A:$A,$B$31,ASV_PerFlag!$B:$B,L$24,ASV_PerFlag!$C:$C,"unspecified",ASV_PerFlag!$D:$D,$C33)</f>
        <v>0</v>
      </c>
      <c r="M33" s="18">
        <f>_xlfn.MAXIFS(ASV_PerFlag!$K:$K,ASV_PerFlag!$A:$A,$B$31,ASV_PerFlag!$B:$B,M$24,ASV_PerFlag!$C:$C,"unspecified",ASV_PerFlag!$D:$D,$C33)</f>
        <v>0</v>
      </c>
      <c r="N33" s="18">
        <f>_xlfn.MAXIFS(ASV_PerFlag!$K:$K,ASV_PerFlag!$A:$A,$B$31,ASV_PerFlag!$B:$B,N$24,ASV_PerFlag!$C:$C,"unspecified",ASV_PerFlag!$D:$D,$C33)</f>
        <v>0</v>
      </c>
    </row>
    <row r="34" spans="2:14" ht="17.25" thickBot="1">
      <c r="B34" s="20"/>
      <c r="C34" s="21" t="s">
        <v>55</v>
      </c>
      <c r="D34" s="21">
        <v>26</v>
      </c>
      <c r="E34" s="22">
        <v>0.1884057971014492</v>
      </c>
      <c r="F34" s="17">
        <f>_xlfn.MAXIFS(ASV_PerFlag!$J:$J,ASV_PerFlag!$A:$A,$B$31,ASV_PerFlag!$B:$B,F$24,ASV_PerFlag!$C:$C,"unspecified",ASV_PerFlag!$D:$D,$C34)</f>
        <v>0.1088662107903635</v>
      </c>
      <c r="G34" s="18">
        <f>_xlfn.MAXIFS(ASV_PerFlag!$J:$J,ASV_PerFlag!$A:$A,$B$31,ASV_PerFlag!$B:$B,G$24,ASV_PerFlag!$C:$C,"unspecified",ASV_PerFlag!$D:$D,$C34)</f>
        <v>0.70912420834233469</v>
      </c>
      <c r="H34" s="18">
        <f>_xlfn.MAXIFS(ASV_PerFlag!$J:$J,ASV_PerFlag!$A:$A,$B$31,ASV_PerFlag!$B:$B,H$24,ASV_PerFlag!$C:$C,"unspecified",ASV_PerFlag!$D:$D,$C34)</f>
        <v>0.64807406984078608</v>
      </c>
      <c r="I34" s="17">
        <f>_xlfn.MAXIFS(ASV_PerFlag!$G:$G,ASV_PerFlag!$A:$A,$B$31,ASV_PerFlag!$B:$B,I$24,ASV_PerFlag!$C:$C,"unspecified",ASV_PerFlag!$D:$D,$C34)</f>
        <v>0.14814814814814811</v>
      </c>
      <c r="J34" s="18">
        <f>_xlfn.MAXIFS(ASV_PerFlag!$G:$G,ASV_PerFlag!$A:$A,$B$31,ASV_PerFlag!$B:$B,J$24,ASV_PerFlag!$C:$C,"unspecified",ASV_PerFlag!$D:$D,$C34)</f>
        <v>0.95</v>
      </c>
      <c r="K34" s="18">
        <f>_xlfn.MAXIFS(ASV_PerFlag!$G:$G,ASV_PerFlag!$A:$A,$B$31,ASV_PerFlag!$B:$B,K$24,ASV_PerFlag!$C:$C,"unspecified",ASV_PerFlag!$D:$D,$C34)</f>
        <v>0.88749999999999996</v>
      </c>
      <c r="L34" s="17">
        <f>_xlfn.MAXIFS(ASV_PerFlag!$K:$K,ASV_PerFlag!$A:$A,$B$31,ASV_PerFlag!$B:$B,L$24,ASV_PerFlag!$C:$C,"unspecified",ASV_PerFlag!$D:$D,$C34)</f>
        <v>0.46511627906976738</v>
      </c>
      <c r="M34" s="18">
        <f>_xlfn.MAXIFS(ASV_PerFlag!$K:$K,ASV_PerFlag!$A:$A,$B$31,ASV_PerFlag!$B:$B,M$24,ASV_PerFlag!$C:$C,"unspecified",ASV_PerFlag!$D:$D,$C34)</f>
        <v>0.86956521739130432</v>
      </c>
      <c r="N34" s="18">
        <f>_xlfn.MAXIFS(ASV_PerFlag!$K:$K,ASV_PerFlag!$A:$A,$B$31,ASV_PerFlag!$B:$B,N$24,ASV_PerFlag!$C:$C,"unspecified",ASV_PerFlag!$D:$D,$C34)</f>
        <v>0.83333333333333337</v>
      </c>
    </row>
    <row r="35" spans="2:14">
      <c r="B35" s="20"/>
      <c r="C35" s="21" t="s">
        <v>56</v>
      </c>
      <c r="D35" s="21">
        <v>7</v>
      </c>
      <c r="E35" s="22">
        <v>5.0724637681159403E-2</v>
      </c>
      <c r="F35" s="17">
        <f>_xlfn.MAXIFS(ASV_PerFlag!$J:$J,ASV_PerFlag!$A:$A,$B$31,ASV_PerFlag!$B:$B,F$24,ASV_PerFlag!$C:$C,"unspecified",ASV_PerFlag!$D:$D,$C35)</f>
        <v>0</v>
      </c>
      <c r="G35" s="18">
        <f>_xlfn.MAXIFS(ASV_PerFlag!$J:$J,ASV_PerFlag!$A:$A,$B$31,ASV_PerFlag!$B:$B,G$24,ASV_PerFlag!$C:$C,"unspecified",ASV_PerFlag!$D:$D,$C35)</f>
        <v>0</v>
      </c>
      <c r="H35" s="18">
        <f>_xlfn.MAXIFS(ASV_PerFlag!$J:$J,ASV_PerFlag!$A:$A,$B$31,ASV_PerFlag!$B:$B,H$24,ASV_PerFlag!$C:$C,"unspecified",ASV_PerFlag!$D:$D,$C35)</f>
        <v>0.1115731135658672</v>
      </c>
      <c r="I35" s="17">
        <f>_xlfn.MAXIFS(ASV_PerFlag!$G:$G,ASV_PerFlag!$A:$A,$B$31,ASV_PerFlag!$B:$B,I$24,ASV_PerFlag!$C:$C,"unspecified",ASV_PerFlag!$D:$D,$C35)</f>
        <v>0.08</v>
      </c>
      <c r="J35" s="18">
        <f>_xlfn.MAXIFS(ASV_PerFlag!$G:$G,ASV_PerFlag!$A:$A,$B$31,ASV_PerFlag!$B:$B,J$24,ASV_PerFlag!$C:$C,"unspecified",ASV_PerFlag!$D:$D,$C35)</f>
        <v>0.2192982456140351</v>
      </c>
      <c r="K35" s="18">
        <f>_xlfn.MAXIFS(ASV_PerFlag!$G:$G,ASV_PerFlag!$A:$A,$B$31,ASV_PerFlag!$B:$B,K$24,ASV_PerFlag!$C:$C,"unspecified",ASV_PerFlag!$D:$D,$C35)</f>
        <v>0.22222222222222221</v>
      </c>
      <c r="L35" s="17">
        <f>_xlfn.MAXIFS(ASV_PerFlag!$K:$K,ASV_PerFlag!$A:$A,$B$31,ASV_PerFlag!$B:$B,L$24,ASV_PerFlag!$C:$C,"unspecified",ASV_PerFlag!$D:$D,$C35)</f>
        <v>0</v>
      </c>
      <c r="M35" s="18">
        <f>_xlfn.MAXIFS(ASV_PerFlag!$K:$K,ASV_PerFlag!$A:$A,$B$31,ASV_PerFlag!$B:$B,M$24,ASV_PerFlag!$C:$C,"unspecified",ASV_PerFlag!$D:$D,$C35)</f>
        <v>0</v>
      </c>
      <c r="N35" s="18">
        <f>_xlfn.MAXIFS(ASV_PerFlag!$K:$K,ASV_PerFlag!$A:$A,$B$31,ASV_PerFlag!$B:$B,N$24,ASV_PerFlag!$C:$C,"unspecified",ASV_PerFlag!$D:$D,$C35)</f>
        <v>0.29411764705882348</v>
      </c>
    </row>
    <row r="36" spans="2:14" ht="17.25" thickBot="1">
      <c r="B36" s="25"/>
      <c r="C36" s="26" t="s">
        <v>252</v>
      </c>
      <c r="D36" s="26"/>
      <c r="E36" s="27"/>
      <c r="F36" s="29">
        <f t="shared" ref="F36:N36" si="4">AVERAGE(F31:F35)</f>
        <v>2.0460144353286806E-2</v>
      </c>
      <c r="G36" s="30">
        <f t="shared" si="4"/>
        <v>0.14182484166846693</v>
      </c>
      <c r="H36" s="29">
        <f t="shared" si="4"/>
        <v>0.26254829831734272</v>
      </c>
      <c r="I36" s="28">
        <f t="shared" si="4"/>
        <v>9.4126181353767546E-2</v>
      </c>
      <c r="J36" s="31">
        <f t="shared" si="4"/>
        <v>0.52408953418027826</v>
      </c>
      <c r="K36" s="31">
        <f t="shared" si="4"/>
        <v>0.41649999999999998</v>
      </c>
      <c r="L36" s="28">
        <f t="shared" si="4"/>
        <v>0.21639490332353201</v>
      </c>
      <c r="M36" s="31">
        <f t="shared" si="4"/>
        <v>0.20421607378129117</v>
      </c>
      <c r="N36" s="31">
        <f t="shared" si="4"/>
        <v>0.42362539421362949</v>
      </c>
    </row>
    <row r="37" spans="2:14" ht="17.25" thickBot="1">
      <c r="B37" s="14" t="s">
        <v>75</v>
      </c>
      <c r="C37" s="15" t="s">
        <v>57</v>
      </c>
      <c r="D37" s="15">
        <v>9</v>
      </c>
      <c r="E37" s="16">
        <v>6.5217391304347797E-2</v>
      </c>
      <c r="F37" s="17">
        <f>_xlfn.MAXIFS(ASV_PerFlag!$J:$J,ASV_PerFlag!$A:$A,$B$37,ASV_PerFlag!$B:$B,F$24,ASV_PerFlag!$C:$C,"unspecified",ASV_PerFlag!$D:$D,$C37)</f>
        <v>0</v>
      </c>
      <c r="G37" s="18">
        <f>_xlfn.MAXIFS(ASV_PerFlag!$J:$J,ASV_PerFlag!$A:$A,$B$37,ASV_PerFlag!$B:$B,G$24,ASV_PerFlag!$C:$C,"unspecified",ASV_PerFlag!$D:$D,$C37)</f>
        <v>8.6258194917794281E-2</v>
      </c>
      <c r="H37" s="18">
        <f>_xlfn.MAXIFS(ASV_PerFlag!$J:$J,ASV_PerFlag!$A:$A,$B$37,ASV_PerFlag!$B:$B,H$24,ASV_PerFlag!$C:$C,"unspecified",ASV_PerFlag!$D:$D,$C37)</f>
        <v>0</v>
      </c>
      <c r="I37" s="17">
        <f>_xlfn.MAXIFS(ASV_PerFlag!$G:$G,ASV_PerFlag!$A:$A,$B$37,ASV_PerFlag!$B:$B,I$24,ASV_PerFlag!$C:$C,"unspecified",ASV_PerFlag!$D:$D,$C37)</f>
        <v>5.5555555555555552E-2</v>
      </c>
      <c r="J37" s="18">
        <f>_xlfn.MAXIFS(ASV_PerFlag!$G:$G,ASV_PerFlag!$A:$A,$B$37,ASV_PerFlag!$B:$B,J$24,ASV_PerFlag!$C:$C,"unspecified",ASV_PerFlag!$D:$D,$C37)</f>
        <v>6.6666666666666666E-2</v>
      </c>
      <c r="K37" s="18">
        <f>_xlfn.MAXIFS(ASV_PerFlag!$G:$G,ASV_PerFlag!$A:$A,$B$37,ASV_PerFlag!$B:$B,K$24,ASV_PerFlag!$C:$C,"unspecified",ASV_PerFlag!$D:$D,$C37)</f>
        <v>5.5555555555555552E-2</v>
      </c>
      <c r="L37" s="17">
        <f>_xlfn.MAXIFS(ASV_PerFlag!$K:$K,ASV_PerFlag!$A:$A,$B$37,ASV_PerFlag!$B:$B,L$24,ASV_PerFlag!$C:$C,"unspecified",ASV_PerFlag!$D:$D,$C37)</f>
        <v>0.15151515151515149</v>
      </c>
      <c r="M37" s="18">
        <f>_xlfn.MAXIFS(ASV_PerFlag!$K:$K,ASV_PerFlag!$A:$A,$B$37,ASV_PerFlag!$B:$B,M$24,ASV_PerFlag!$C:$C,"unspecified",ASV_PerFlag!$D:$D,$C37)</f>
        <v>0.1785714285714286</v>
      </c>
      <c r="N37" s="18">
        <f>_xlfn.MAXIFS(ASV_PerFlag!$K:$K,ASV_PerFlag!$A:$A,$B$37,ASV_PerFlag!$B:$B,N$24,ASV_PerFlag!$C:$C,"unspecified",ASV_PerFlag!$D:$D,$C37)</f>
        <v>0</v>
      </c>
    </row>
    <row r="38" spans="2:14" ht="17.25" thickBot="1">
      <c r="B38" s="20"/>
      <c r="C38" s="21" t="s">
        <v>54</v>
      </c>
      <c r="D38" s="21">
        <v>20</v>
      </c>
      <c r="E38" s="22">
        <v>0.14000000000000001</v>
      </c>
      <c r="F38" s="17">
        <f>_xlfn.MAXIFS(ASV_PerFlag!$J:$J,ASV_PerFlag!$A:$A,$B$37,ASV_PerFlag!$B:$B,F$24,ASV_PerFlag!$C:$C,"unspecified",ASV_PerFlag!$D:$D,$C38)</f>
        <v>8.2158383625774919E-2</v>
      </c>
      <c r="G38" s="18">
        <f>_xlfn.MAXIFS(ASV_PerFlag!$J:$J,ASV_PerFlag!$A:$A,$B$37,ASV_PerFlag!$B:$B,G$24,ASV_PerFlag!$C:$C,"unspecified",ASV_PerFlag!$D:$D,$C38)</f>
        <v>0</v>
      </c>
      <c r="H38" s="18">
        <f>_xlfn.MAXIFS(ASV_PerFlag!$J:$J,ASV_PerFlag!$A:$A,$B$37,ASV_PerFlag!$B:$B,H$24,ASV_PerFlag!$C:$C,"unspecified",ASV_PerFlag!$D:$D,$C38)</f>
        <v>-8.6258194917794281E-2</v>
      </c>
      <c r="I38" s="17">
        <f>_xlfn.MAXIFS(ASV_PerFlag!$G:$G,ASV_PerFlag!$A:$A,$B$37,ASV_PerFlag!$B:$B,I$24,ASV_PerFlag!$C:$C,"unspecified",ASV_PerFlag!$D:$D,$C38)</f>
        <v>0.52126984126984133</v>
      </c>
      <c r="J38" s="18">
        <f>_xlfn.MAXIFS(ASV_PerFlag!$G:$G,ASV_PerFlag!$A:$A,$B$37,ASV_PerFlag!$B:$B,J$24,ASV_PerFlag!$C:$C,"unspecified",ASV_PerFlag!$D:$D,$C38)</f>
        <v>0.81</v>
      </c>
      <c r="K38" s="18">
        <f>_xlfn.MAXIFS(ASV_PerFlag!$G:$G,ASV_PerFlag!$A:$A,$B$37,ASV_PerFlag!$B:$B,K$24,ASV_PerFlag!$C:$C,"unspecified",ASV_PerFlag!$D:$D,$C38)</f>
        <v>0.495</v>
      </c>
      <c r="L38" s="17">
        <f>_xlfn.MAXIFS(ASV_PerFlag!$K:$K,ASV_PerFlag!$A:$A,$B$37,ASV_PerFlag!$B:$B,L$24,ASV_PerFlag!$C:$C,"unspecified",ASV_PerFlag!$D:$D,$C38)</f>
        <v>0.20833333333333329</v>
      </c>
      <c r="M38" s="18">
        <f>_xlfn.MAXIFS(ASV_PerFlag!$K:$K,ASV_PerFlag!$A:$A,$B$37,ASV_PerFlag!$B:$B,M$24,ASV_PerFlag!$C:$C,"unspecified",ASV_PerFlag!$D:$D,$C38)</f>
        <v>0</v>
      </c>
      <c r="N38" s="18">
        <f>_xlfn.MAXIFS(ASV_PerFlag!$K:$K,ASV_PerFlag!$A:$A,$B$37,ASV_PerFlag!$B:$B,N$24,ASV_PerFlag!$C:$C,"unspecified",ASV_PerFlag!$D:$D,$C38)</f>
        <v>0</v>
      </c>
    </row>
    <row r="39" spans="2:14" ht="17.25" thickBot="1">
      <c r="B39" s="20"/>
      <c r="C39" s="21" t="s">
        <v>52</v>
      </c>
      <c r="D39" s="21">
        <v>4</v>
      </c>
      <c r="E39" s="22">
        <v>0.03</v>
      </c>
      <c r="F39" s="17">
        <f>_xlfn.MAXIFS(ASV_PerFlag!$J:$J,ASV_PerFlag!$A:$A,$B$37,ASV_PerFlag!$B:$B,F$24,ASV_PerFlag!$C:$C,"unspecified",ASV_PerFlag!$D:$D,$C39)</f>
        <v>1</v>
      </c>
      <c r="G39" s="18">
        <f>_xlfn.MAXIFS(ASV_PerFlag!$J:$J,ASV_PerFlag!$A:$A,$B$37,ASV_PerFlag!$B:$B,G$24,ASV_PerFlag!$C:$C,"unspecified",ASV_PerFlag!$D:$D,$C39)</f>
        <v>0</v>
      </c>
      <c r="H39" s="18">
        <f>_xlfn.MAXIFS(ASV_PerFlag!$J:$J,ASV_PerFlag!$A:$A,$B$37,ASV_PerFlag!$B:$B,H$24,ASV_PerFlag!$C:$C,"unspecified",ASV_PerFlag!$D:$D,$C39)</f>
        <v>0.55634864026418673</v>
      </c>
      <c r="I39" s="17">
        <f>_xlfn.MAXIFS(ASV_PerFlag!$G:$G,ASV_PerFlag!$A:$A,$B$37,ASV_PerFlag!$B:$B,I$24,ASV_PerFlag!$C:$C,"unspecified",ASV_PerFlag!$D:$D,$C39)</f>
        <v>1</v>
      </c>
      <c r="J39" s="18">
        <f>_xlfn.MAXIFS(ASV_PerFlag!$G:$G,ASV_PerFlag!$A:$A,$B$37,ASV_PerFlag!$B:$B,J$24,ASV_PerFlag!$C:$C,"unspecified",ASV_PerFlag!$D:$D,$C39)</f>
        <v>0.2</v>
      </c>
      <c r="K39" s="18">
        <f>_xlfn.MAXIFS(ASV_PerFlag!$G:$G,ASV_PerFlag!$A:$A,$B$37,ASV_PerFlag!$B:$B,K$24,ASV_PerFlag!$C:$C,"unspecified",ASV_PerFlag!$D:$D,$C39)</f>
        <v>0.5</v>
      </c>
      <c r="L39" s="17">
        <f>_xlfn.MAXIFS(ASV_PerFlag!$K:$K,ASV_PerFlag!$A:$A,$B$37,ASV_PerFlag!$B:$B,L$24,ASV_PerFlag!$C:$C,"unspecified",ASV_PerFlag!$D:$D,$C39)</f>
        <v>1</v>
      </c>
      <c r="M39" s="18">
        <f>_xlfn.MAXIFS(ASV_PerFlag!$K:$K,ASV_PerFlag!$A:$A,$B$37,ASV_PerFlag!$B:$B,M$24,ASV_PerFlag!$C:$C,"unspecified",ASV_PerFlag!$D:$D,$C39)</f>
        <v>0</v>
      </c>
      <c r="N39" s="18">
        <f>_xlfn.MAXIFS(ASV_PerFlag!$K:$K,ASV_PerFlag!$A:$A,$B$37,ASV_PerFlag!$B:$B,N$24,ASV_PerFlag!$C:$C,"unspecified",ASV_PerFlag!$D:$D,$C39)</f>
        <v>0.7142857142857143</v>
      </c>
    </row>
    <row r="40" spans="2:14" ht="17.25" thickBot="1">
      <c r="B40" s="20"/>
      <c r="C40" s="21" t="s">
        <v>55</v>
      </c>
      <c r="D40" s="21">
        <v>26</v>
      </c>
      <c r="E40" s="22">
        <v>0.1884057971014492</v>
      </c>
      <c r="F40" s="17">
        <f>_xlfn.MAXIFS(ASV_PerFlag!$J:$J,ASV_PerFlag!$A:$A,$B$37,ASV_PerFlag!$B:$B,F$24,ASV_PerFlag!$C:$C,"unspecified",ASV_PerFlag!$D:$D,$C40)</f>
        <v>0.64807406984078608</v>
      </c>
      <c r="G40" s="18">
        <f>_xlfn.MAXIFS(ASV_PerFlag!$J:$J,ASV_PerFlag!$A:$A,$B$37,ASV_PerFlag!$B:$B,G$24,ASV_PerFlag!$C:$C,"unspecified",ASV_PerFlag!$D:$D,$C40)</f>
        <v>0.70912420834233469</v>
      </c>
      <c r="H40" s="18">
        <f>_xlfn.MAXIFS(ASV_PerFlag!$J:$J,ASV_PerFlag!$A:$A,$B$37,ASV_PerFlag!$B:$B,H$24,ASV_PerFlag!$C:$C,"unspecified",ASV_PerFlag!$D:$D,$C40)</f>
        <v>0.59628479399994394</v>
      </c>
      <c r="I40" s="17">
        <f>_xlfn.MAXIFS(ASV_PerFlag!$G:$G,ASV_PerFlag!$A:$A,$B$37,ASV_PerFlag!$B:$B,I$24,ASV_PerFlag!$C:$C,"unspecified",ASV_PerFlag!$D:$D,$C40)</f>
        <v>0.52500000000000002</v>
      </c>
      <c r="J40" s="18">
        <f>_xlfn.MAXIFS(ASV_PerFlag!$G:$G,ASV_PerFlag!$A:$A,$B$37,ASV_PerFlag!$B:$B,J$24,ASV_PerFlag!$C:$C,"unspecified",ASV_PerFlag!$D:$D,$C40)</f>
        <v>0.88749999999999996</v>
      </c>
      <c r="K40" s="18">
        <f>_xlfn.MAXIFS(ASV_PerFlag!$G:$G,ASV_PerFlag!$A:$A,$B$37,ASV_PerFlag!$B:$B,K$24,ASV_PerFlag!$C:$C,"unspecified",ASV_PerFlag!$D:$D,$C40)</f>
        <v>0.8041666666666667</v>
      </c>
      <c r="L40" s="17">
        <f>_xlfn.MAXIFS(ASV_PerFlag!$K:$K,ASV_PerFlag!$A:$A,$B$37,ASV_PerFlag!$B:$B,L$24,ASV_PerFlag!$C:$C,"unspecified",ASV_PerFlag!$D:$D,$C40)</f>
        <v>0.83333333333333337</v>
      </c>
      <c r="M40" s="18">
        <f>_xlfn.MAXIFS(ASV_PerFlag!$K:$K,ASV_PerFlag!$A:$A,$B$37,ASV_PerFlag!$B:$B,M$24,ASV_PerFlag!$C:$C,"unspecified",ASV_PerFlag!$D:$D,$C40)</f>
        <v>0.86956521739130432</v>
      </c>
      <c r="N40" s="18">
        <f>_xlfn.MAXIFS(ASV_PerFlag!$K:$K,ASV_PerFlag!$A:$A,$B$37,ASV_PerFlag!$B:$B,N$24,ASV_PerFlag!$C:$C,"unspecified",ASV_PerFlag!$D:$D,$C40)</f>
        <v>0.8</v>
      </c>
    </row>
    <row r="41" spans="2:14">
      <c r="B41" s="20"/>
      <c r="C41" s="21" t="s">
        <v>56</v>
      </c>
      <c r="D41" s="21">
        <v>7</v>
      </c>
      <c r="E41" s="22">
        <v>5.0724637681159403E-2</v>
      </c>
      <c r="F41" s="17">
        <f>_xlfn.MAXIFS(ASV_PerFlag!$J:$J,ASV_PerFlag!$A:$A,$B$37,ASV_PerFlag!$B:$B,F$24,ASV_PerFlag!$C:$C,"unspecified",ASV_PerFlag!$D:$D,$C41)</f>
        <v>-7.407407407407407E-2</v>
      </c>
      <c r="G41" s="18">
        <f>_xlfn.MAXIFS(ASV_PerFlag!$J:$J,ASV_PerFlag!$A:$A,$B$37,ASV_PerFlag!$B:$B,G$24,ASV_PerFlag!$C:$C,"unspecified",ASV_PerFlag!$D:$D,$C41)</f>
        <v>-5.1434449987363969E-2</v>
      </c>
      <c r="H41" s="18">
        <f>_xlfn.MAXIFS(ASV_PerFlag!$J:$J,ASV_PerFlag!$A:$A,$B$37,ASV_PerFlag!$B:$B,H$24,ASV_PerFlag!$C:$C,"unspecified",ASV_PerFlag!$D:$D,$C41)</f>
        <v>-0.1088662107903635</v>
      </c>
      <c r="I41" s="17">
        <f>_xlfn.MAXIFS(ASV_PerFlag!$G:$G,ASV_PerFlag!$A:$A,$B$37,ASV_PerFlag!$B:$B,I$24,ASV_PerFlag!$C:$C,"unspecified",ASV_PerFlag!$D:$D,$C41)</f>
        <v>7.2751322751322747E-2</v>
      </c>
      <c r="J41" s="18">
        <f>_xlfn.MAXIFS(ASV_PerFlag!$G:$G,ASV_PerFlag!$A:$A,$B$37,ASV_PerFlag!$B:$B,J$24,ASV_PerFlag!$C:$C,"unspecified",ASV_PerFlag!$D:$D,$C41)</f>
        <v>0.1357142857142857</v>
      </c>
      <c r="K41" s="18">
        <f>_xlfn.MAXIFS(ASV_PerFlag!$G:$G,ASV_PerFlag!$A:$A,$B$37,ASV_PerFlag!$B:$B,K$24,ASV_PerFlag!$C:$C,"unspecified",ASV_PerFlag!$D:$D,$C41)</f>
        <v>0.1166666666666667</v>
      </c>
      <c r="L41" s="17">
        <f>_xlfn.MAXIFS(ASV_PerFlag!$K:$K,ASV_PerFlag!$A:$A,$B$37,ASV_PerFlag!$B:$B,L$24,ASV_PerFlag!$C:$C,"unspecified",ASV_PerFlag!$D:$D,$C41)</f>
        <v>0</v>
      </c>
      <c r="M41" s="18">
        <f>_xlfn.MAXIFS(ASV_PerFlag!$K:$K,ASV_PerFlag!$A:$A,$B$37,ASV_PerFlag!$B:$B,M$24,ASV_PerFlag!$C:$C,"unspecified",ASV_PerFlag!$D:$D,$C41)</f>
        <v>0</v>
      </c>
      <c r="N41" s="18">
        <f>_xlfn.MAXIFS(ASV_PerFlag!$K:$K,ASV_PerFlag!$A:$A,$B$37,ASV_PerFlag!$B:$B,N$24,ASV_PerFlag!$C:$C,"unspecified",ASV_PerFlag!$D:$D,$C41)</f>
        <v>0</v>
      </c>
    </row>
    <row r="42" spans="2:14" ht="17.25" thickBot="1">
      <c r="B42" s="25"/>
      <c r="C42" s="26" t="s">
        <v>252</v>
      </c>
      <c r="D42" s="26"/>
      <c r="E42" s="27"/>
      <c r="F42" s="29">
        <f t="shared" ref="F42:N42" si="5">AVERAGE(F37:F41)</f>
        <v>0.33123167587849733</v>
      </c>
      <c r="G42" s="30">
        <f t="shared" si="5"/>
        <v>0.14878959065455299</v>
      </c>
      <c r="H42" s="29">
        <f t="shared" si="5"/>
        <v>0.19150180571119457</v>
      </c>
      <c r="I42" s="28">
        <f t="shared" si="5"/>
        <v>0.43491534391534392</v>
      </c>
      <c r="J42" s="31">
        <f t="shared" si="5"/>
        <v>0.4199761904761905</v>
      </c>
      <c r="K42" s="31">
        <f t="shared" si="5"/>
        <v>0.39427777777777778</v>
      </c>
      <c r="L42" s="28">
        <f t="shared" si="5"/>
        <v>0.43863636363636366</v>
      </c>
      <c r="M42" s="31">
        <f t="shared" si="5"/>
        <v>0.20962732919254662</v>
      </c>
      <c r="N42" s="31">
        <f t="shared" si="5"/>
        <v>0.30285714285714282</v>
      </c>
    </row>
    <row r="43" spans="2:14" ht="17.25" thickBot="1">
      <c r="B43" t="s">
        <v>258</v>
      </c>
      <c r="E43" s="35"/>
    </row>
    <row r="44" spans="2:14">
      <c r="B44" s="4" t="s">
        <v>245</v>
      </c>
      <c r="C44" s="5" t="s">
        <v>246</v>
      </c>
      <c r="D44" s="5" t="s">
        <v>247</v>
      </c>
      <c r="E44" s="36" t="s">
        <v>248</v>
      </c>
      <c r="F44" s="6" t="s">
        <v>249</v>
      </c>
      <c r="G44" s="7"/>
      <c r="H44" s="7"/>
      <c r="I44" s="6" t="s">
        <v>250</v>
      </c>
      <c r="J44" s="7"/>
      <c r="K44" s="7"/>
      <c r="L44" s="6" t="s">
        <v>251</v>
      </c>
      <c r="M44" s="7"/>
      <c r="N44" s="8"/>
    </row>
    <row r="45" spans="2:14" ht="17.25" thickBot="1">
      <c r="B45" s="9"/>
      <c r="C45" s="10"/>
      <c r="D45" s="10"/>
      <c r="E45" s="37"/>
      <c r="F45" s="11" t="s">
        <v>58</v>
      </c>
      <c r="G45" s="12" t="s">
        <v>60</v>
      </c>
      <c r="H45" s="12" t="s">
        <v>253</v>
      </c>
      <c r="I45" s="11" t="s">
        <v>58</v>
      </c>
      <c r="J45" s="12" t="s">
        <v>60</v>
      </c>
      <c r="K45" s="12" t="s">
        <v>253</v>
      </c>
      <c r="L45" s="38" t="s">
        <v>254</v>
      </c>
      <c r="M45" s="39" t="s">
        <v>255</v>
      </c>
      <c r="N45" s="39" t="s">
        <v>256</v>
      </c>
    </row>
    <row r="46" spans="2:14" ht="17.25" thickBot="1">
      <c r="B46" s="14" t="s">
        <v>49</v>
      </c>
      <c r="C46" s="15" t="s">
        <v>57</v>
      </c>
      <c r="D46" s="15">
        <v>9</v>
      </c>
      <c r="E46" s="16">
        <v>6.5217391304347797E-2</v>
      </c>
      <c r="F46" s="17">
        <f>_xlfn.MAXIFS(Genus_PerFlag!$J:$J,Genus_PerFlag!$A:$A,$B$46,Genus_PerFlag!$B:$B,F$45,Genus_PerFlag!$C:$C,"unspecified",Genus_PerFlag!$D:$D,$C46)</f>
        <v>3.5714285714285712E-2</v>
      </c>
      <c r="G46" s="18">
        <f>_xlfn.MAXIFS(Genus_PerFlag!$J:$J,Genus_PerFlag!$A:$A,$B$46,Genus_PerFlag!$B:$B,G$45,Genus_PerFlag!$C:$C,"unspecified",Genus_PerFlag!$D:$D,$C46)</f>
        <v>6.4194073876636934E-2</v>
      </c>
      <c r="H46" s="18">
        <f>_xlfn.MAXIFS(Genus_PerFlag!$J:$J,Genus_PerFlag!$A:$A,$B$46,Genus_PerFlag!$B:$B,H$45,Genus_PerFlag!$C:$C,"unspecified",Genus_PerFlag!$D:$D,$C46)</f>
        <v>-0.20965696734438369</v>
      </c>
      <c r="I46" s="17">
        <f>_xlfn.MAXIFS(Genus_PerFlag!$G:$G,Genus_PerFlag!$A:$A,$B$46,Genus_PerFlag!$B:$B,I$45,Genus_PerFlag!$C:$C,"unspecified",Genus_PerFlag!$D:$D,$C46)</f>
        <v>6.6666666666666666E-2</v>
      </c>
      <c r="J46" s="18">
        <f>_xlfn.MAXIFS(Genus_PerFlag!$G:$G,Genus_PerFlag!$A:$A,$B$46,Genus_PerFlag!$B:$B,J$45,Genus_PerFlag!$C:$C,"unspecified",Genus_PerFlag!$D:$D,$C46)</f>
        <v>0.05</v>
      </c>
      <c r="K46" s="18">
        <f>_xlfn.MAXIFS(Genus_PerFlag!$G:$G,Genus_PerFlag!$A:$A,$B$46,Genus_PerFlag!$B:$B,K$45,Genus_PerFlag!$C:$C,"unspecified",Genus_PerFlag!$D:$D,$C46)</f>
        <v>3.8461538461538457E-2</v>
      </c>
      <c r="L46" s="17">
        <f>_xlfn.MAXIFS(Genus_PerFlag!$K:$K,Genus_PerFlag!$A:$A,$B$46,Genus_PerFlag!$B:$B,L$45,Genus_PerFlag!$C:$C,"unspecified",Genus_PerFlag!$D:$D,$C46)</f>
        <v>0.15625</v>
      </c>
      <c r="M46" s="18">
        <f>_xlfn.MAXIFS(Genus_PerFlag!$K:$K,Genus_PerFlag!$A:$A,$B$46,Genus_PerFlag!$B:$B,M$45,Genus_PerFlag!$C:$C,"unspecified",Genus_PerFlag!$D:$D,$C46)</f>
        <v>0.16666666666666671</v>
      </c>
      <c r="N46" s="18">
        <f>_xlfn.MAXIFS(Genus_PerFlag!$K:$K,Genus_PerFlag!$A:$A,$B$46,Genus_PerFlag!$B:$B,N$45,Genus_PerFlag!$C:$C,"unspecified",Genus_PerFlag!$D:$D,$C46)</f>
        <v>0</v>
      </c>
    </row>
    <row r="47" spans="2:14" ht="17.25" thickBot="1">
      <c r="B47" s="20"/>
      <c r="C47" s="21" t="s">
        <v>54</v>
      </c>
      <c r="D47" s="21">
        <v>20</v>
      </c>
      <c r="E47" s="22">
        <v>0.14000000000000001</v>
      </c>
      <c r="F47" s="17">
        <f>_xlfn.MAXIFS(Genus_PerFlag!$J:$J,Genus_PerFlag!$A:$A,$B$46,Genus_PerFlag!$B:$B,F$45,Genus_PerFlag!$C:$C,"unspecified",Genus_PerFlag!$D:$D,$C47)</f>
        <v>0</v>
      </c>
      <c r="G47" s="18">
        <f>_xlfn.MAXIFS(Genus_PerFlag!$J:$J,Genus_PerFlag!$A:$A,$B$46,Genus_PerFlag!$B:$B,G$45,Genus_PerFlag!$C:$C,"unspecified",Genus_PerFlag!$D:$D,$C47)</f>
        <v>0.23602939762497779</v>
      </c>
      <c r="H47" s="18">
        <f>_xlfn.MAXIFS(Genus_PerFlag!$J:$J,Genus_PerFlag!$A:$A,$B$46,Genus_PerFlag!$B:$B,H$45,Genus_PerFlag!$C:$C,"unspecified",Genus_PerFlag!$D:$D,$C47)</f>
        <v>0.33101874976866902</v>
      </c>
      <c r="I47" s="17">
        <f>_xlfn.MAXIFS(Genus_PerFlag!$G:$G,Genus_PerFlag!$A:$A,$B$46,Genus_PerFlag!$B:$B,I$45,Genus_PerFlag!$C:$C,"unspecified",Genus_PerFlag!$D:$D,$C47)</f>
        <v>0.26333333333333331</v>
      </c>
      <c r="J47" s="18">
        <f>_xlfn.MAXIFS(Genus_PerFlag!$G:$G,Genus_PerFlag!$A:$A,$B$46,Genus_PerFlag!$B:$B,J$45,Genus_PerFlag!$C:$C,"unspecified",Genus_PerFlag!$D:$D,$C47)</f>
        <v>0.58878787878787875</v>
      </c>
      <c r="K47" s="18">
        <f>_xlfn.MAXIFS(Genus_PerFlag!$G:$G,Genus_PerFlag!$A:$A,$B$46,Genus_PerFlag!$B:$B,K$45,Genus_PerFlag!$C:$C,"unspecified",Genus_PerFlag!$D:$D,$C47)</f>
        <v>0.56000000000000005</v>
      </c>
      <c r="L47" s="17">
        <f>_xlfn.MAXIFS(Genus_PerFlag!$K:$K,Genus_PerFlag!$A:$A,$B$46,Genus_PerFlag!$B:$B,L$45,Genus_PerFlag!$C:$C,"unspecified",Genus_PerFlag!$D:$D,$C47)</f>
        <v>0.51020408163265307</v>
      </c>
      <c r="M47" s="18">
        <f>_xlfn.MAXIFS(Genus_PerFlag!$K:$K,Genus_PerFlag!$A:$A,$B$46,Genus_PerFlag!$B:$B,M$45,Genus_PerFlag!$C:$C,"unspecified",Genus_PerFlag!$D:$D,$C47)</f>
        <v>0.22727272727272729</v>
      </c>
      <c r="N47" s="18">
        <f>_xlfn.MAXIFS(Genus_PerFlag!$K:$K,Genus_PerFlag!$A:$A,$B$46,Genus_PerFlag!$B:$B,N$45,Genus_PerFlag!$C:$C,"unspecified",Genus_PerFlag!$D:$D,$C47)</f>
        <v>0.5357142857142857</v>
      </c>
    </row>
    <row r="48" spans="2:14" ht="17.25" thickBot="1">
      <c r="B48" s="20"/>
      <c r="C48" s="21" t="s">
        <v>52</v>
      </c>
      <c r="D48" s="21">
        <v>4</v>
      </c>
      <c r="E48" s="22">
        <v>0.03</v>
      </c>
      <c r="F48" s="17">
        <f>_xlfn.MAXIFS(Genus_PerFlag!$J:$J,Genus_PerFlag!$A:$A,$B$46,Genus_PerFlag!$B:$B,F$45,Genus_PerFlag!$C:$C,"unspecified",Genus_PerFlag!$D:$D,$C48)</f>
        <v>0</v>
      </c>
      <c r="G48" s="18">
        <f>_xlfn.MAXIFS(Genus_PerFlag!$J:$J,Genus_PerFlag!$A:$A,$B$46,Genus_PerFlag!$B:$B,G$45,Genus_PerFlag!$C:$C,"unspecified",Genus_PerFlag!$D:$D,$C48)</f>
        <v>1</v>
      </c>
      <c r="H48" s="18">
        <f>_xlfn.MAXIFS(Genus_PerFlag!$J:$J,Genus_PerFlag!$A:$A,$B$46,Genus_PerFlag!$B:$B,H$45,Genus_PerFlag!$C:$C,"unspecified",Genus_PerFlag!$D:$D,$C48)</f>
        <v>-3.5714285714285712E-2</v>
      </c>
      <c r="I48" s="17">
        <f>_xlfn.MAXIFS(Genus_PerFlag!$G:$G,Genus_PerFlag!$A:$A,$B$46,Genus_PerFlag!$B:$B,I$45,Genus_PerFlag!$C:$C,"unspecified",Genus_PerFlag!$D:$D,$C48)</f>
        <v>6.6666666666666666E-2</v>
      </c>
      <c r="J48" s="18">
        <f>_xlfn.MAXIFS(Genus_PerFlag!$G:$G,Genus_PerFlag!$A:$A,$B$46,Genus_PerFlag!$B:$B,J$45,Genus_PerFlag!$C:$C,"unspecified",Genus_PerFlag!$D:$D,$C48)</f>
        <v>1</v>
      </c>
      <c r="K48" s="18">
        <f>_xlfn.MAXIFS(Genus_PerFlag!$G:$G,Genus_PerFlag!$A:$A,$B$46,Genus_PerFlag!$B:$B,K$45,Genus_PerFlag!$C:$C,"unspecified",Genus_PerFlag!$D:$D,$C48)</f>
        <v>0.5</v>
      </c>
      <c r="L48" s="17">
        <f>_xlfn.MAXIFS(Genus_PerFlag!$K:$K,Genus_PerFlag!$A:$A,$B$46,Genus_PerFlag!$B:$B,L$45,Genus_PerFlag!$C:$C,"unspecified",Genus_PerFlag!$D:$D,$C48)</f>
        <v>0</v>
      </c>
      <c r="M48" s="18">
        <f>_xlfn.MAXIFS(Genus_PerFlag!$K:$K,Genus_PerFlag!$A:$A,$B$46,Genus_PerFlag!$B:$B,M$45,Genus_PerFlag!$C:$C,"unspecified",Genus_PerFlag!$D:$D,$C48)</f>
        <v>1</v>
      </c>
      <c r="N48" s="18">
        <f>_xlfn.MAXIFS(Genus_PerFlag!$K:$K,Genus_PerFlag!$A:$A,$B$46,Genus_PerFlag!$B:$B,N$45,Genus_PerFlag!$C:$C,"unspecified",Genus_PerFlag!$D:$D,$C48)</f>
        <v>0</v>
      </c>
    </row>
    <row r="49" spans="2:14" ht="17.25" thickBot="1">
      <c r="B49" s="20"/>
      <c r="C49" s="21" t="s">
        <v>55</v>
      </c>
      <c r="D49" s="21">
        <v>26</v>
      </c>
      <c r="E49" s="22">
        <v>0.1884057971014492</v>
      </c>
      <c r="F49" s="17">
        <f>_xlfn.MAXIFS(Genus_PerFlag!$J:$J,Genus_PerFlag!$A:$A,$B$46,Genus_PerFlag!$B:$B,F$45,Genus_PerFlag!$C:$C,"unspecified",Genus_PerFlag!$D:$D,$C49)</f>
        <v>0.16</v>
      </c>
      <c r="G49" s="18">
        <f>_xlfn.MAXIFS(Genus_PerFlag!$J:$J,Genus_PerFlag!$A:$A,$B$46,Genus_PerFlag!$B:$B,G$45,Genus_PerFlag!$C:$C,"unspecified",Genus_PerFlag!$D:$D,$C49)</f>
        <v>0.47543554877497429</v>
      </c>
      <c r="H49" s="18">
        <f>_xlfn.MAXIFS(Genus_PerFlag!$J:$J,Genus_PerFlag!$A:$A,$B$46,Genus_PerFlag!$B:$B,H$45,Genus_PerFlag!$C:$C,"unspecified",Genus_PerFlag!$D:$D,$C49)</f>
        <v>8.2158383625774919E-2</v>
      </c>
      <c r="I49" s="17">
        <f>_xlfn.MAXIFS(Genus_PerFlag!$G:$G,Genus_PerFlag!$A:$A,$B$46,Genus_PerFlag!$B:$B,I$45,Genus_PerFlag!$C:$C,"unspecified",Genus_PerFlag!$D:$D,$C49)</f>
        <v>0.26666666666666672</v>
      </c>
      <c r="J49" s="18">
        <f>_xlfn.MAXIFS(Genus_PerFlag!$G:$G,Genus_PerFlag!$A:$A,$B$46,Genus_PerFlag!$B:$B,J$45,Genus_PerFlag!$C:$C,"unspecified",Genus_PerFlag!$D:$D,$C49)</f>
        <v>0.47738095238095241</v>
      </c>
      <c r="K49" s="18">
        <f>_xlfn.MAXIFS(Genus_PerFlag!$G:$G,Genus_PerFlag!$A:$A,$B$46,Genus_PerFlag!$B:$B,K$45,Genus_PerFlag!$C:$C,"unspecified",Genus_PerFlag!$D:$D,$C49)</f>
        <v>0.41547619047619039</v>
      </c>
      <c r="L49" s="17">
        <f>_xlfn.MAXIFS(Genus_PerFlag!$K:$K,Genus_PerFlag!$A:$A,$B$46,Genus_PerFlag!$B:$B,L$45,Genus_PerFlag!$C:$C,"unspecified",Genus_PerFlag!$D:$D,$C49)</f>
        <v>0.48780487804878048</v>
      </c>
      <c r="M49" s="18">
        <f>_xlfn.MAXIFS(Genus_PerFlag!$K:$K,Genus_PerFlag!$A:$A,$B$46,Genus_PerFlag!$B:$B,M$45,Genus_PerFlag!$C:$C,"unspecified",Genus_PerFlag!$D:$D,$C49)</f>
        <v>0.65217391304347827</v>
      </c>
      <c r="N49" s="18">
        <f>_xlfn.MAXIFS(Genus_PerFlag!$K:$K,Genus_PerFlag!$A:$A,$B$46,Genus_PerFlag!$B:$B,N$45,Genus_PerFlag!$C:$C,"unspecified",Genus_PerFlag!$D:$D,$C49)</f>
        <v>0.23809523809523811</v>
      </c>
    </row>
    <row r="50" spans="2:14">
      <c r="B50" s="20"/>
      <c r="C50" s="21" t="s">
        <v>56</v>
      </c>
      <c r="D50" s="21">
        <v>7</v>
      </c>
      <c r="E50" s="22">
        <v>5.0724637681159403E-2</v>
      </c>
      <c r="F50" s="17">
        <f>_xlfn.MAXIFS(Genus_PerFlag!$J:$J,Genus_PerFlag!$A:$A,$B$46,Genus_PerFlag!$B:$B,F$45,Genus_PerFlag!$C:$C,"unspecified",Genus_PerFlag!$D:$D,$C50)</f>
        <v>0</v>
      </c>
      <c r="G50" s="18">
        <f>_xlfn.MAXIFS(Genus_PerFlag!$J:$J,Genus_PerFlag!$A:$A,$B$46,Genus_PerFlag!$B:$B,G$45,Genus_PerFlag!$C:$C,"unspecified",Genus_PerFlag!$D:$D,$C50)</f>
        <v>-7.407407407407407E-2</v>
      </c>
      <c r="H50" s="18">
        <f>_xlfn.MAXIFS(Genus_PerFlag!$J:$J,Genus_PerFlag!$A:$A,$B$46,Genus_PerFlag!$B:$B,H$45,Genus_PerFlag!$C:$C,"unspecified",Genus_PerFlag!$D:$D,$C50)</f>
        <v>0.16448792373994231</v>
      </c>
      <c r="I50" s="17">
        <f>_xlfn.MAXIFS(Genus_PerFlag!$G:$G,Genus_PerFlag!$A:$A,$B$46,Genus_PerFlag!$B:$B,I$45,Genus_PerFlag!$C:$C,"unspecified",Genus_PerFlag!$D:$D,$C50)</f>
        <v>0.1333333333333333</v>
      </c>
      <c r="J50" s="18">
        <f>_xlfn.MAXIFS(Genus_PerFlag!$G:$G,Genus_PerFlag!$A:$A,$B$46,Genus_PerFlag!$B:$B,J$45,Genus_PerFlag!$C:$C,"unspecified",Genus_PerFlag!$D:$D,$C50)</f>
        <v>0.1388888888888889</v>
      </c>
      <c r="K50" s="18">
        <f>_xlfn.MAXIFS(Genus_PerFlag!$G:$G,Genus_PerFlag!$A:$A,$B$46,Genus_PerFlag!$B:$B,K$45,Genus_PerFlag!$C:$C,"unspecified",Genus_PerFlag!$D:$D,$C50)</f>
        <v>0.1098901098901099</v>
      </c>
      <c r="L50" s="17">
        <f>_xlfn.MAXIFS(Genus_PerFlag!$K:$K,Genus_PerFlag!$A:$A,$B$46,Genus_PerFlag!$B:$B,L$45,Genus_PerFlag!$C:$C,"unspecified",Genus_PerFlag!$D:$D,$C50)</f>
        <v>0</v>
      </c>
      <c r="M50" s="18">
        <f>_xlfn.MAXIFS(Genus_PerFlag!$K:$K,Genus_PerFlag!$A:$A,$B$46,Genus_PerFlag!$B:$B,M$45,Genus_PerFlag!$C:$C,"unspecified",Genus_PerFlag!$D:$D,$C50)</f>
        <v>0</v>
      </c>
      <c r="N50" s="18">
        <f>_xlfn.MAXIFS(Genus_PerFlag!$K:$K,Genus_PerFlag!$A:$A,$B$46,Genus_PerFlag!$B:$B,N$45,Genus_PerFlag!$C:$C,"unspecified",Genus_PerFlag!$D:$D,$C50)</f>
        <v>0.33333333333333331</v>
      </c>
    </row>
    <row r="51" spans="2:14" ht="17.25" thickBot="1">
      <c r="B51" s="25"/>
      <c r="C51" s="26" t="s">
        <v>252</v>
      </c>
      <c r="D51" s="26"/>
      <c r="E51" s="27"/>
      <c r="F51" s="29">
        <f t="shared" ref="F51:N51" si="6">AVERAGE(F46:F50)</f>
        <v>3.9142857142857146E-2</v>
      </c>
      <c r="G51" s="30">
        <f t="shared" si="6"/>
        <v>0.34031698924050302</v>
      </c>
      <c r="H51" s="29">
        <f t="shared" si="6"/>
        <v>6.6458760815143375E-2</v>
      </c>
      <c r="I51" s="28">
        <f t="shared" si="6"/>
        <v>0.15933333333333333</v>
      </c>
      <c r="J51" s="31">
        <f t="shared" si="6"/>
        <v>0.45101154401154397</v>
      </c>
      <c r="K51" s="31">
        <f t="shared" si="6"/>
        <v>0.32476556776556775</v>
      </c>
      <c r="L51" s="28">
        <f t="shared" si="6"/>
        <v>0.23085179193628669</v>
      </c>
      <c r="M51" s="31">
        <f t="shared" si="6"/>
        <v>0.40922266139657443</v>
      </c>
      <c r="N51" s="31">
        <f t="shared" si="6"/>
        <v>0.22142857142857145</v>
      </c>
    </row>
    <row r="52" spans="2:14" ht="17.25" thickBot="1">
      <c r="B52" s="14" t="s">
        <v>68</v>
      </c>
      <c r="C52" s="15" t="s">
        <v>57</v>
      </c>
      <c r="D52" s="15">
        <v>9</v>
      </c>
      <c r="E52" s="16">
        <v>6.5217391304347797E-2</v>
      </c>
      <c r="F52" s="17">
        <f>_xlfn.MAXIFS(Genus_PerFlag!$J:$J,Genus_PerFlag!$A:$A,$B$52,Genus_PerFlag!$B:$B,F$45,Genus_PerFlag!$C:$C,"unspecified",Genus_PerFlag!$D:$D,$C52)</f>
        <v>0.12677313820927749</v>
      </c>
      <c r="G52" s="18">
        <f>_xlfn.MAXIFS(Genus_PerFlag!$J:$J,Genus_PerFlag!$A:$A,$B$52,Genus_PerFlag!$B:$B,G$45,Genus_PerFlag!$C:$C,"unspecified",Genus_PerFlag!$D:$D,$C52)</f>
        <v>0</v>
      </c>
      <c r="H52" s="18">
        <f>_xlfn.MAXIFS(Genus_PerFlag!$J:$J,Genus_PerFlag!$A:$A,$B$52,Genus_PerFlag!$B:$B,H$45,Genus_PerFlag!$C:$C,"unspecified",Genus_PerFlag!$D:$D,$C52)</f>
        <v>0.24174688920761411</v>
      </c>
      <c r="I52" s="17">
        <f>_xlfn.MAXIFS(Genus_PerFlag!$G:$G,Genus_PerFlag!$A:$A,$B$52,Genus_PerFlag!$B:$B,I$45,Genus_PerFlag!$C:$C,"unspecified",Genus_PerFlag!$D:$D,$C52)</f>
        <v>0.1</v>
      </c>
      <c r="J52" s="18">
        <f>_xlfn.MAXIFS(Genus_PerFlag!$G:$G,Genus_PerFlag!$A:$A,$B$52,Genus_PerFlag!$B:$B,J$45,Genus_PerFlag!$C:$C,"unspecified",Genus_PerFlag!$D:$D,$C52)</f>
        <v>0.1111111111111111</v>
      </c>
      <c r="K52" s="18">
        <f>_xlfn.MAXIFS(Genus_PerFlag!$G:$G,Genus_PerFlag!$A:$A,$B$52,Genus_PerFlag!$B:$B,K$45,Genus_PerFlag!$C:$C,"unspecified",Genus_PerFlag!$D:$D,$C52)</f>
        <v>0.5</v>
      </c>
      <c r="L52" s="17">
        <f>_xlfn.MAXIFS(Genus_PerFlag!$K:$K,Genus_PerFlag!$A:$A,$B$52,Genus_PerFlag!$B:$B,L$45,Genus_PerFlag!$C:$C,"unspecified",Genus_PerFlag!$D:$D,$C52)</f>
        <v>0.20833333333333329</v>
      </c>
      <c r="M52" s="18">
        <f>_xlfn.MAXIFS(Genus_PerFlag!$K:$K,Genus_PerFlag!$A:$A,$B$52,Genus_PerFlag!$B:$B,M$45,Genus_PerFlag!$C:$C,"unspecified",Genus_PerFlag!$D:$D,$C52)</f>
        <v>0.15151515151515149</v>
      </c>
      <c r="N52" s="18">
        <f>_xlfn.MAXIFS(Genus_PerFlag!$K:$K,Genus_PerFlag!$A:$A,$B$52,Genus_PerFlag!$B:$B,N$45,Genus_PerFlag!$C:$C,"unspecified",Genus_PerFlag!$D:$D,$C52)</f>
        <v>0.33333333333333331</v>
      </c>
    </row>
    <row r="53" spans="2:14" ht="17.25" thickBot="1">
      <c r="B53" s="20"/>
      <c r="C53" s="21" t="s">
        <v>54</v>
      </c>
      <c r="D53" s="21">
        <v>20</v>
      </c>
      <c r="E53" s="22">
        <v>0.14000000000000001</v>
      </c>
      <c r="F53" s="17">
        <f>_xlfn.MAXIFS(Genus_PerFlag!$J:$J,Genus_PerFlag!$A:$A,$B$52,Genus_PerFlag!$B:$B,F$45,Genus_PerFlag!$C:$C,"unspecified",Genus_PerFlag!$D:$D,$C53)</f>
        <v>7.7472473350114021E-2</v>
      </c>
      <c r="G53" s="18">
        <f>_xlfn.MAXIFS(Genus_PerFlag!$J:$J,Genus_PerFlag!$A:$A,$B$52,Genus_PerFlag!$B:$B,G$45,Genus_PerFlag!$C:$C,"unspecified",Genus_PerFlag!$D:$D,$C53)</f>
        <v>0.41403933560541262</v>
      </c>
      <c r="H53" s="18">
        <f>_xlfn.MAXIFS(Genus_PerFlag!$J:$J,Genus_PerFlag!$A:$A,$B$52,Genus_PerFlag!$B:$B,H$45,Genus_PerFlag!$C:$C,"unspecified",Genus_PerFlag!$D:$D,$C53)</f>
        <v>0</v>
      </c>
      <c r="I53" s="17">
        <f>_xlfn.MAXIFS(Genus_PerFlag!$G:$G,Genus_PerFlag!$A:$A,$B$52,Genus_PerFlag!$B:$B,I$45,Genus_PerFlag!$C:$C,"unspecified",Genus_PerFlag!$D:$D,$C53)</f>
        <v>0.2580952380952381</v>
      </c>
      <c r="J53" s="18">
        <f>_xlfn.MAXIFS(Genus_PerFlag!$G:$G,Genus_PerFlag!$A:$A,$B$52,Genus_PerFlag!$B:$B,J$45,Genus_PerFlag!$C:$C,"unspecified",Genus_PerFlag!$D:$D,$C53)</f>
        <v>0.89999999999999991</v>
      </c>
      <c r="K53" s="18">
        <f>_xlfn.MAXIFS(Genus_PerFlag!$G:$G,Genus_PerFlag!$A:$A,$B$52,Genus_PerFlag!$B:$B,K$45,Genus_PerFlag!$C:$C,"unspecified",Genus_PerFlag!$D:$D,$C53)</f>
        <v>0.58904761904761904</v>
      </c>
      <c r="L53" s="17">
        <f>_xlfn.MAXIFS(Genus_PerFlag!$K:$K,Genus_PerFlag!$A:$A,$B$52,Genus_PerFlag!$B:$B,L$45,Genus_PerFlag!$C:$C,"unspecified",Genus_PerFlag!$D:$D,$C53)</f>
        <v>0.48780487804878048</v>
      </c>
      <c r="M53" s="18">
        <f>_xlfn.MAXIFS(Genus_PerFlag!$K:$K,Genus_PerFlag!$A:$A,$B$52,Genus_PerFlag!$B:$B,M$45,Genus_PerFlag!$C:$C,"unspecified",Genus_PerFlag!$D:$D,$C53)</f>
        <v>0.23809523809523811</v>
      </c>
      <c r="N53" s="18">
        <f>_xlfn.MAXIFS(Genus_PerFlag!$K:$K,Genus_PerFlag!$A:$A,$B$52,Genus_PerFlag!$B:$B,N$45,Genus_PerFlag!$C:$C,"unspecified",Genus_PerFlag!$D:$D,$C53)</f>
        <v>0</v>
      </c>
    </row>
    <row r="54" spans="2:14" ht="17.25" thickBot="1">
      <c r="B54" s="20"/>
      <c r="C54" s="21" t="s">
        <v>52</v>
      </c>
      <c r="D54" s="21">
        <v>4</v>
      </c>
      <c r="E54" s="22">
        <v>0.03</v>
      </c>
      <c r="F54" s="17">
        <f>_xlfn.MAXIFS(Genus_PerFlag!$J:$J,Genus_PerFlag!$A:$A,$B$52,Genus_PerFlag!$B:$B,F$45,Genus_PerFlag!$C:$C,"unspecified",Genus_PerFlag!$D:$D,$C54)</f>
        <v>-3.5714285714285712E-2</v>
      </c>
      <c r="G54" s="18">
        <f>_xlfn.MAXIFS(Genus_PerFlag!$J:$J,Genus_PerFlag!$A:$A,$B$52,Genus_PerFlag!$B:$B,G$45,Genus_PerFlag!$C:$C,"unspecified",Genus_PerFlag!$D:$D,$C54)</f>
        <v>-3.5714285714285712E-2</v>
      </c>
      <c r="H54" s="18">
        <f>_xlfn.MAXIFS(Genus_PerFlag!$J:$J,Genus_PerFlag!$A:$A,$B$52,Genus_PerFlag!$B:$B,H$45,Genus_PerFlag!$C:$C,"unspecified",Genus_PerFlag!$D:$D,$C54)</f>
        <v>0.30618621784789718</v>
      </c>
      <c r="I54" s="17">
        <f>_xlfn.MAXIFS(Genus_PerFlag!$G:$G,Genus_PerFlag!$A:$A,$B$52,Genus_PerFlag!$B:$B,I$45,Genus_PerFlag!$C:$C,"unspecified",Genus_PerFlag!$D:$D,$C54)</f>
        <v>7.1428571428571425E-2</v>
      </c>
      <c r="J54" s="18">
        <f>_xlfn.MAXIFS(Genus_PerFlag!$G:$G,Genus_PerFlag!$A:$A,$B$52,Genus_PerFlag!$B:$B,J$45,Genus_PerFlag!$C:$C,"unspecified",Genus_PerFlag!$D:$D,$C54)</f>
        <v>0.5</v>
      </c>
      <c r="K54" s="18">
        <f>_xlfn.MAXIFS(Genus_PerFlag!$G:$G,Genus_PerFlag!$A:$A,$B$52,Genus_PerFlag!$B:$B,K$45,Genus_PerFlag!$C:$C,"unspecified",Genus_PerFlag!$D:$D,$C54)</f>
        <v>0.33333333333333331</v>
      </c>
      <c r="L54" s="17">
        <f>_xlfn.MAXIFS(Genus_PerFlag!$K:$K,Genus_PerFlag!$A:$A,$B$52,Genus_PerFlag!$B:$B,L$45,Genus_PerFlag!$C:$C,"unspecified",Genus_PerFlag!$D:$D,$C54)</f>
        <v>0</v>
      </c>
      <c r="M54" s="18">
        <f>_xlfn.MAXIFS(Genus_PerFlag!$K:$K,Genus_PerFlag!$A:$A,$B$52,Genus_PerFlag!$B:$B,M$45,Genus_PerFlag!$C:$C,"unspecified",Genus_PerFlag!$D:$D,$C54)</f>
        <v>0</v>
      </c>
      <c r="N54" s="18">
        <f>_xlfn.MAXIFS(Genus_PerFlag!$K:$K,Genus_PerFlag!$A:$A,$B$52,Genus_PerFlag!$B:$B,N$45,Genus_PerFlag!$C:$C,"unspecified",Genus_PerFlag!$D:$D,$C54)</f>
        <v>0.41666666666666669</v>
      </c>
    </row>
    <row r="55" spans="2:14" ht="17.25" thickBot="1">
      <c r="B55" s="20"/>
      <c r="C55" s="21" t="s">
        <v>55</v>
      </c>
      <c r="D55" s="21">
        <v>26</v>
      </c>
      <c r="E55" s="22">
        <v>0.1884057971014492</v>
      </c>
      <c r="F55" s="17">
        <f>_xlfn.MAXIFS(Genus_PerFlag!$J:$J,Genus_PerFlag!$A:$A,$B$52,Genus_PerFlag!$B:$B,F$45,Genus_PerFlag!$C:$C,"unspecified",Genus_PerFlag!$D:$D,$C55)</f>
        <v>0.24268133584853771</v>
      </c>
      <c r="G55" s="18">
        <f>_xlfn.MAXIFS(Genus_PerFlag!$J:$J,Genus_PerFlag!$A:$A,$B$52,Genus_PerFlag!$B:$B,G$45,Genus_PerFlag!$C:$C,"unspecified",Genus_PerFlag!$D:$D,$C55)</f>
        <v>0.70912420834233469</v>
      </c>
      <c r="H55" s="18">
        <f>_xlfn.MAXIFS(Genus_PerFlag!$J:$J,Genus_PerFlag!$A:$A,$B$52,Genus_PerFlag!$B:$B,H$45,Genus_PerFlag!$C:$C,"unspecified",Genus_PerFlag!$D:$D,$C55)</f>
        <v>0.70912420834233469</v>
      </c>
      <c r="I55" s="17">
        <f>_xlfn.MAXIFS(Genus_PerFlag!$G:$G,Genus_PerFlag!$A:$A,$B$52,Genus_PerFlag!$B:$B,I$45,Genus_PerFlag!$C:$C,"unspecified",Genus_PerFlag!$D:$D,$C55)</f>
        <v>0.2838235294117647</v>
      </c>
      <c r="J55" s="18">
        <f>_xlfn.MAXIFS(Genus_PerFlag!$G:$G,Genus_PerFlag!$A:$A,$B$52,Genus_PerFlag!$B:$B,J$45,Genus_PerFlag!$C:$C,"unspecified",Genus_PerFlag!$D:$D,$C55)</f>
        <v>0.91666666666666663</v>
      </c>
      <c r="K55" s="18">
        <f>_xlfn.MAXIFS(Genus_PerFlag!$G:$G,Genus_PerFlag!$A:$A,$B$52,Genus_PerFlag!$B:$B,K$45,Genus_PerFlag!$C:$C,"unspecified",Genus_PerFlag!$D:$D,$C55)</f>
        <v>0.88749999999999996</v>
      </c>
      <c r="L55" s="17">
        <f>_xlfn.MAXIFS(Genus_PerFlag!$K:$K,Genus_PerFlag!$A:$A,$B$52,Genus_PerFlag!$B:$B,L$45,Genus_PerFlag!$C:$C,"unspecified",Genus_PerFlag!$D:$D,$C55)</f>
        <v>0.51724137931034486</v>
      </c>
      <c r="M55" s="18">
        <f>_xlfn.MAXIFS(Genus_PerFlag!$K:$K,Genus_PerFlag!$A:$A,$B$52,Genus_PerFlag!$B:$B,M$45,Genus_PerFlag!$C:$C,"unspecified",Genus_PerFlag!$D:$D,$C55)</f>
        <v>0.86956521739130432</v>
      </c>
      <c r="N55" s="18">
        <f>_xlfn.MAXIFS(Genus_PerFlag!$K:$K,Genus_PerFlag!$A:$A,$B$52,Genus_PerFlag!$B:$B,N$45,Genus_PerFlag!$C:$C,"unspecified",Genus_PerFlag!$D:$D,$C55)</f>
        <v>0.86956521739130432</v>
      </c>
    </row>
    <row r="56" spans="2:14">
      <c r="B56" s="20"/>
      <c r="C56" s="21" t="s">
        <v>56</v>
      </c>
      <c r="D56" s="21">
        <v>7</v>
      </c>
      <c r="E56" s="22">
        <v>5.0724637681159403E-2</v>
      </c>
      <c r="F56" s="17">
        <f>_xlfn.MAXIFS(Genus_PerFlag!$J:$J,Genus_PerFlag!$A:$A,$B$52,Genus_PerFlag!$B:$B,F$45,Genus_PerFlag!$C:$C,"unspecified",Genus_PerFlag!$D:$D,$C56)</f>
        <v>0.3481553119113957</v>
      </c>
      <c r="G56" s="18">
        <f>_xlfn.MAXIFS(Genus_PerFlag!$J:$J,Genus_PerFlag!$A:$A,$B$52,Genus_PerFlag!$B:$B,G$45,Genus_PerFlag!$C:$C,"unspecified",Genus_PerFlag!$D:$D,$C56)</f>
        <v>-5.1434449987363969E-2</v>
      </c>
      <c r="H56" s="18">
        <f>_xlfn.MAXIFS(Genus_PerFlag!$J:$J,Genus_PerFlag!$A:$A,$B$52,Genus_PerFlag!$B:$B,H$45,Genus_PerFlag!$C:$C,"unspecified",Genus_PerFlag!$D:$D,$C56)</f>
        <v>0.19744962591969739</v>
      </c>
      <c r="I56" s="17">
        <f>_xlfn.MAXIFS(Genus_PerFlag!$G:$G,Genus_PerFlag!$A:$A,$B$52,Genus_PerFlag!$B:$B,I$45,Genus_PerFlag!$C:$C,"unspecified",Genus_PerFlag!$D:$D,$C56)</f>
        <v>0.1818181818181818</v>
      </c>
      <c r="J56" s="18">
        <f>_xlfn.MAXIFS(Genus_PerFlag!$G:$G,Genus_PerFlag!$A:$A,$B$52,Genus_PerFlag!$B:$B,J$45,Genus_PerFlag!$C:$C,"unspecified",Genus_PerFlag!$D:$D,$C56)</f>
        <v>0.3666666666666667</v>
      </c>
      <c r="K56" s="18">
        <f>_xlfn.MAXIFS(Genus_PerFlag!$G:$G,Genus_PerFlag!$A:$A,$B$52,Genus_PerFlag!$B:$B,K$45,Genus_PerFlag!$C:$C,"unspecified",Genus_PerFlag!$D:$D,$C56)</f>
        <v>0.3611111111111111</v>
      </c>
      <c r="L56" s="17">
        <f>_xlfn.MAXIFS(Genus_PerFlag!$K:$K,Genus_PerFlag!$A:$A,$B$52,Genus_PerFlag!$B:$B,L$45,Genus_PerFlag!$C:$C,"unspecified",Genus_PerFlag!$D:$D,$C56)</f>
        <v>0.52631578947368418</v>
      </c>
      <c r="M56" s="18">
        <f>_xlfn.MAXIFS(Genus_PerFlag!$K:$K,Genus_PerFlag!$A:$A,$B$52,Genus_PerFlag!$B:$B,M$45,Genus_PerFlag!$C:$C,"unspecified",Genus_PerFlag!$D:$D,$C56)</f>
        <v>0</v>
      </c>
      <c r="N56" s="18">
        <f>_xlfn.MAXIFS(Genus_PerFlag!$K:$K,Genus_PerFlag!$A:$A,$B$52,Genus_PerFlag!$B:$B,N$45,Genus_PerFlag!$C:$C,"unspecified",Genus_PerFlag!$D:$D,$C56)</f>
        <v>0.37037037037037029</v>
      </c>
    </row>
    <row r="57" spans="2:14" ht="17.25" thickBot="1">
      <c r="B57" s="25"/>
      <c r="C57" s="26" t="s">
        <v>252</v>
      </c>
      <c r="D57" s="26"/>
      <c r="E57" s="27"/>
      <c r="F57" s="29">
        <f t="shared" ref="F57:N57" si="7">AVERAGE(F52:F56)</f>
        <v>0.15187359472100787</v>
      </c>
      <c r="G57" s="30">
        <f t="shared" si="7"/>
        <v>0.20720296164921953</v>
      </c>
      <c r="H57" s="29">
        <f t="shared" si="7"/>
        <v>0.2909013882635087</v>
      </c>
      <c r="I57" s="28">
        <f t="shared" si="7"/>
        <v>0.17903310415075119</v>
      </c>
      <c r="J57" s="31">
        <f t="shared" si="7"/>
        <v>0.55888888888888888</v>
      </c>
      <c r="K57" s="31">
        <f t="shared" si="7"/>
        <v>0.53419841269841273</v>
      </c>
      <c r="L57" s="28">
        <f t="shared" si="7"/>
        <v>0.34793907603322854</v>
      </c>
      <c r="M57" s="31">
        <f t="shared" si="7"/>
        <v>0.25183512140033881</v>
      </c>
      <c r="N57" s="31">
        <f t="shared" si="7"/>
        <v>0.3979871175523349</v>
      </c>
    </row>
    <row r="58" spans="2:14" ht="17.25" thickBot="1">
      <c r="B58" s="14" t="s">
        <v>75</v>
      </c>
      <c r="C58" s="15" t="s">
        <v>57</v>
      </c>
      <c r="D58" s="15">
        <v>9</v>
      </c>
      <c r="E58" s="16">
        <v>6.5217391304347797E-2</v>
      </c>
      <c r="F58" s="17">
        <f>_xlfn.MAXIFS(Genus_PerFlag!$J:$J,Genus_PerFlag!$A:$A,$B$58,Genus_PerFlag!$B:$B,F$45,Genus_PerFlag!$C:$C,"unspecified",Genus_PerFlag!$D:$D,$C58)</f>
        <v>3.5714285714285712E-2</v>
      </c>
      <c r="G58" s="18">
        <f>_xlfn.MAXIFS(Genus_PerFlag!$J:$J,Genus_PerFlag!$A:$A,$B$58,Genus_PerFlag!$B:$B,G$45,Genus_PerFlag!$C:$C,"unspecified",Genus_PerFlag!$D:$D,$C58)</f>
        <v>-0.1166423687039609</v>
      </c>
      <c r="H58" s="18">
        <f>_xlfn.MAXIFS(Genus_PerFlag!$J:$J,Genus_PerFlag!$A:$A,$B$58,Genus_PerFlag!$B:$B,H$45,Genus_PerFlag!$C:$C,"unspecified",Genus_PerFlag!$D:$D,$C58)</f>
        <v>5.1434449987363969E-2</v>
      </c>
      <c r="I58" s="17">
        <f>_xlfn.MAXIFS(Genus_PerFlag!$G:$G,Genus_PerFlag!$A:$A,$B$58,Genus_PerFlag!$B:$B,I$45,Genus_PerFlag!$C:$C,"unspecified",Genus_PerFlag!$D:$D,$C58)</f>
        <v>0.16666666666666671</v>
      </c>
      <c r="J58" s="18">
        <f>_xlfn.MAXIFS(Genus_PerFlag!$G:$G,Genus_PerFlag!$A:$A,$B$58,Genus_PerFlag!$B:$B,J$45,Genus_PerFlag!$C:$C,"unspecified",Genus_PerFlag!$D:$D,$C58)</f>
        <v>4.7619047619047623E-2</v>
      </c>
      <c r="K58" s="18">
        <f>_xlfn.MAXIFS(Genus_PerFlag!$G:$G,Genus_PerFlag!$A:$A,$B$58,Genus_PerFlag!$B:$B,K$45,Genus_PerFlag!$C:$C,"unspecified",Genus_PerFlag!$D:$D,$C58)</f>
        <v>9.0909090909090912E-2</v>
      </c>
      <c r="L58" s="17">
        <f>_xlfn.MAXIFS(Genus_PerFlag!$K:$K,Genus_PerFlag!$A:$A,$B$58,Genus_PerFlag!$B:$B,L$45,Genus_PerFlag!$C:$C,"unspecified",Genus_PerFlag!$D:$D,$C58)</f>
        <v>0.15625</v>
      </c>
      <c r="M58" s="18">
        <f>_xlfn.MAXIFS(Genus_PerFlag!$K:$K,Genus_PerFlag!$A:$A,$B$58,Genus_PerFlag!$B:$B,M$45,Genus_PerFlag!$C:$C,"unspecified",Genus_PerFlag!$D:$D,$C58)</f>
        <v>0</v>
      </c>
      <c r="N58" s="18">
        <f>_xlfn.MAXIFS(Genus_PerFlag!$K:$K,Genus_PerFlag!$A:$A,$B$58,Genus_PerFlag!$B:$B,N$45,Genus_PerFlag!$C:$C,"unspecified",Genus_PerFlag!$D:$D,$C58)</f>
        <v>0.16129032258064521</v>
      </c>
    </row>
    <row r="59" spans="2:14" ht="17.25" thickBot="1">
      <c r="B59" s="20"/>
      <c r="C59" s="21" t="s">
        <v>54</v>
      </c>
      <c r="D59" s="21">
        <v>20</v>
      </c>
      <c r="E59" s="22">
        <v>0.14000000000000001</v>
      </c>
      <c r="F59" s="17">
        <f>_xlfn.MAXIFS(Genus_PerFlag!$J:$J,Genus_PerFlag!$A:$A,$B$58,Genus_PerFlag!$B:$B,F$45,Genus_PerFlag!$C:$C,"unspecified",Genus_PerFlag!$D:$D,$C59)</f>
        <v>0.23602939762497779</v>
      </c>
      <c r="G59" s="18">
        <f>_xlfn.MAXIFS(Genus_PerFlag!$J:$J,Genus_PerFlag!$A:$A,$B$58,Genus_PerFlag!$B:$B,G$45,Genus_PerFlag!$C:$C,"unspecified",Genus_PerFlag!$D:$D,$C59)</f>
        <v>0.41403933560541262</v>
      </c>
      <c r="H59" s="18">
        <f>_xlfn.MAXIFS(Genus_PerFlag!$J:$J,Genus_PerFlag!$A:$A,$B$58,Genus_PerFlag!$B:$B,H$45,Genus_PerFlag!$C:$C,"unspecified",Genus_PerFlag!$D:$D,$C59)</f>
        <v>0</v>
      </c>
      <c r="I59" s="17">
        <f>_xlfn.MAXIFS(Genus_PerFlag!$G:$G,Genus_PerFlag!$A:$A,$B$58,Genus_PerFlag!$B:$B,I$45,Genus_PerFlag!$C:$C,"unspecified",Genus_PerFlag!$D:$D,$C59)</f>
        <v>0.56444444444444453</v>
      </c>
      <c r="J59" s="18">
        <f>_xlfn.MAXIFS(Genus_PerFlag!$G:$G,Genus_PerFlag!$A:$A,$B$58,Genus_PerFlag!$B:$B,J$45,Genus_PerFlag!$C:$C,"unspecified",Genus_PerFlag!$D:$D,$C59)</f>
        <v>0.69619047619047625</v>
      </c>
      <c r="K59" s="18">
        <f>_xlfn.MAXIFS(Genus_PerFlag!$G:$G,Genus_PerFlag!$A:$A,$B$58,Genus_PerFlag!$B:$B,K$45,Genus_PerFlag!$C:$C,"unspecified",Genus_PerFlag!$D:$D,$C59)</f>
        <v>0.48781609195402298</v>
      </c>
      <c r="L59" s="17">
        <f>_xlfn.MAXIFS(Genus_PerFlag!$K:$K,Genus_PerFlag!$A:$A,$B$58,Genus_PerFlag!$B:$B,L$45,Genus_PerFlag!$C:$C,"unspecified",Genus_PerFlag!$D:$D,$C59)</f>
        <v>0.22727272727272729</v>
      </c>
      <c r="M59" s="18">
        <f>_xlfn.MAXIFS(Genus_PerFlag!$K:$K,Genus_PerFlag!$A:$A,$B$58,Genus_PerFlag!$B:$B,M$45,Genus_PerFlag!$C:$C,"unspecified",Genus_PerFlag!$D:$D,$C59)</f>
        <v>0.23809523809523811</v>
      </c>
      <c r="N59" s="18">
        <f>_xlfn.MAXIFS(Genus_PerFlag!$K:$K,Genus_PerFlag!$A:$A,$B$58,Genus_PerFlag!$B:$B,N$45,Genus_PerFlag!$C:$C,"unspecified",Genus_PerFlag!$D:$D,$C59)</f>
        <v>0</v>
      </c>
    </row>
    <row r="60" spans="2:14" ht="17.25" thickBot="1">
      <c r="B60" s="20"/>
      <c r="C60" s="21" t="s">
        <v>52</v>
      </c>
      <c r="D60" s="21">
        <v>4</v>
      </c>
      <c r="E60" s="22">
        <v>0.03</v>
      </c>
      <c r="F60" s="17">
        <f>_xlfn.MAXIFS(Genus_PerFlag!$J:$J,Genus_PerFlag!$A:$A,$B$58,Genus_PerFlag!$B:$B,F$45,Genus_PerFlag!$C:$C,"unspecified",Genus_PerFlag!$D:$D,$C60)</f>
        <v>1</v>
      </c>
      <c r="G60" s="18">
        <f>_xlfn.MAXIFS(Genus_PerFlag!$J:$J,Genus_PerFlag!$A:$A,$B$58,Genus_PerFlag!$B:$B,G$45,Genus_PerFlag!$C:$C,"unspecified",Genus_PerFlag!$D:$D,$C60)</f>
        <v>0</v>
      </c>
      <c r="H60" s="18">
        <f>_xlfn.MAXIFS(Genus_PerFlag!$J:$J,Genus_PerFlag!$A:$A,$B$58,Genus_PerFlag!$B:$B,H$45,Genus_PerFlag!$C:$C,"unspecified",Genus_PerFlag!$D:$D,$C60)</f>
        <v>0.47245559126153402</v>
      </c>
      <c r="I60" s="17">
        <f>_xlfn.MAXIFS(Genus_PerFlag!$G:$G,Genus_PerFlag!$A:$A,$B$58,Genus_PerFlag!$B:$B,I$45,Genus_PerFlag!$C:$C,"unspecified",Genus_PerFlag!$D:$D,$C60)</f>
        <v>1</v>
      </c>
      <c r="J60" s="18">
        <f>_xlfn.MAXIFS(Genus_PerFlag!$G:$G,Genus_PerFlag!$A:$A,$B$58,Genus_PerFlag!$B:$B,J$45,Genus_PerFlag!$C:$C,"unspecified",Genus_PerFlag!$D:$D,$C60)</f>
        <v>0.5</v>
      </c>
      <c r="K60" s="18">
        <f>_xlfn.MAXIFS(Genus_PerFlag!$G:$G,Genus_PerFlag!$A:$A,$B$58,Genus_PerFlag!$B:$B,K$45,Genus_PerFlag!$C:$C,"unspecified",Genus_PerFlag!$D:$D,$C60)</f>
        <v>0.33333333333333331</v>
      </c>
      <c r="L60" s="17">
        <f>_xlfn.MAXIFS(Genus_PerFlag!$K:$K,Genus_PerFlag!$A:$A,$B$58,Genus_PerFlag!$B:$B,L$45,Genus_PerFlag!$C:$C,"unspecified",Genus_PerFlag!$D:$D,$C60)</f>
        <v>1</v>
      </c>
      <c r="M60" s="18">
        <f>_xlfn.MAXIFS(Genus_PerFlag!$K:$K,Genus_PerFlag!$A:$A,$B$58,Genus_PerFlag!$B:$B,M$45,Genus_PerFlag!$C:$C,"unspecified",Genus_PerFlag!$D:$D,$C60)</f>
        <v>0</v>
      </c>
      <c r="N60" s="18">
        <f>_xlfn.MAXIFS(Genus_PerFlag!$K:$K,Genus_PerFlag!$A:$A,$B$58,Genus_PerFlag!$B:$B,N$45,Genus_PerFlag!$C:$C,"unspecified",Genus_PerFlag!$D:$D,$C60)</f>
        <v>0.625</v>
      </c>
    </row>
    <row r="61" spans="2:14" ht="17.25" thickBot="1">
      <c r="B61" s="20"/>
      <c r="C61" s="21" t="s">
        <v>55</v>
      </c>
      <c r="D61" s="21">
        <v>26</v>
      </c>
      <c r="E61" s="22">
        <v>0.1884057971014492</v>
      </c>
      <c r="F61" s="17">
        <f>_xlfn.MAXIFS(Genus_PerFlag!$J:$J,Genus_PerFlag!$A:$A,$B$58,Genus_PerFlag!$B:$B,F$45,Genus_PerFlag!$C:$C,"unspecified",Genus_PerFlag!$D:$D,$C61)</f>
        <v>0.64807406984078608</v>
      </c>
      <c r="G61" s="18">
        <f>_xlfn.MAXIFS(Genus_PerFlag!$J:$J,Genus_PerFlag!$A:$A,$B$58,Genus_PerFlag!$B:$B,G$45,Genus_PerFlag!$C:$C,"unspecified",Genus_PerFlag!$D:$D,$C61)</f>
        <v>0.59628479399994394</v>
      </c>
      <c r="H61" s="18">
        <f>_xlfn.MAXIFS(Genus_PerFlag!$J:$J,Genus_PerFlag!$A:$A,$B$58,Genus_PerFlag!$B:$B,H$45,Genus_PerFlag!$C:$C,"unspecified",Genus_PerFlag!$D:$D,$C61)</f>
        <v>0.70912420834233469</v>
      </c>
      <c r="I61" s="17">
        <f>_xlfn.MAXIFS(Genus_PerFlag!$G:$G,Genus_PerFlag!$A:$A,$B$58,Genus_PerFlag!$B:$B,I$45,Genus_PerFlag!$C:$C,"unspecified",Genus_PerFlag!$D:$D,$C61)</f>
        <v>0.62202380952380953</v>
      </c>
      <c r="J61" s="18">
        <f>_xlfn.MAXIFS(Genus_PerFlag!$G:$G,Genus_PerFlag!$A:$A,$B$58,Genus_PerFlag!$B:$B,J$45,Genus_PerFlag!$C:$C,"unspecified",Genus_PerFlag!$D:$D,$C61)</f>
        <v>0.89285714285714279</v>
      </c>
      <c r="K61" s="18">
        <f>_xlfn.MAXIFS(Genus_PerFlag!$G:$G,Genus_PerFlag!$A:$A,$B$58,Genus_PerFlag!$B:$B,K$45,Genus_PerFlag!$C:$C,"unspecified",Genus_PerFlag!$D:$D,$C61)</f>
        <v>0.77083333333333326</v>
      </c>
      <c r="L61" s="17">
        <f>_xlfn.MAXIFS(Genus_PerFlag!$K:$K,Genus_PerFlag!$A:$A,$B$58,Genus_PerFlag!$B:$B,L$45,Genus_PerFlag!$C:$C,"unspecified",Genus_PerFlag!$D:$D,$C61)</f>
        <v>0.83333333333333337</v>
      </c>
      <c r="M61" s="18">
        <f>_xlfn.MAXIFS(Genus_PerFlag!$K:$K,Genus_PerFlag!$A:$A,$B$58,Genus_PerFlag!$B:$B,M$45,Genus_PerFlag!$C:$C,"unspecified",Genus_PerFlag!$D:$D,$C61)</f>
        <v>0.8</v>
      </c>
      <c r="N61" s="18">
        <f>_xlfn.MAXIFS(Genus_PerFlag!$K:$K,Genus_PerFlag!$A:$A,$B$58,Genus_PerFlag!$B:$B,N$45,Genus_PerFlag!$C:$C,"unspecified",Genus_PerFlag!$D:$D,$C61)</f>
        <v>0.86956521739130432</v>
      </c>
    </row>
    <row r="62" spans="2:14">
      <c r="B62" s="20"/>
      <c r="C62" s="21" t="s">
        <v>56</v>
      </c>
      <c r="D62" s="21">
        <v>7</v>
      </c>
      <c r="E62" s="22">
        <v>5.0724637681159403E-2</v>
      </c>
      <c r="F62" s="17">
        <f>_xlfn.MAXIFS(Genus_PerFlag!$J:$J,Genus_PerFlag!$A:$A,$B$58,Genus_PerFlag!$B:$B,F$45,Genus_PerFlag!$C:$C,"unspecified",Genus_PerFlag!$D:$D,$C62)</f>
        <v>-9.2450032704204849E-2</v>
      </c>
      <c r="G62" s="18">
        <f>_xlfn.MAXIFS(Genus_PerFlag!$J:$J,Genus_PerFlag!$A:$A,$B$58,Genus_PerFlag!$B:$B,G$45,Genus_PerFlag!$C:$C,"unspecified",Genus_PerFlag!$D:$D,$C62)</f>
        <v>-5.1434449987363969E-2</v>
      </c>
      <c r="H62" s="18">
        <f>_xlfn.MAXIFS(Genus_PerFlag!$J:$J,Genus_PerFlag!$A:$A,$B$58,Genus_PerFlag!$B:$B,H$45,Genus_PerFlag!$C:$C,"unspecified",Genus_PerFlag!$D:$D,$C62)</f>
        <v>0.3481553119113957</v>
      </c>
      <c r="I62" s="17">
        <f>_xlfn.MAXIFS(Genus_PerFlag!$G:$G,Genus_PerFlag!$A:$A,$B$58,Genus_PerFlag!$B:$B,I$45,Genus_PerFlag!$C:$C,"unspecified",Genus_PerFlag!$D:$D,$C62)</f>
        <v>0.19090909090909089</v>
      </c>
      <c r="J62" s="18">
        <f>_xlfn.MAXIFS(Genus_PerFlag!$G:$G,Genus_PerFlag!$A:$A,$B$58,Genus_PerFlag!$B:$B,J$45,Genus_PerFlag!$C:$C,"unspecified",Genus_PerFlag!$D:$D,$C62)</f>
        <v>8.5714285714285715E-2</v>
      </c>
      <c r="K62" s="18">
        <f>_xlfn.MAXIFS(Genus_PerFlag!$G:$G,Genus_PerFlag!$A:$A,$B$58,Genus_PerFlag!$B:$B,K$45,Genus_PerFlag!$C:$C,"unspecified",Genus_PerFlag!$D:$D,$C62)</f>
        <v>0.1825396825396825</v>
      </c>
      <c r="L62" s="17">
        <f>_xlfn.MAXIFS(Genus_PerFlag!$K:$K,Genus_PerFlag!$A:$A,$B$58,Genus_PerFlag!$B:$B,L$45,Genus_PerFlag!$C:$C,"unspecified",Genus_PerFlag!$D:$D,$C62)</f>
        <v>0</v>
      </c>
      <c r="M62" s="18">
        <f>_xlfn.MAXIFS(Genus_PerFlag!$K:$K,Genus_PerFlag!$A:$A,$B$58,Genus_PerFlag!$B:$B,M$45,Genus_PerFlag!$C:$C,"unspecified",Genus_PerFlag!$D:$D,$C62)</f>
        <v>0</v>
      </c>
      <c r="N62" s="18">
        <f>_xlfn.MAXIFS(Genus_PerFlag!$K:$K,Genus_PerFlag!$A:$A,$B$58,Genus_PerFlag!$B:$B,N$45,Genus_PerFlag!$C:$C,"unspecified",Genus_PerFlag!$D:$D,$C62)</f>
        <v>0.52631578947368418</v>
      </c>
    </row>
    <row r="63" spans="2:14" ht="17.25" thickBot="1">
      <c r="B63" s="25"/>
      <c r="C63" s="26" t="s">
        <v>252</v>
      </c>
      <c r="D63" s="26"/>
      <c r="E63" s="27"/>
      <c r="F63" s="29">
        <f t="shared" ref="F63:N63" si="8">AVERAGE(F58:F62)</f>
        <v>0.36547354409516897</v>
      </c>
      <c r="G63" s="30">
        <f t="shared" si="8"/>
        <v>0.16844946218280632</v>
      </c>
      <c r="H63" s="29">
        <f t="shared" si="8"/>
        <v>0.31623391230052567</v>
      </c>
      <c r="I63" s="28">
        <f t="shared" si="8"/>
        <v>0.50880880230880243</v>
      </c>
      <c r="J63" s="31">
        <f t="shared" si="8"/>
        <v>0.44447619047619052</v>
      </c>
      <c r="K63" s="31">
        <f t="shared" si="8"/>
        <v>0.37308630641389262</v>
      </c>
      <c r="L63" s="28">
        <f t="shared" si="8"/>
        <v>0.44337121212121211</v>
      </c>
      <c r="M63" s="31">
        <f t="shared" si="8"/>
        <v>0.20761904761904765</v>
      </c>
      <c r="N63" s="31">
        <f t="shared" si="8"/>
        <v>0.43643426588912676</v>
      </c>
    </row>
    <row r="64" spans="2:14" ht="17.25" thickBot="1">
      <c r="B64" t="s">
        <v>259</v>
      </c>
      <c r="E64" s="35"/>
    </row>
    <row r="65" spans="2:14">
      <c r="B65" s="4" t="s">
        <v>245</v>
      </c>
      <c r="C65" s="5" t="s">
        <v>246</v>
      </c>
      <c r="D65" s="5" t="s">
        <v>247</v>
      </c>
      <c r="E65" s="36" t="s">
        <v>248</v>
      </c>
      <c r="F65" s="6" t="s">
        <v>249</v>
      </c>
      <c r="G65" s="7"/>
      <c r="H65" s="7"/>
      <c r="I65" s="6" t="s">
        <v>250</v>
      </c>
      <c r="J65" s="7"/>
      <c r="K65" s="7"/>
      <c r="L65" s="6" t="s">
        <v>251</v>
      </c>
      <c r="M65" s="7"/>
      <c r="N65" s="8"/>
    </row>
    <row r="66" spans="2:14" ht="17.25" thickBot="1">
      <c r="B66" s="9"/>
      <c r="C66" s="10"/>
      <c r="D66" s="10"/>
      <c r="E66" s="37"/>
      <c r="F66" s="11" t="s">
        <v>58</v>
      </c>
      <c r="G66" s="12" t="s">
        <v>60</v>
      </c>
      <c r="H66" s="12" t="s">
        <v>253</v>
      </c>
      <c r="I66" s="11" t="s">
        <v>58</v>
      </c>
      <c r="J66" s="12" t="s">
        <v>60</v>
      </c>
      <c r="K66" s="12" t="s">
        <v>253</v>
      </c>
      <c r="L66" s="38" t="s">
        <v>254</v>
      </c>
      <c r="M66" s="39" t="s">
        <v>255</v>
      </c>
      <c r="N66" s="40" t="s">
        <v>256</v>
      </c>
    </row>
    <row r="67" spans="2:14" ht="17.25" thickBot="1">
      <c r="B67" s="14" t="s">
        <v>75</v>
      </c>
      <c r="C67" s="15" t="s">
        <v>57</v>
      </c>
      <c r="D67" s="15">
        <v>9</v>
      </c>
      <c r="E67" s="16">
        <v>6.5217391304347797E-2</v>
      </c>
      <c r="F67" s="17">
        <f>_xlfn.MAXIFS(ASV_PerFlag!$J:$J,ASV_PerFlag!$A:$A,$B$67,ASV_PerFlag!$B:$B,F$66,ASV_PerFlag!$C:$C,"with",ASV_PerFlag!$D:$D,$C67)</f>
        <v>-5.1434449987363969E-2</v>
      </c>
      <c r="G67" s="18"/>
      <c r="H67" s="18"/>
      <c r="I67" s="17">
        <f>_xlfn.MAXIFS(ASV_PerFlag!$G:$G,ASV_PerFlag!$A:$A,$B$67,ASV_PerFlag!$B:$B,I$66,ASV_PerFlag!$C:$C,"with",ASV_PerFlag!$D:$D,$C67)</f>
        <v>4.1666666666666657E-2</v>
      </c>
      <c r="J67" s="18"/>
      <c r="K67" s="18"/>
      <c r="L67" s="17">
        <f>_xlfn.MAXIFS(ASV_PerFlag!$K:$K,ASV_PerFlag!$A:$A,$B$67,ASV_PerFlag!$B:$B,L$66,ASV_PerFlag!$C:$C,"with",ASV_PerFlag!$D:$D,$C67)</f>
        <v>0</v>
      </c>
      <c r="M67" s="18"/>
      <c r="N67" s="19"/>
    </row>
    <row r="68" spans="2:14" ht="17.25" thickBot="1">
      <c r="B68" s="20"/>
      <c r="C68" s="21" t="s">
        <v>54</v>
      </c>
      <c r="D68" s="21">
        <v>20</v>
      </c>
      <c r="E68" s="22">
        <v>0.14000000000000001</v>
      </c>
      <c r="F68" s="17">
        <f>_xlfn.MAXIFS(ASV_PerFlag!$J:$J,ASV_PerFlag!$A:$A,$B$67,ASV_PerFlag!$B:$B,F$66,ASV_PerFlag!$C:$C,"with",ASV_PerFlag!$D:$D,$C68)</f>
        <v>0.16919084232174361</v>
      </c>
      <c r="G68" s="23"/>
      <c r="H68" s="23"/>
      <c r="I68" s="17">
        <f>_xlfn.MAXIFS(ASV_PerFlag!$G:$G,ASV_PerFlag!$A:$A,$B$67,ASV_PerFlag!$B:$B,I$66,ASV_PerFlag!$C:$C,"with",ASV_PerFlag!$D:$D,$C68)</f>
        <v>0.42869532428355961</v>
      </c>
      <c r="J68" s="23"/>
      <c r="K68" s="23"/>
      <c r="L68" s="17">
        <f>_xlfn.MAXIFS(ASV_PerFlag!$K:$K,ASV_PerFlag!$A:$A,$B$67,ASV_PerFlag!$B:$B,L$66,ASV_PerFlag!$C:$C,"with",ASV_PerFlag!$D:$D,$C68)</f>
        <v>0.37037037037037029</v>
      </c>
      <c r="M68" s="23"/>
      <c r="N68" s="24"/>
    </row>
    <row r="69" spans="2:14" ht="17.25" thickBot="1">
      <c r="B69" s="20"/>
      <c r="C69" s="21" t="s">
        <v>52</v>
      </c>
      <c r="D69" s="21">
        <v>4</v>
      </c>
      <c r="E69" s="22">
        <v>0.03</v>
      </c>
      <c r="F69" s="17">
        <f>_xlfn.MAXIFS(ASV_PerFlag!$J:$J,ASV_PerFlag!$A:$A,$B$67,ASV_PerFlag!$B:$B,F$66,ASV_PerFlag!$C:$C,"with",ASV_PerFlag!$D:$D,$C69)</f>
        <v>0.55634864026418673</v>
      </c>
      <c r="G69" s="23"/>
      <c r="H69" s="23"/>
      <c r="I69" s="17">
        <f>_xlfn.MAXIFS(ASV_PerFlag!$G:$G,ASV_PerFlag!$A:$A,$B$67,ASV_PerFlag!$B:$B,I$66,ASV_PerFlag!$C:$C,"with",ASV_PerFlag!$D:$D,$C69)</f>
        <v>0.5</v>
      </c>
      <c r="J69" s="23"/>
      <c r="K69" s="23"/>
      <c r="L69" s="17">
        <f>_xlfn.MAXIFS(ASV_PerFlag!$K:$K,ASV_PerFlag!$A:$A,$B$67,ASV_PerFlag!$B:$B,L$66,ASV_PerFlag!$C:$C,"with",ASV_PerFlag!$D:$D,$C69)</f>
        <v>0.7142857142857143</v>
      </c>
      <c r="M69" s="23"/>
      <c r="N69" s="24"/>
    </row>
    <row r="70" spans="2:14" ht="17.25" thickBot="1">
      <c r="B70" s="20"/>
      <c r="C70" s="21" t="s">
        <v>55</v>
      </c>
      <c r="D70" s="21">
        <v>26</v>
      </c>
      <c r="E70" s="22">
        <v>0.1884057971014492</v>
      </c>
      <c r="F70" s="17">
        <f>_xlfn.MAXIFS(ASV_PerFlag!$J:$J,ASV_PerFlag!$A:$A,$B$67,ASV_PerFlag!$B:$B,F$66,ASV_PerFlag!$C:$C,"with",ASV_PerFlag!$D:$D,$C70)</f>
        <v>0.70912420834233469</v>
      </c>
      <c r="G70" s="23"/>
      <c r="H70" s="23"/>
      <c r="I70" s="17">
        <f>_xlfn.MAXIFS(ASV_PerFlag!$G:$G,ASV_PerFlag!$A:$A,$B$67,ASV_PerFlag!$B:$B,I$66,ASV_PerFlag!$C:$C,"with",ASV_PerFlag!$D:$D,$C70)</f>
        <v>0.6791666666666667</v>
      </c>
      <c r="J70" s="23"/>
      <c r="K70" s="23"/>
      <c r="L70" s="17">
        <f>_xlfn.MAXIFS(ASV_PerFlag!$K:$K,ASV_PerFlag!$A:$A,$B$67,ASV_PerFlag!$B:$B,L$66,ASV_PerFlag!$C:$C,"with",ASV_PerFlag!$D:$D,$C70)</f>
        <v>0.86956521739130432</v>
      </c>
      <c r="M70" s="23"/>
      <c r="N70" s="24"/>
    </row>
    <row r="71" spans="2:14">
      <c r="B71" s="20"/>
      <c r="C71" s="21" t="s">
        <v>56</v>
      </c>
      <c r="D71" s="21">
        <v>7</v>
      </c>
      <c r="E71" s="22">
        <v>5.0724637681159403E-2</v>
      </c>
      <c r="F71" s="17">
        <f>_xlfn.MAXIFS(ASV_PerFlag!$J:$J,ASV_PerFlag!$A:$A,$B$67,ASV_PerFlag!$B:$B,F$66,ASV_PerFlag!$C:$C,"with",ASV_PerFlag!$D:$D,$C71)</f>
        <v>-5.1434449987363969E-2</v>
      </c>
      <c r="G71" s="23"/>
      <c r="H71" s="23"/>
      <c r="I71" s="17">
        <f>_xlfn.MAXIFS(ASV_PerFlag!$G:$G,ASV_PerFlag!$A:$A,$B$67,ASV_PerFlag!$B:$B,I$66,ASV_PerFlag!$C:$C,"with",ASV_PerFlag!$D:$D,$C71)</f>
        <v>6.9411764705882353E-2</v>
      </c>
      <c r="J71" s="23"/>
      <c r="K71" s="23"/>
      <c r="L71" s="17">
        <f>_xlfn.MAXIFS(ASV_PerFlag!$K:$K,ASV_PerFlag!$A:$A,$B$67,ASV_PerFlag!$B:$B,L$66,ASV_PerFlag!$C:$C,"with",ASV_PerFlag!$D:$D,$C71)</f>
        <v>0</v>
      </c>
      <c r="M71" s="23"/>
      <c r="N71" s="24"/>
    </row>
    <row r="72" spans="2:14" ht="17.25" thickBot="1">
      <c r="B72" s="25"/>
      <c r="C72" s="26" t="s">
        <v>252</v>
      </c>
      <c r="D72" s="26"/>
      <c r="E72" s="27"/>
      <c r="F72" s="29">
        <f t="shared" ref="F72:N72" si="9">AVERAGE(F67:F71)</f>
        <v>0.26635895819070743</v>
      </c>
      <c r="G72" s="30" t="e">
        <f t="shared" si="9"/>
        <v>#DIV/0!</v>
      </c>
      <c r="H72" s="29" t="e">
        <f t="shared" si="9"/>
        <v>#DIV/0!</v>
      </c>
      <c r="I72" s="28">
        <f t="shared" si="9"/>
        <v>0.34378808446455505</v>
      </c>
      <c r="J72" s="31" t="e">
        <f t="shared" si="9"/>
        <v>#DIV/0!</v>
      </c>
      <c r="K72" s="31" t="e">
        <f t="shared" si="9"/>
        <v>#DIV/0!</v>
      </c>
      <c r="L72" s="28">
        <f t="shared" si="9"/>
        <v>0.39084426040947778</v>
      </c>
      <c r="M72" s="31" t="e">
        <f t="shared" si="9"/>
        <v>#DIV/0!</v>
      </c>
      <c r="N72" s="31" t="e">
        <f t="shared" si="9"/>
        <v>#DIV/0!</v>
      </c>
    </row>
    <row r="73" spans="2:14" ht="17.25" thickBot="1">
      <c r="B73" t="s">
        <v>260</v>
      </c>
      <c r="E73" s="35"/>
    </row>
    <row r="74" spans="2:14">
      <c r="B74" s="4" t="s">
        <v>245</v>
      </c>
      <c r="C74" s="5" t="s">
        <v>246</v>
      </c>
      <c r="D74" s="5" t="s">
        <v>247</v>
      </c>
      <c r="E74" s="36" t="s">
        <v>248</v>
      </c>
      <c r="F74" s="6" t="s">
        <v>249</v>
      </c>
      <c r="G74" s="7"/>
      <c r="H74" s="7"/>
      <c r="I74" s="6" t="s">
        <v>250</v>
      </c>
      <c r="J74" s="7"/>
      <c r="K74" s="7"/>
      <c r="L74" s="6" t="s">
        <v>251</v>
      </c>
      <c r="M74" s="7"/>
      <c r="N74" s="8"/>
    </row>
    <row r="75" spans="2:14" ht="17.25" thickBot="1">
      <c r="B75" s="9"/>
      <c r="C75" s="10"/>
      <c r="D75" s="10"/>
      <c r="E75" s="37"/>
      <c r="F75" s="11" t="s">
        <v>58</v>
      </c>
      <c r="G75" s="12" t="s">
        <v>60</v>
      </c>
      <c r="H75" s="12" t="s">
        <v>253</v>
      </c>
      <c r="I75" s="11" t="s">
        <v>58</v>
      </c>
      <c r="J75" s="12" t="s">
        <v>60</v>
      </c>
      <c r="K75" s="12" t="s">
        <v>253</v>
      </c>
      <c r="L75" s="38" t="s">
        <v>254</v>
      </c>
      <c r="M75" s="39" t="s">
        <v>255</v>
      </c>
      <c r="N75" s="40" t="s">
        <v>256</v>
      </c>
    </row>
    <row r="76" spans="2:14" ht="17.25" thickBot="1">
      <c r="B76" s="14" t="s">
        <v>75</v>
      </c>
      <c r="C76" s="15" t="s">
        <v>57</v>
      </c>
      <c r="D76" s="15">
        <v>9</v>
      </c>
      <c r="E76" s="16">
        <v>6.5217391304347797E-2</v>
      </c>
      <c r="F76" s="17">
        <f>_xlfn.MAXIFS(Genus_PerFlag!$J:$J,Genus_PerFlag!$A:$A,$B$76,Genus_PerFlag!$B:$B,F$75,Genus_PerFlag!$C:$C,"with",Genus_PerFlag!$D:$D,$C76)</f>
        <v>-3.5714285714285712E-2</v>
      </c>
      <c r="G76" s="18"/>
      <c r="H76" s="18"/>
      <c r="I76" s="17">
        <f>_xlfn.MAXIFS(Genus_PerFlag!$G:$G,Genus_PerFlag!$A:$A,$B$76,Genus_PerFlag!$B:$B,I$75,Genus_PerFlag!$C:$C,"with",Genus_PerFlag!$D:$D,$C76)</f>
        <v>3.4482758620689648E-2</v>
      </c>
      <c r="J76" s="18"/>
      <c r="K76" s="18"/>
      <c r="L76" s="17">
        <f>_xlfn.MAXIFS(Genus_PerFlag!$K:$K,Genus_PerFlag!$A:$A,$B$76,Genus_PerFlag!$B:$B,L$75,Genus_PerFlag!$C:$C,"with",Genus_PerFlag!$D:$D,$C76)</f>
        <v>0</v>
      </c>
      <c r="M76" s="18"/>
      <c r="N76" s="19"/>
    </row>
    <row r="77" spans="2:14" ht="17.25" thickBot="1">
      <c r="B77" s="20"/>
      <c r="C77" s="21" t="s">
        <v>54</v>
      </c>
      <c r="D77" s="21">
        <v>20</v>
      </c>
      <c r="E77" s="22">
        <v>0.14000000000000001</v>
      </c>
      <c r="F77" s="17">
        <f>_xlfn.MAXIFS(Genus_PerFlag!$J:$J,Genus_PerFlag!$A:$A,$B$76,Genus_PerFlag!$B:$B,F$75,Genus_PerFlag!$C:$C,"with",Genus_PerFlag!$D:$D,$C77)</f>
        <v>-8.6258194917794281E-2</v>
      </c>
      <c r="G77" s="23"/>
      <c r="H77" s="23"/>
      <c r="I77" s="17">
        <f>_xlfn.MAXIFS(Genus_PerFlag!$G:$G,Genus_PerFlag!$A:$A,$B$76,Genus_PerFlag!$B:$B,I$75,Genus_PerFlag!$C:$C,"with",Genus_PerFlag!$D:$D,$C77)</f>
        <v>0.25201465201465201</v>
      </c>
      <c r="J77" s="23"/>
      <c r="K77" s="23"/>
      <c r="L77" s="17">
        <f>_xlfn.MAXIFS(Genus_PerFlag!$K:$K,Genus_PerFlag!$A:$A,$B$76,Genus_PerFlag!$B:$B,L$75,Genus_PerFlag!$C:$C,"with",Genus_PerFlag!$D:$D,$C77)</f>
        <v>0</v>
      </c>
      <c r="M77" s="23"/>
      <c r="N77" s="24"/>
    </row>
    <row r="78" spans="2:14" ht="17.25" thickBot="1">
      <c r="B78" s="20"/>
      <c r="C78" s="21" t="s">
        <v>52</v>
      </c>
      <c r="D78" s="21">
        <v>4</v>
      </c>
      <c r="E78" s="22">
        <v>0.03</v>
      </c>
      <c r="F78" s="17">
        <f>_xlfn.MAXIFS(Genus_PerFlag!$J:$J,Genus_PerFlag!$A:$A,$B$76,Genus_PerFlag!$B:$B,F$75,Genus_PerFlag!$C:$C,"with",Genus_PerFlag!$D:$D,$C78)</f>
        <v>0</v>
      </c>
      <c r="G78" s="23"/>
      <c r="H78" s="23"/>
      <c r="I78" s="17">
        <f>_xlfn.MAXIFS(Genus_PerFlag!$G:$G,Genus_PerFlag!$A:$A,$B$76,Genus_PerFlag!$B:$B,I$75,Genus_PerFlag!$C:$C,"with",Genus_PerFlag!$D:$D,$C78)</f>
        <v>1</v>
      </c>
      <c r="J78" s="23"/>
      <c r="K78" s="23"/>
      <c r="L78" s="17">
        <f>_xlfn.MAXIFS(Genus_PerFlag!$K:$K,Genus_PerFlag!$A:$A,$B$76,Genus_PerFlag!$B:$B,L$75,Genus_PerFlag!$C:$C,"with",Genus_PerFlag!$D:$D,$C78)</f>
        <v>0</v>
      </c>
      <c r="M78" s="23"/>
      <c r="N78" s="24"/>
    </row>
    <row r="79" spans="2:14" ht="17.25" thickBot="1">
      <c r="B79" s="20"/>
      <c r="C79" s="21" t="s">
        <v>55</v>
      </c>
      <c r="D79" s="21">
        <v>26</v>
      </c>
      <c r="E79" s="22">
        <v>0.1884057971014492</v>
      </c>
      <c r="F79" s="17">
        <f>_xlfn.MAXIFS(Genus_PerFlag!$J:$J,Genus_PerFlag!$A:$A,$B$76,Genus_PerFlag!$B:$B,F$75,Genus_PerFlag!$C:$C,"with",Genus_PerFlag!$D:$D,$C79)</f>
        <v>0.30558769344304171</v>
      </c>
      <c r="G79" s="23"/>
      <c r="H79" s="23"/>
      <c r="I79" s="17">
        <f>_xlfn.MAXIFS(Genus_PerFlag!$G:$G,Genus_PerFlag!$A:$A,$B$76,Genus_PerFlag!$B:$B,I$75,Genus_PerFlag!$C:$C,"with",Genus_PerFlag!$D:$D,$C79)</f>
        <v>0.74632352941176472</v>
      </c>
      <c r="J79" s="23"/>
      <c r="K79" s="23"/>
      <c r="L79" s="17">
        <f>_xlfn.MAXIFS(Genus_PerFlag!$K:$K,Genus_PerFlag!$A:$A,$B$76,Genus_PerFlag!$B:$B,L$75,Genus_PerFlag!$C:$C,"with",Genus_PerFlag!$D:$D,$C79)</f>
        <v>0.55555555555555558</v>
      </c>
      <c r="M79" s="23"/>
      <c r="N79" s="24"/>
    </row>
    <row r="80" spans="2:14">
      <c r="B80" s="20"/>
      <c r="C80" s="21" t="s">
        <v>56</v>
      </c>
      <c r="D80" s="21">
        <v>7</v>
      </c>
      <c r="E80" s="22">
        <v>5.0724637681159403E-2</v>
      </c>
      <c r="F80" s="17">
        <f>_xlfn.MAXIFS(Genus_PerFlag!$J:$J,Genus_PerFlag!$A:$A,$B$76,Genus_PerFlag!$B:$B,F$75,Genus_PerFlag!$C:$C,"with",Genus_PerFlag!$D:$D,$C80)</f>
        <v>-0.1088662107903635</v>
      </c>
      <c r="G80" s="23"/>
      <c r="H80" s="23"/>
      <c r="I80" s="17">
        <f>_xlfn.MAXIFS(Genus_PerFlag!$G:$G,Genus_PerFlag!$A:$A,$B$76,Genus_PerFlag!$B:$B,I$75,Genus_PerFlag!$C:$C,"with",Genus_PerFlag!$D:$D,$C80)</f>
        <v>8.6805555555555552E-2</v>
      </c>
      <c r="J80" s="23"/>
      <c r="K80" s="23"/>
      <c r="L80" s="17">
        <f>_xlfn.MAXIFS(Genus_PerFlag!$K:$K,Genus_PerFlag!$A:$A,$B$76,Genus_PerFlag!$B:$B,L$75,Genus_PerFlag!$C:$C,"with",Genus_PerFlag!$D:$D,$C80)</f>
        <v>0</v>
      </c>
      <c r="M80" s="23"/>
      <c r="N80" s="24"/>
    </row>
    <row r="81" spans="2:14" ht="17.25" thickBot="1">
      <c r="B81" s="25"/>
      <c r="C81" s="26" t="s">
        <v>252</v>
      </c>
      <c r="D81" s="26"/>
      <c r="E81" s="27"/>
      <c r="F81" s="29">
        <f t="shared" ref="F81:N81" si="10">AVERAGE(F76:F80)</f>
        <v>1.4949800404119643E-2</v>
      </c>
      <c r="G81" s="30" t="e">
        <f t="shared" si="10"/>
        <v>#DIV/0!</v>
      </c>
      <c r="H81" s="29" t="e">
        <f t="shared" si="10"/>
        <v>#DIV/0!</v>
      </c>
      <c r="I81" s="28">
        <f t="shared" si="10"/>
        <v>0.42392529912053234</v>
      </c>
      <c r="J81" s="31" t="e">
        <f t="shared" si="10"/>
        <v>#DIV/0!</v>
      </c>
      <c r="K81" s="31" t="e">
        <f t="shared" si="10"/>
        <v>#DIV/0!</v>
      </c>
      <c r="L81" s="28">
        <f t="shared" si="10"/>
        <v>0.11111111111111112</v>
      </c>
      <c r="M81" s="31" t="e">
        <f t="shared" si="10"/>
        <v>#DIV/0!</v>
      </c>
      <c r="N81" s="31" t="e">
        <f t="shared" si="10"/>
        <v>#DIV/0!</v>
      </c>
    </row>
  </sheetData>
  <mergeCells count="46">
    <mergeCell ref="B76:B81"/>
    <mergeCell ref="L65:N65"/>
    <mergeCell ref="B67:B72"/>
    <mergeCell ref="B74:B75"/>
    <mergeCell ref="C74:C75"/>
    <mergeCell ref="D74:D75"/>
    <mergeCell ref="E74:E75"/>
    <mergeCell ref="F74:H74"/>
    <mergeCell ref="I74:K74"/>
    <mergeCell ref="L74:N74"/>
    <mergeCell ref="L23:N23"/>
    <mergeCell ref="F44:H44"/>
    <mergeCell ref="I44:K44"/>
    <mergeCell ref="L44:N44"/>
    <mergeCell ref="B65:B66"/>
    <mergeCell ref="C65:C66"/>
    <mergeCell ref="D65:D66"/>
    <mergeCell ref="E65:E66"/>
    <mergeCell ref="F65:H65"/>
    <mergeCell ref="I65:K65"/>
    <mergeCell ref="B46:B51"/>
    <mergeCell ref="B52:B57"/>
    <mergeCell ref="B58:B63"/>
    <mergeCell ref="B23:B24"/>
    <mergeCell ref="C23:C24"/>
    <mergeCell ref="D23:D24"/>
    <mergeCell ref="E23:E24"/>
    <mergeCell ref="F23:H23"/>
    <mergeCell ref="I23:K23"/>
    <mergeCell ref="B25:B30"/>
    <mergeCell ref="B31:B36"/>
    <mergeCell ref="B37:B42"/>
    <mergeCell ref="B44:B45"/>
    <mergeCell ref="C44:C45"/>
    <mergeCell ref="D44:D45"/>
    <mergeCell ref="E44:E45"/>
    <mergeCell ref="P2:T2"/>
    <mergeCell ref="B4:B9"/>
    <mergeCell ref="B10:B15"/>
    <mergeCell ref="B16:B21"/>
    <mergeCell ref="B2:B3"/>
    <mergeCell ref="C2:C3"/>
    <mergeCell ref="D2:D3"/>
    <mergeCell ref="E2:E3"/>
    <mergeCell ref="F2:J2"/>
    <mergeCell ref="K2:O2"/>
  </mergeCells>
  <phoneticPr fontId="2" type="noConversion"/>
  <conditionalFormatting sqref="K4:O20">
    <cfRule type="expression" dxfId="22" priority="24">
      <formula>AND($E4&lt;&gt;"",K4&lt;$E4)</formula>
    </cfRule>
  </conditionalFormatting>
  <conditionalFormatting sqref="I31:K35 I37:K41">
    <cfRule type="expression" dxfId="13" priority="19">
      <formula>AND($E31&lt;&gt;"",I31&lt;$E31)</formula>
    </cfRule>
  </conditionalFormatting>
  <conditionalFormatting sqref="I46:K50 I52:K56 I58:K62">
    <cfRule type="expression" dxfId="12" priority="14">
      <formula>AND($E46&lt;&gt;"",I46&lt;$E46)</formula>
    </cfRule>
  </conditionalFormatting>
  <conditionalFormatting sqref="I67:K71">
    <cfRule type="expression" dxfId="11" priority="12">
      <formula>AND($E67&lt;&gt;"",I67&lt;$E67)</formula>
    </cfRule>
  </conditionalFormatting>
  <conditionalFormatting sqref="I76:K80">
    <cfRule type="expression" dxfId="10" priority="10">
      <formula>AND($E76&lt;&gt;"",I76&lt;$E76)</formula>
    </cfRule>
  </conditionalFormatting>
  <conditionalFormatting sqref="J25:K29">
    <cfRule type="expression" dxfId="9" priority="22">
      <formula>AND($E25&lt;&gt;"",J25&lt;$E25)</formula>
    </cfRule>
  </conditionalFormatting>
  <conditionalFormatting sqref="K58:K62">
    <cfRule type="expression" dxfId="8" priority="20">
      <formula>AND($E48&lt;&gt;"",K58&lt;$E48)</formula>
    </cfRule>
  </conditionalFormatting>
  <conditionalFormatting sqref="I30:N30">
    <cfRule type="expression" dxfId="7" priority="8">
      <formula>AND($E30&lt;&gt;"",I30&lt;$E30)</formula>
    </cfRule>
  </conditionalFormatting>
  <conditionalFormatting sqref="I36:N36">
    <cfRule type="expression" dxfId="6" priority="7">
      <formula>AND($E36&lt;&gt;"",I36&lt;$E36)</formula>
    </cfRule>
  </conditionalFormatting>
  <conditionalFormatting sqref="I42:N42">
    <cfRule type="expression" dxfId="5" priority="6">
      <formula>AND($E42&lt;&gt;"",I42&lt;$E42)</formula>
    </cfRule>
  </conditionalFormatting>
  <conditionalFormatting sqref="I51:N51">
    <cfRule type="expression" dxfId="4" priority="5">
      <formula>AND($E51&lt;&gt;"",I51&lt;$E51)</formula>
    </cfRule>
  </conditionalFormatting>
  <conditionalFormatting sqref="I57:N57">
    <cfRule type="expression" dxfId="3" priority="4">
      <formula>AND($E57&lt;&gt;"",I57&lt;$E57)</formula>
    </cfRule>
  </conditionalFormatting>
  <conditionalFormatting sqref="I63:N63">
    <cfRule type="expression" dxfId="2" priority="3">
      <formula>AND($E63&lt;&gt;"",I63&lt;$E63)</formula>
    </cfRule>
  </conditionalFormatting>
  <conditionalFormatting sqref="I72:N72">
    <cfRule type="expression" dxfId="1" priority="2">
      <formula>AND($E72&lt;&gt;"",I72&lt;$E72)</formula>
    </cfRule>
  </conditionalFormatting>
  <conditionalFormatting sqref="I81:N81">
    <cfRule type="expression" dxfId="0" priority="1">
      <formula>AND($E81&lt;&gt;"",I81&lt;$E81)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1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0" customWidth="1"/>
    <col min="2" max="2" width="11" customWidth="1"/>
    <col min="3" max="3" width="20" customWidth="1"/>
    <col min="4" max="4" width="19" customWidth="1"/>
    <col min="5" max="5" width="10" customWidth="1"/>
    <col min="6" max="9" width="20" customWidth="1"/>
    <col min="10" max="10" width="21" customWidth="1"/>
    <col min="11" max="14" width="20" customWidth="1"/>
    <col min="15" max="15" width="65" customWidth="1"/>
  </cols>
  <sheetData>
    <row r="1" spans="1:1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32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34</v>
      </c>
      <c r="O1" s="1" t="s">
        <v>48</v>
      </c>
    </row>
    <row r="2" spans="1:15">
      <c r="A2" t="s">
        <v>49</v>
      </c>
      <c r="B2" t="s">
        <v>50</v>
      </c>
      <c r="C2" t="s">
        <v>51</v>
      </c>
      <c r="D2" t="s">
        <v>52</v>
      </c>
      <c r="E2" s="2">
        <v>1</v>
      </c>
      <c r="F2" s="3">
        <v>3.4482758620689648E-2</v>
      </c>
      <c r="G2" s="3">
        <v>1</v>
      </c>
      <c r="H2" s="3">
        <v>29</v>
      </c>
      <c r="I2" s="3">
        <v>1</v>
      </c>
      <c r="J2" s="3">
        <v>0</v>
      </c>
      <c r="K2" s="3">
        <v>0</v>
      </c>
      <c r="L2" s="3">
        <v>0</v>
      </c>
      <c r="M2" s="3">
        <v>0</v>
      </c>
      <c r="N2" s="3">
        <v>0.5</v>
      </c>
      <c r="O2" t="s">
        <v>53</v>
      </c>
    </row>
    <row r="3" spans="1:15">
      <c r="A3" t="s">
        <v>49</v>
      </c>
      <c r="B3" t="s">
        <v>50</v>
      </c>
      <c r="C3" t="s">
        <v>51</v>
      </c>
      <c r="D3" t="s">
        <v>54</v>
      </c>
      <c r="E3" s="2">
        <v>5</v>
      </c>
      <c r="F3" s="3">
        <v>0.17241379310344829</v>
      </c>
      <c r="G3" s="3">
        <v>0.51490683229813672</v>
      </c>
      <c r="H3" s="3">
        <v>2.986459627329193</v>
      </c>
      <c r="I3" s="3">
        <v>0.67500000000000004</v>
      </c>
      <c r="J3" s="3">
        <v>0.41403933560541262</v>
      </c>
      <c r="K3" s="3">
        <v>0.23809523809523811</v>
      </c>
      <c r="L3" s="3">
        <v>1</v>
      </c>
      <c r="M3" s="3">
        <v>0.2</v>
      </c>
      <c r="N3" s="3">
        <v>0.50817543783978603</v>
      </c>
      <c r="O3" t="s">
        <v>53</v>
      </c>
    </row>
    <row r="4" spans="1:15">
      <c r="A4" t="s">
        <v>49</v>
      </c>
      <c r="B4" t="s">
        <v>50</v>
      </c>
      <c r="C4" t="s">
        <v>51</v>
      </c>
      <c r="D4" t="s">
        <v>55</v>
      </c>
      <c r="E4" s="2">
        <v>4</v>
      </c>
      <c r="F4" s="3">
        <v>0.13793103448275859</v>
      </c>
      <c r="G4" s="3">
        <v>0.1170036937699981</v>
      </c>
      <c r="H4" s="3">
        <v>0.84827677983248628</v>
      </c>
      <c r="I4" s="3">
        <v>0.28000000000000003</v>
      </c>
      <c r="J4" s="3">
        <v>0.1088662107903635</v>
      </c>
      <c r="K4" s="3">
        <v>0.46511627906976738</v>
      </c>
      <c r="L4" s="3">
        <v>0.14814814814814811</v>
      </c>
      <c r="M4" s="3">
        <v>1</v>
      </c>
      <c r="N4" s="3">
        <v>0.47507489085197452</v>
      </c>
      <c r="O4" t="s">
        <v>53</v>
      </c>
    </row>
    <row r="5" spans="1:15">
      <c r="A5" t="s">
        <v>49</v>
      </c>
      <c r="B5" t="s">
        <v>50</v>
      </c>
      <c r="C5" t="s">
        <v>51</v>
      </c>
      <c r="D5" t="s">
        <v>56</v>
      </c>
      <c r="E5" s="2">
        <v>2</v>
      </c>
      <c r="F5" s="3">
        <v>6.8965517241379309E-2</v>
      </c>
      <c r="G5" s="3">
        <v>7.8787878787878796E-2</v>
      </c>
      <c r="H5" s="3">
        <v>1.142424242424243</v>
      </c>
      <c r="I5" s="3">
        <v>0.37037037037037041</v>
      </c>
      <c r="J5" s="3">
        <v>0</v>
      </c>
      <c r="K5" s="3">
        <v>0</v>
      </c>
      <c r="L5" s="3">
        <v>0</v>
      </c>
      <c r="M5" s="3">
        <v>0</v>
      </c>
      <c r="N5" s="3">
        <v>0.5</v>
      </c>
      <c r="O5" t="s">
        <v>53</v>
      </c>
    </row>
    <row r="6" spans="1:15">
      <c r="A6" t="s">
        <v>49</v>
      </c>
      <c r="B6" t="s">
        <v>50</v>
      </c>
      <c r="C6" t="s">
        <v>51</v>
      </c>
      <c r="D6" t="s">
        <v>57</v>
      </c>
      <c r="E6" s="2">
        <v>1</v>
      </c>
      <c r="F6" s="3">
        <v>3.4482758620689648E-2</v>
      </c>
      <c r="G6" s="3">
        <v>4.1666666666666657E-2</v>
      </c>
      <c r="H6" s="3">
        <v>1.208333333333333</v>
      </c>
      <c r="I6" s="3">
        <v>0.1785714285714286</v>
      </c>
      <c r="J6" s="3">
        <v>-0.30618621784789718</v>
      </c>
      <c r="K6" s="3">
        <v>0</v>
      </c>
      <c r="L6" s="3">
        <v>0</v>
      </c>
      <c r="M6" s="3">
        <v>0</v>
      </c>
      <c r="N6" s="3">
        <v>0.4534284178006589</v>
      </c>
      <c r="O6" t="s">
        <v>53</v>
      </c>
    </row>
    <row r="7" spans="1:15">
      <c r="A7" t="s">
        <v>49</v>
      </c>
      <c r="B7" t="s">
        <v>58</v>
      </c>
      <c r="C7" t="s">
        <v>51</v>
      </c>
      <c r="D7" t="s">
        <v>52</v>
      </c>
      <c r="E7" s="2">
        <v>1</v>
      </c>
      <c r="F7" s="3">
        <v>3.4482758620689648E-2</v>
      </c>
      <c r="G7" s="3">
        <v>6.6666666666666666E-2</v>
      </c>
      <c r="H7" s="3">
        <v>1.9333333333333329</v>
      </c>
      <c r="I7" s="3">
        <v>0.75</v>
      </c>
      <c r="J7" s="3">
        <v>0</v>
      </c>
      <c r="K7" s="3">
        <v>0</v>
      </c>
      <c r="L7" s="3">
        <v>0</v>
      </c>
      <c r="M7" s="3">
        <v>0</v>
      </c>
      <c r="N7" s="3">
        <v>0.5</v>
      </c>
      <c r="O7" t="s">
        <v>59</v>
      </c>
    </row>
    <row r="8" spans="1:15">
      <c r="A8" t="s">
        <v>49</v>
      </c>
      <c r="B8" t="s">
        <v>58</v>
      </c>
      <c r="C8" t="s">
        <v>51</v>
      </c>
      <c r="D8" t="s">
        <v>54</v>
      </c>
      <c r="E8" s="2">
        <v>5</v>
      </c>
      <c r="F8" s="3">
        <v>0.17241379310344829</v>
      </c>
      <c r="G8" s="3">
        <v>0.26333333333333331</v>
      </c>
      <c r="H8" s="3">
        <v>1.527333333333333</v>
      </c>
      <c r="I8" s="3">
        <v>0.69166666666666665</v>
      </c>
      <c r="J8" s="3">
        <v>0</v>
      </c>
      <c r="K8" s="3">
        <v>0.51020408163265307</v>
      </c>
      <c r="L8" s="3">
        <v>0.17241379310344829</v>
      </c>
      <c r="M8" s="3">
        <v>1</v>
      </c>
      <c r="N8" s="3">
        <v>0</v>
      </c>
      <c r="O8" t="s">
        <v>59</v>
      </c>
    </row>
    <row r="9" spans="1:15">
      <c r="A9" t="s">
        <v>49</v>
      </c>
      <c r="B9" t="s">
        <v>58</v>
      </c>
      <c r="C9" t="s">
        <v>51</v>
      </c>
      <c r="D9" t="s">
        <v>55</v>
      </c>
      <c r="E9" s="2">
        <v>4</v>
      </c>
      <c r="F9" s="3">
        <v>0.13793103448275859</v>
      </c>
      <c r="G9" s="3">
        <v>0.26666666666666672</v>
      </c>
      <c r="H9" s="3">
        <v>1.9333333333333329</v>
      </c>
      <c r="I9" s="3">
        <v>0.78</v>
      </c>
      <c r="J9" s="3">
        <v>0.16</v>
      </c>
      <c r="K9" s="3">
        <v>0.48780487804878048</v>
      </c>
      <c r="L9" s="3">
        <v>0.16</v>
      </c>
      <c r="M9" s="3">
        <v>1</v>
      </c>
      <c r="N9" s="3">
        <v>8.1436692955404597E-9</v>
      </c>
      <c r="O9" t="s">
        <v>59</v>
      </c>
    </row>
    <row r="10" spans="1:15">
      <c r="A10" t="s">
        <v>49</v>
      </c>
      <c r="B10" t="s">
        <v>58</v>
      </c>
      <c r="C10" t="s">
        <v>51</v>
      </c>
      <c r="D10" t="s">
        <v>56</v>
      </c>
      <c r="E10" s="2">
        <v>2</v>
      </c>
      <c r="F10" s="3">
        <v>6.8965517241379309E-2</v>
      </c>
      <c r="G10" s="3">
        <v>0.1333333333333333</v>
      </c>
      <c r="H10" s="3">
        <v>1.9333333333333329</v>
      </c>
      <c r="I10" s="3">
        <v>0.7592592592592593</v>
      </c>
      <c r="J10" s="3">
        <v>0</v>
      </c>
      <c r="K10" s="3">
        <v>0</v>
      </c>
      <c r="L10" s="3">
        <v>0</v>
      </c>
      <c r="M10" s="3">
        <v>0</v>
      </c>
      <c r="N10" s="3">
        <v>0.5</v>
      </c>
      <c r="O10" t="s">
        <v>59</v>
      </c>
    </row>
    <row r="11" spans="1:15">
      <c r="A11" t="s">
        <v>49</v>
      </c>
      <c r="B11" t="s">
        <v>58</v>
      </c>
      <c r="C11" t="s">
        <v>51</v>
      </c>
      <c r="D11" t="s">
        <v>57</v>
      </c>
      <c r="E11" s="2">
        <v>1</v>
      </c>
      <c r="F11" s="3">
        <v>3.4482758620689648E-2</v>
      </c>
      <c r="G11" s="3">
        <v>6.6666666666666666E-2</v>
      </c>
      <c r="H11" s="3">
        <v>1.9333333333333329</v>
      </c>
      <c r="I11" s="3">
        <v>0.75</v>
      </c>
      <c r="J11" s="3">
        <v>3.5714285714285712E-2</v>
      </c>
      <c r="K11" s="3">
        <v>0.15625</v>
      </c>
      <c r="L11" s="3">
        <v>3.5714285714285712E-2</v>
      </c>
      <c r="M11" s="3">
        <v>1</v>
      </c>
      <c r="N11" s="3">
        <v>1.728991166030603E-20</v>
      </c>
      <c r="O11" t="s">
        <v>59</v>
      </c>
    </row>
    <row r="12" spans="1:15">
      <c r="A12" t="s">
        <v>49</v>
      </c>
      <c r="B12" t="s">
        <v>60</v>
      </c>
      <c r="C12" t="s">
        <v>51</v>
      </c>
      <c r="D12" t="s">
        <v>52</v>
      </c>
      <c r="E12" s="2">
        <v>1</v>
      </c>
      <c r="F12" s="3">
        <v>3.4482758620689648E-2</v>
      </c>
      <c r="G12" s="3">
        <v>1</v>
      </c>
      <c r="H12" s="3">
        <v>29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0.5</v>
      </c>
      <c r="O12" t="s">
        <v>61</v>
      </c>
    </row>
    <row r="13" spans="1:15">
      <c r="A13" t="s">
        <v>49</v>
      </c>
      <c r="B13" t="s">
        <v>60</v>
      </c>
      <c r="C13" t="s">
        <v>51</v>
      </c>
      <c r="D13" t="s">
        <v>54</v>
      </c>
      <c r="E13" s="2">
        <v>5</v>
      </c>
      <c r="F13" s="3">
        <v>0.17241379310344829</v>
      </c>
      <c r="G13" s="3">
        <v>0.58878787878787875</v>
      </c>
      <c r="H13" s="3">
        <v>3.4149696969696959</v>
      </c>
      <c r="I13" s="3">
        <v>0.82500000000000007</v>
      </c>
      <c r="J13" s="3">
        <v>0.23602939762497779</v>
      </c>
      <c r="K13" s="3">
        <v>0.22727272727272729</v>
      </c>
      <c r="L13" s="3">
        <v>0.5</v>
      </c>
      <c r="M13" s="3">
        <v>0.2</v>
      </c>
      <c r="N13" s="3">
        <v>0.69585046589075039</v>
      </c>
      <c r="O13" t="s">
        <v>61</v>
      </c>
    </row>
    <row r="14" spans="1:15">
      <c r="A14" t="s">
        <v>49</v>
      </c>
      <c r="B14" t="s">
        <v>60</v>
      </c>
      <c r="C14" t="s">
        <v>51</v>
      </c>
      <c r="D14" t="s">
        <v>55</v>
      </c>
      <c r="E14" s="2">
        <v>4</v>
      </c>
      <c r="F14" s="3">
        <v>0.13793103448275859</v>
      </c>
      <c r="G14" s="3">
        <v>0.47738095238095241</v>
      </c>
      <c r="H14" s="3">
        <v>3.461011904761905</v>
      </c>
      <c r="I14" s="3">
        <v>0.72000000000000008</v>
      </c>
      <c r="J14" s="3">
        <v>0.47543554877497429</v>
      </c>
      <c r="K14" s="3">
        <v>0.65217391304347827</v>
      </c>
      <c r="L14" s="3">
        <v>0.42857142857142849</v>
      </c>
      <c r="M14" s="3">
        <v>0.75</v>
      </c>
      <c r="N14" s="3">
        <v>0.34809889837725089</v>
      </c>
      <c r="O14" t="s">
        <v>61</v>
      </c>
    </row>
    <row r="15" spans="1:15">
      <c r="A15" t="s">
        <v>49</v>
      </c>
      <c r="B15" t="s">
        <v>60</v>
      </c>
      <c r="C15" t="s">
        <v>51</v>
      </c>
      <c r="D15" t="s">
        <v>56</v>
      </c>
      <c r="E15" s="2">
        <v>2</v>
      </c>
      <c r="F15" s="3">
        <v>6.8965517241379309E-2</v>
      </c>
      <c r="G15" s="3">
        <v>0.1388888888888889</v>
      </c>
      <c r="H15" s="3">
        <v>2.0138888888888888</v>
      </c>
      <c r="I15" s="3">
        <v>0.66666666666666674</v>
      </c>
      <c r="J15" s="3">
        <v>-7.407407407407407E-2</v>
      </c>
      <c r="K15" s="3">
        <v>0</v>
      </c>
      <c r="L15" s="3">
        <v>0</v>
      </c>
      <c r="M15" s="3">
        <v>0</v>
      </c>
      <c r="N15" s="3">
        <v>0.5</v>
      </c>
      <c r="O15" t="s">
        <v>61</v>
      </c>
    </row>
    <row r="16" spans="1:15">
      <c r="A16" t="s">
        <v>49</v>
      </c>
      <c r="B16" t="s">
        <v>60</v>
      </c>
      <c r="C16" t="s">
        <v>51</v>
      </c>
      <c r="D16" t="s">
        <v>57</v>
      </c>
      <c r="E16" s="2">
        <v>1</v>
      </c>
      <c r="F16" s="3">
        <v>3.4482758620689648E-2</v>
      </c>
      <c r="G16" s="3">
        <v>0.05</v>
      </c>
      <c r="H16" s="3">
        <v>1.45</v>
      </c>
      <c r="I16" s="3">
        <v>0.3214285714285714</v>
      </c>
      <c r="J16" s="3">
        <v>6.4194073876636934E-2</v>
      </c>
      <c r="K16" s="3">
        <v>0.16666666666666671</v>
      </c>
      <c r="L16" s="3">
        <v>3.8461538461538457E-2</v>
      </c>
      <c r="M16" s="3">
        <v>1</v>
      </c>
      <c r="N16" s="3">
        <v>9.2233514189720159E-2</v>
      </c>
      <c r="O16" t="s">
        <v>61</v>
      </c>
    </row>
    <row r="17" spans="1:15">
      <c r="A17" t="s">
        <v>49</v>
      </c>
      <c r="B17" t="s">
        <v>62</v>
      </c>
      <c r="C17" t="s">
        <v>51</v>
      </c>
      <c r="D17" t="s">
        <v>52</v>
      </c>
      <c r="E17" s="2">
        <v>1</v>
      </c>
      <c r="F17" s="3">
        <v>3.4482758620689648E-2</v>
      </c>
      <c r="G17" s="3">
        <v>9.0909090909090912E-2</v>
      </c>
      <c r="H17" s="3">
        <v>2.6363636363636371</v>
      </c>
      <c r="I17" s="3">
        <v>0.64285714285714279</v>
      </c>
      <c r="J17" s="3">
        <v>0</v>
      </c>
      <c r="K17" s="3">
        <v>0</v>
      </c>
      <c r="L17" s="3">
        <v>0</v>
      </c>
      <c r="M17" s="3">
        <v>0</v>
      </c>
      <c r="N17" s="3">
        <v>0.5</v>
      </c>
      <c r="O17" t="s">
        <v>63</v>
      </c>
    </row>
    <row r="18" spans="1:15">
      <c r="A18" t="s">
        <v>49</v>
      </c>
      <c r="B18" t="s">
        <v>62</v>
      </c>
      <c r="C18" t="s">
        <v>51</v>
      </c>
      <c r="D18" t="s">
        <v>54</v>
      </c>
      <c r="E18" s="2">
        <v>5</v>
      </c>
      <c r="F18" s="3">
        <v>0.17241379310344829</v>
      </c>
      <c r="G18" s="3">
        <v>0.60290598290598285</v>
      </c>
      <c r="H18" s="3">
        <v>3.4968547008547</v>
      </c>
      <c r="I18" s="3">
        <v>0.69166666666666665</v>
      </c>
      <c r="J18" s="3">
        <v>0</v>
      </c>
      <c r="K18" s="3">
        <v>0</v>
      </c>
      <c r="L18" s="3">
        <v>0</v>
      </c>
      <c r="M18" s="3">
        <v>0</v>
      </c>
      <c r="N18" s="3">
        <v>0.48345635573468609</v>
      </c>
      <c r="O18" t="s">
        <v>63</v>
      </c>
    </row>
    <row r="19" spans="1:15">
      <c r="A19" t="s">
        <v>49</v>
      </c>
      <c r="B19" t="s">
        <v>62</v>
      </c>
      <c r="C19" t="s">
        <v>51</v>
      </c>
      <c r="D19" t="s">
        <v>55</v>
      </c>
      <c r="E19" s="2">
        <v>4</v>
      </c>
      <c r="F19" s="3">
        <v>0.13793103448275859</v>
      </c>
      <c r="G19" s="3">
        <v>0.57380952380952377</v>
      </c>
      <c r="H19" s="3">
        <v>4.1601190476190473</v>
      </c>
      <c r="I19" s="3">
        <v>0.78999999999999992</v>
      </c>
      <c r="J19" s="3">
        <v>0.28942722045797448</v>
      </c>
      <c r="K19" s="3">
        <v>0.45454545454545447</v>
      </c>
      <c r="L19" s="3">
        <v>0.33333333333333331</v>
      </c>
      <c r="M19" s="3">
        <v>0.5</v>
      </c>
      <c r="N19" s="3">
        <v>0.45400111152598621</v>
      </c>
      <c r="O19" t="s">
        <v>63</v>
      </c>
    </row>
    <row r="20" spans="1:15">
      <c r="A20" t="s">
        <v>49</v>
      </c>
      <c r="B20" t="s">
        <v>62</v>
      </c>
      <c r="C20" t="s">
        <v>51</v>
      </c>
      <c r="D20" t="s">
        <v>56</v>
      </c>
      <c r="E20" s="2">
        <v>2</v>
      </c>
      <c r="F20" s="3">
        <v>6.8965517241379309E-2</v>
      </c>
      <c r="G20" s="3">
        <v>0.1704545454545455</v>
      </c>
      <c r="H20" s="3">
        <v>2.4715909090909092</v>
      </c>
      <c r="I20" s="3">
        <v>0.57407407407407407</v>
      </c>
      <c r="J20" s="3">
        <v>0</v>
      </c>
      <c r="K20" s="3">
        <v>0</v>
      </c>
      <c r="L20" s="3">
        <v>0</v>
      </c>
      <c r="M20" s="3">
        <v>0</v>
      </c>
      <c r="N20" s="3">
        <v>0.5</v>
      </c>
      <c r="O20" t="s">
        <v>63</v>
      </c>
    </row>
    <row r="21" spans="1:15">
      <c r="A21" t="s">
        <v>49</v>
      </c>
      <c r="B21" t="s">
        <v>62</v>
      </c>
      <c r="C21" t="s">
        <v>51</v>
      </c>
      <c r="D21" t="s">
        <v>57</v>
      </c>
      <c r="E21" s="2">
        <v>1</v>
      </c>
      <c r="F21" s="3">
        <v>3.4482758620689648E-2</v>
      </c>
      <c r="G21" s="3">
        <v>4.3478260869565223E-2</v>
      </c>
      <c r="H21" s="3">
        <v>1.2608695652173909</v>
      </c>
      <c r="I21" s="3">
        <v>0.2142857142857143</v>
      </c>
      <c r="J21" s="3">
        <v>-0.18257418583505541</v>
      </c>
      <c r="K21" s="3">
        <v>0</v>
      </c>
      <c r="L21" s="3">
        <v>0</v>
      </c>
      <c r="M21" s="3">
        <v>0</v>
      </c>
      <c r="N21" s="3">
        <v>0.35318014437828832</v>
      </c>
      <c r="O21" t="s">
        <v>63</v>
      </c>
    </row>
    <row r="22" spans="1:15">
      <c r="A22" t="s">
        <v>49</v>
      </c>
      <c r="B22" t="s">
        <v>64</v>
      </c>
      <c r="C22" t="s">
        <v>51</v>
      </c>
      <c r="D22" t="s">
        <v>52</v>
      </c>
      <c r="E22" s="2">
        <v>1</v>
      </c>
      <c r="F22" s="3">
        <v>3.4482758620689648E-2</v>
      </c>
      <c r="G22" s="3">
        <v>0.5</v>
      </c>
      <c r="H22" s="3">
        <v>14.5</v>
      </c>
      <c r="I22" s="3">
        <v>0.9642857142857143</v>
      </c>
      <c r="J22" s="3">
        <v>-3.5714285714285712E-2</v>
      </c>
      <c r="K22" s="3">
        <v>0</v>
      </c>
      <c r="L22" s="3">
        <v>0</v>
      </c>
      <c r="M22" s="3">
        <v>0</v>
      </c>
      <c r="N22" s="3">
        <v>0.5</v>
      </c>
      <c r="O22" t="s">
        <v>65</v>
      </c>
    </row>
    <row r="23" spans="1:15">
      <c r="A23" t="s">
        <v>49</v>
      </c>
      <c r="B23" t="s">
        <v>64</v>
      </c>
      <c r="C23" t="s">
        <v>51</v>
      </c>
      <c r="D23" t="s">
        <v>54</v>
      </c>
      <c r="E23" s="2">
        <v>5</v>
      </c>
      <c r="F23" s="3">
        <v>0.17241379310344829</v>
      </c>
      <c r="G23" s="3">
        <v>0.56000000000000005</v>
      </c>
      <c r="H23" s="3">
        <v>3.2480000000000002</v>
      </c>
      <c r="I23" s="3">
        <v>0.7416666666666667</v>
      </c>
      <c r="J23" s="3">
        <v>0.33101874976866902</v>
      </c>
      <c r="K23" s="3">
        <v>0.5357142857142857</v>
      </c>
      <c r="L23" s="3">
        <v>0.375</v>
      </c>
      <c r="M23" s="3">
        <v>0.6</v>
      </c>
      <c r="N23" s="3">
        <v>0.56285069950261912</v>
      </c>
      <c r="O23" t="s">
        <v>65</v>
      </c>
    </row>
    <row r="24" spans="1:15">
      <c r="A24" t="s">
        <v>49</v>
      </c>
      <c r="B24" t="s">
        <v>64</v>
      </c>
      <c r="C24" t="s">
        <v>51</v>
      </c>
      <c r="D24" t="s">
        <v>55</v>
      </c>
      <c r="E24" s="2">
        <v>4</v>
      </c>
      <c r="F24" s="3">
        <v>0.13793103448275859</v>
      </c>
      <c r="G24" s="3">
        <v>0.41547619047619039</v>
      </c>
      <c r="H24" s="3">
        <v>3.012202380952381</v>
      </c>
      <c r="I24" s="3">
        <v>0.85</v>
      </c>
      <c r="J24" s="3">
        <v>8.2158383625774919E-2</v>
      </c>
      <c r="K24" s="3">
        <v>0.23809523809523811</v>
      </c>
      <c r="L24" s="3">
        <v>0.2</v>
      </c>
      <c r="M24" s="3">
        <v>0.25</v>
      </c>
      <c r="N24" s="3">
        <v>0.56375139589285772</v>
      </c>
      <c r="O24" t="s">
        <v>65</v>
      </c>
    </row>
    <row r="25" spans="1:15">
      <c r="A25" t="s">
        <v>49</v>
      </c>
      <c r="B25" t="s">
        <v>64</v>
      </c>
      <c r="C25" t="s">
        <v>51</v>
      </c>
      <c r="D25" t="s">
        <v>56</v>
      </c>
      <c r="E25" s="2">
        <v>2</v>
      </c>
      <c r="F25" s="3">
        <v>6.8965517241379309E-2</v>
      </c>
      <c r="G25" s="3">
        <v>0.1098901098901099</v>
      </c>
      <c r="H25" s="3">
        <v>1.5934065934065931</v>
      </c>
      <c r="I25" s="3">
        <v>0.44444444444444448</v>
      </c>
      <c r="J25" s="3">
        <v>0.16448792373994231</v>
      </c>
      <c r="K25" s="3">
        <v>0.33333333333333331</v>
      </c>
      <c r="L25" s="3">
        <v>0.14285714285714279</v>
      </c>
      <c r="M25" s="3">
        <v>0.5</v>
      </c>
      <c r="N25" s="3">
        <v>0.5</v>
      </c>
      <c r="O25" t="s">
        <v>65</v>
      </c>
    </row>
    <row r="26" spans="1:15">
      <c r="A26" t="s">
        <v>49</v>
      </c>
      <c r="B26" t="s">
        <v>64</v>
      </c>
      <c r="C26" t="s">
        <v>51</v>
      </c>
      <c r="D26" t="s">
        <v>57</v>
      </c>
      <c r="E26" s="2">
        <v>1</v>
      </c>
      <c r="F26" s="3">
        <v>3.4482758620689648E-2</v>
      </c>
      <c r="G26" s="3">
        <v>3.8461538461538457E-2</v>
      </c>
      <c r="H26" s="3">
        <v>1.115384615384615</v>
      </c>
      <c r="I26" s="3">
        <v>0.1071428571428571</v>
      </c>
      <c r="J26" s="3">
        <v>-0.20965696734438369</v>
      </c>
      <c r="K26" s="3">
        <v>0</v>
      </c>
      <c r="L26" s="3">
        <v>0</v>
      </c>
      <c r="M26" s="3">
        <v>0</v>
      </c>
      <c r="N26" s="3">
        <v>0.24698011355483951</v>
      </c>
      <c r="O26" t="s">
        <v>65</v>
      </c>
    </row>
    <row r="27" spans="1:15">
      <c r="A27" t="s">
        <v>49</v>
      </c>
      <c r="B27" t="s">
        <v>66</v>
      </c>
      <c r="C27" t="s">
        <v>51</v>
      </c>
      <c r="D27" t="s">
        <v>52</v>
      </c>
      <c r="E27" s="2">
        <v>1</v>
      </c>
      <c r="F27" s="3">
        <v>3.4482758620689648E-2</v>
      </c>
      <c r="G27" s="3">
        <v>1</v>
      </c>
      <c r="H27" s="3">
        <v>29</v>
      </c>
      <c r="I27" s="3">
        <v>1</v>
      </c>
      <c r="J27" s="3">
        <v>0</v>
      </c>
      <c r="K27" s="3">
        <v>0</v>
      </c>
      <c r="L27" s="3">
        <v>0</v>
      </c>
      <c r="M27" s="3">
        <v>0</v>
      </c>
      <c r="N27" s="3">
        <v>0.5</v>
      </c>
      <c r="O27" t="s">
        <v>67</v>
      </c>
    </row>
    <row r="28" spans="1:15">
      <c r="A28" t="s">
        <v>49</v>
      </c>
      <c r="B28" t="s">
        <v>66</v>
      </c>
      <c r="C28" t="s">
        <v>51</v>
      </c>
      <c r="D28" t="s">
        <v>54</v>
      </c>
      <c r="E28" s="2">
        <v>5</v>
      </c>
      <c r="F28" s="3">
        <v>0.17241379310344829</v>
      </c>
      <c r="G28" s="3">
        <v>0.45606060606060611</v>
      </c>
      <c r="H28" s="3">
        <v>2.645151515151515</v>
      </c>
      <c r="I28" s="3">
        <v>0.77500000000000002</v>
      </c>
      <c r="J28" s="3">
        <v>0</v>
      </c>
      <c r="K28" s="3">
        <v>0</v>
      </c>
      <c r="L28" s="3">
        <v>0</v>
      </c>
      <c r="M28" s="3">
        <v>0</v>
      </c>
      <c r="N28" s="3">
        <v>0.54055101185065824</v>
      </c>
      <c r="O28" t="s">
        <v>67</v>
      </c>
    </row>
    <row r="29" spans="1:15">
      <c r="A29" t="s">
        <v>49</v>
      </c>
      <c r="B29" t="s">
        <v>66</v>
      </c>
      <c r="C29" t="s">
        <v>51</v>
      </c>
      <c r="D29" t="s">
        <v>55</v>
      </c>
      <c r="E29" s="2">
        <v>4</v>
      </c>
      <c r="F29" s="3">
        <v>0.13793103448275859</v>
      </c>
      <c r="G29" s="3">
        <v>0.39861111111111108</v>
      </c>
      <c r="H29" s="3">
        <v>2.8899305555555559</v>
      </c>
      <c r="I29" s="3">
        <v>0.8600000000000001</v>
      </c>
      <c r="J29" s="3">
        <v>0.34689095308660522</v>
      </c>
      <c r="K29" s="3">
        <v>0.47619047619047622</v>
      </c>
      <c r="L29" s="3">
        <v>0.4</v>
      </c>
      <c r="M29" s="3">
        <v>0.5</v>
      </c>
      <c r="N29" s="3">
        <v>0.294128806032385</v>
      </c>
      <c r="O29" t="s">
        <v>67</v>
      </c>
    </row>
    <row r="30" spans="1:15">
      <c r="A30" t="s">
        <v>49</v>
      </c>
      <c r="B30" t="s">
        <v>66</v>
      </c>
      <c r="C30" t="s">
        <v>51</v>
      </c>
      <c r="D30" t="s">
        <v>56</v>
      </c>
      <c r="E30" s="2">
        <v>2</v>
      </c>
      <c r="F30" s="3">
        <v>6.8965517241379309E-2</v>
      </c>
      <c r="G30" s="3">
        <v>8.3333333333333329E-2</v>
      </c>
      <c r="H30" s="3">
        <v>1.208333333333333</v>
      </c>
      <c r="I30" s="3">
        <v>0.38888888888888901</v>
      </c>
      <c r="J30" s="3">
        <v>0</v>
      </c>
      <c r="K30" s="3">
        <v>0</v>
      </c>
      <c r="L30" s="3">
        <v>0</v>
      </c>
      <c r="M30" s="3">
        <v>0</v>
      </c>
      <c r="N30" s="3">
        <v>0.5</v>
      </c>
      <c r="O30" t="s">
        <v>67</v>
      </c>
    </row>
    <row r="31" spans="1:15">
      <c r="A31" t="s">
        <v>49</v>
      </c>
      <c r="B31" t="s">
        <v>66</v>
      </c>
      <c r="C31" t="s">
        <v>51</v>
      </c>
      <c r="D31" t="s">
        <v>57</v>
      </c>
      <c r="E31" s="2">
        <v>1</v>
      </c>
      <c r="F31" s="3">
        <v>3.4482758620689648E-2</v>
      </c>
      <c r="G31" s="3">
        <v>3.5714285714285712E-2</v>
      </c>
      <c r="H31" s="3">
        <v>1.035714285714286</v>
      </c>
      <c r="I31" s="3">
        <v>3.5714285714285698E-2</v>
      </c>
      <c r="J31" s="3">
        <v>-0.41403933560541262</v>
      </c>
      <c r="K31" s="3">
        <v>0</v>
      </c>
      <c r="L31" s="3">
        <v>0</v>
      </c>
      <c r="M31" s="3">
        <v>0</v>
      </c>
      <c r="N31" s="3">
        <v>6.9026934594845296E-2</v>
      </c>
      <c r="O31" t="s">
        <v>67</v>
      </c>
    </row>
    <row r="32" spans="1:15">
      <c r="A32" t="s">
        <v>68</v>
      </c>
      <c r="B32" t="s">
        <v>50</v>
      </c>
      <c r="C32" t="s">
        <v>51</v>
      </c>
      <c r="D32" t="s">
        <v>52</v>
      </c>
      <c r="E32" s="2">
        <v>1</v>
      </c>
      <c r="F32" s="3">
        <v>3.4482758620689648E-2</v>
      </c>
      <c r="G32" s="3">
        <v>0.2</v>
      </c>
      <c r="H32" s="3">
        <v>5.8000000000000007</v>
      </c>
      <c r="I32" s="3">
        <v>0.85714285714285721</v>
      </c>
      <c r="J32" s="3">
        <v>0</v>
      </c>
      <c r="K32" s="3">
        <v>0</v>
      </c>
      <c r="L32" s="3">
        <v>0</v>
      </c>
      <c r="M32" s="3">
        <v>0</v>
      </c>
      <c r="N32" s="3">
        <v>0.5</v>
      </c>
      <c r="O32" t="s">
        <v>69</v>
      </c>
    </row>
    <row r="33" spans="1:15">
      <c r="A33" t="s">
        <v>68</v>
      </c>
      <c r="B33" t="s">
        <v>50</v>
      </c>
      <c r="C33" t="s">
        <v>51</v>
      </c>
      <c r="D33" t="s">
        <v>54</v>
      </c>
      <c r="E33" s="2">
        <v>5</v>
      </c>
      <c r="F33" s="3">
        <v>0.17241379310344829</v>
      </c>
      <c r="G33" s="3">
        <v>0.56876847290640398</v>
      </c>
      <c r="H33" s="3">
        <v>3.2988571428571429</v>
      </c>
      <c r="I33" s="3">
        <v>0.7416666666666667</v>
      </c>
      <c r="J33" s="3">
        <v>0</v>
      </c>
      <c r="K33" s="3">
        <v>0</v>
      </c>
      <c r="L33" s="3">
        <v>0</v>
      </c>
      <c r="M33" s="3">
        <v>0</v>
      </c>
      <c r="N33" s="3">
        <v>0.63694953594974535</v>
      </c>
      <c r="O33" t="s">
        <v>69</v>
      </c>
    </row>
    <row r="34" spans="1:15">
      <c r="A34" t="s">
        <v>68</v>
      </c>
      <c r="B34" t="s">
        <v>50</v>
      </c>
      <c r="C34" t="s">
        <v>51</v>
      </c>
      <c r="D34" t="s">
        <v>55</v>
      </c>
      <c r="E34" s="2">
        <v>4</v>
      </c>
      <c r="F34" s="3">
        <v>0.13793103448275859</v>
      </c>
      <c r="G34" s="3">
        <v>0.79285714285714282</v>
      </c>
      <c r="H34" s="3">
        <v>5.7482142857142851</v>
      </c>
      <c r="I34" s="3">
        <v>0.95</v>
      </c>
      <c r="J34" s="3">
        <v>0.53629161437801165</v>
      </c>
      <c r="K34" s="3">
        <v>0.68181818181818177</v>
      </c>
      <c r="L34" s="3">
        <v>0.5</v>
      </c>
      <c r="M34" s="3">
        <v>0.75</v>
      </c>
      <c r="N34" s="3">
        <v>0.62405760203174609</v>
      </c>
      <c r="O34" t="s">
        <v>69</v>
      </c>
    </row>
    <row r="35" spans="1:15">
      <c r="A35" t="s">
        <v>68</v>
      </c>
      <c r="B35" t="s">
        <v>50</v>
      </c>
      <c r="C35" t="s">
        <v>51</v>
      </c>
      <c r="D35" t="s">
        <v>56</v>
      </c>
      <c r="E35" s="2">
        <v>2</v>
      </c>
      <c r="F35" s="3">
        <v>6.8965517241379309E-2</v>
      </c>
      <c r="G35" s="3">
        <v>0.7</v>
      </c>
      <c r="H35" s="3">
        <v>10.15</v>
      </c>
      <c r="I35" s="3">
        <v>0.94444444444444442</v>
      </c>
      <c r="J35" s="3">
        <v>0.69436507482941356</v>
      </c>
      <c r="K35" s="3">
        <v>0.55555555555555558</v>
      </c>
      <c r="L35" s="3">
        <v>1</v>
      </c>
      <c r="M35" s="3">
        <v>0.5</v>
      </c>
      <c r="N35" s="3">
        <v>0.5</v>
      </c>
      <c r="O35" t="s">
        <v>69</v>
      </c>
    </row>
    <row r="36" spans="1:15">
      <c r="A36" t="s">
        <v>68</v>
      </c>
      <c r="B36" t="s">
        <v>50</v>
      </c>
      <c r="C36" t="s">
        <v>51</v>
      </c>
      <c r="D36" t="s">
        <v>57</v>
      </c>
      <c r="E36" s="2">
        <v>1</v>
      </c>
      <c r="F36" s="3">
        <v>3.4482758620689648E-2</v>
      </c>
      <c r="G36" s="3">
        <v>0.33333333333333331</v>
      </c>
      <c r="H36" s="3">
        <v>9.6666666666666661</v>
      </c>
      <c r="I36" s="3">
        <v>0.9285714285714286</v>
      </c>
      <c r="J36" s="3">
        <v>0.28171808490950551</v>
      </c>
      <c r="K36" s="3">
        <v>0.38461538461538458</v>
      </c>
      <c r="L36" s="3">
        <v>0.1111111111111111</v>
      </c>
      <c r="M36" s="3">
        <v>1</v>
      </c>
      <c r="N36" s="3">
        <v>0.41306595547714431</v>
      </c>
      <c r="O36" t="s">
        <v>69</v>
      </c>
    </row>
    <row r="37" spans="1:15">
      <c r="A37" t="s">
        <v>68</v>
      </c>
      <c r="B37" t="s">
        <v>58</v>
      </c>
      <c r="C37" t="s">
        <v>51</v>
      </c>
      <c r="D37" t="s">
        <v>52</v>
      </c>
      <c r="E37" s="2">
        <v>1</v>
      </c>
      <c r="F37" s="3">
        <v>3.4482758620689648E-2</v>
      </c>
      <c r="G37" s="3">
        <v>7.1428571428571425E-2</v>
      </c>
      <c r="H37" s="3">
        <v>2.0714285714285712</v>
      </c>
      <c r="I37" s="3">
        <v>0.5357142857142857</v>
      </c>
      <c r="J37" s="3">
        <v>-3.5714285714285712E-2</v>
      </c>
      <c r="K37" s="3">
        <v>0</v>
      </c>
      <c r="L37" s="3">
        <v>0</v>
      </c>
      <c r="M37" s="3">
        <v>0</v>
      </c>
      <c r="N37" s="3">
        <v>0.5</v>
      </c>
      <c r="O37" t="s">
        <v>70</v>
      </c>
    </row>
    <row r="38" spans="1:15">
      <c r="A38" t="s">
        <v>68</v>
      </c>
      <c r="B38" t="s">
        <v>58</v>
      </c>
      <c r="C38" t="s">
        <v>51</v>
      </c>
      <c r="D38" t="s">
        <v>54</v>
      </c>
      <c r="E38" s="2">
        <v>5</v>
      </c>
      <c r="F38" s="3">
        <v>0.17241379310344829</v>
      </c>
      <c r="G38" s="3">
        <v>0.2580952380952381</v>
      </c>
      <c r="H38" s="3">
        <v>1.496952380952381</v>
      </c>
      <c r="I38" s="3">
        <v>0.60416666666666663</v>
      </c>
      <c r="J38" s="3">
        <v>7.7472473350114021E-2</v>
      </c>
      <c r="K38" s="3">
        <v>0.48780487804878048</v>
      </c>
      <c r="L38" s="3">
        <v>0.19047619047619049</v>
      </c>
      <c r="M38" s="3">
        <v>0.8</v>
      </c>
      <c r="N38" s="3">
        <v>1.950441785014633E-11</v>
      </c>
      <c r="O38" t="s">
        <v>70</v>
      </c>
    </row>
    <row r="39" spans="1:15">
      <c r="A39" t="s">
        <v>68</v>
      </c>
      <c r="B39" t="s">
        <v>58</v>
      </c>
      <c r="C39" t="s">
        <v>51</v>
      </c>
      <c r="D39" t="s">
        <v>55</v>
      </c>
      <c r="E39" s="2">
        <v>4</v>
      </c>
      <c r="F39" s="3">
        <v>0.13793103448275859</v>
      </c>
      <c r="G39" s="3">
        <v>0.2838235294117647</v>
      </c>
      <c r="H39" s="3">
        <v>2.057720588235294</v>
      </c>
      <c r="I39" s="3">
        <v>0.76500000000000001</v>
      </c>
      <c r="J39" s="3">
        <v>0.24268133584853771</v>
      </c>
      <c r="K39" s="3">
        <v>0.51724137931034486</v>
      </c>
      <c r="L39" s="3">
        <v>0.23076923076923081</v>
      </c>
      <c r="M39" s="3">
        <v>0.75</v>
      </c>
      <c r="N39" s="3">
        <v>2.7488068765844038E-2</v>
      </c>
      <c r="O39" t="s">
        <v>70</v>
      </c>
    </row>
    <row r="40" spans="1:15">
      <c r="A40" t="s">
        <v>68</v>
      </c>
      <c r="B40" t="s">
        <v>58</v>
      </c>
      <c r="C40" t="s">
        <v>51</v>
      </c>
      <c r="D40" t="s">
        <v>56</v>
      </c>
      <c r="E40" s="2">
        <v>2</v>
      </c>
      <c r="F40" s="3">
        <v>6.8965517241379309E-2</v>
      </c>
      <c r="G40" s="3">
        <v>0.1818181818181818</v>
      </c>
      <c r="H40" s="3">
        <v>2.6363636363636371</v>
      </c>
      <c r="I40" s="3">
        <v>0.81481481481481488</v>
      </c>
      <c r="J40" s="3">
        <v>0.3481553119113957</v>
      </c>
      <c r="K40" s="3">
        <v>0.52631578947368418</v>
      </c>
      <c r="L40" s="3">
        <v>0.1818181818181818</v>
      </c>
      <c r="M40" s="3">
        <v>1</v>
      </c>
      <c r="N40" s="3">
        <v>0.5</v>
      </c>
      <c r="O40" t="s">
        <v>70</v>
      </c>
    </row>
    <row r="41" spans="1:15">
      <c r="A41" t="s">
        <v>68</v>
      </c>
      <c r="B41" t="s">
        <v>58</v>
      </c>
      <c r="C41" t="s">
        <v>51</v>
      </c>
      <c r="D41" t="s">
        <v>57</v>
      </c>
      <c r="E41" s="2">
        <v>1</v>
      </c>
      <c r="F41" s="3">
        <v>3.4482758620689648E-2</v>
      </c>
      <c r="G41" s="3">
        <v>0.1</v>
      </c>
      <c r="H41" s="3">
        <v>2.9</v>
      </c>
      <c r="I41" s="3">
        <v>0.8392857142857143</v>
      </c>
      <c r="J41" s="3">
        <v>0.12677313820927749</v>
      </c>
      <c r="K41" s="3">
        <v>0.20833333333333329</v>
      </c>
      <c r="L41" s="3">
        <v>0.05</v>
      </c>
      <c r="M41" s="3">
        <v>1</v>
      </c>
      <c r="N41" s="3">
        <v>1.3671975692672111E-4</v>
      </c>
      <c r="O41" t="s">
        <v>70</v>
      </c>
    </row>
    <row r="42" spans="1:15">
      <c r="A42" t="s">
        <v>68</v>
      </c>
      <c r="B42" t="s">
        <v>60</v>
      </c>
      <c r="C42" t="s">
        <v>51</v>
      </c>
      <c r="D42" t="s">
        <v>52</v>
      </c>
      <c r="E42" s="2">
        <v>1</v>
      </c>
      <c r="F42" s="3">
        <v>3.4482758620689648E-2</v>
      </c>
      <c r="G42" s="3">
        <v>0.5</v>
      </c>
      <c r="H42" s="3">
        <v>14.5</v>
      </c>
      <c r="I42" s="3">
        <v>0.9642857142857143</v>
      </c>
      <c r="J42" s="3">
        <v>-3.5714285714285712E-2</v>
      </c>
      <c r="K42" s="3">
        <v>0</v>
      </c>
      <c r="L42" s="3">
        <v>0</v>
      </c>
      <c r="M42" s="3">
        <v>0</v>
      </c>
      <c r="N42" s="3">
        <v>0.5</v>
      </c>
      <c r="O42" t="s">
        <v>71</v>
      </c>
    </row>
    <row r="43" spans="1:15">
      <c r="A43" t="s">
        <v>68</v>
      </c>
      <c r="B43" t="s">
        <v>60</v>
      </c>
      <c r="C43" t="s">
        <v>51</v>
      </c>
      <c r="D43" t="s">
        <v>54</v>
      </c>
      <c r="E43" s="2">
        <v>5</v>
      </c>
      <c r="F43" s="3">
        <v>0.17241379310344829</v>
      </c>
      <c r="G43" s="3">
        <v>0.89999999999999991</v>
      </c>
      <c r="H43" s="3">
        <v>5.2199999999999989</v>
      </c>
      <c r="I43" s="3">
        <v>0.95833333333333326</v>
      </c>
      <c r="J43" s="3">
        <v>0.41403933560541262</v>
      </c>
      <c r="K43" s="3">
        <v>0.23809523809523811</v>
      </c>
      <c r="L43" s="3">
        <v>1</v>
      </c>
      <c r="M43" s="3">
        <v>0.2</v>
      </c>
      <c r="N43" s="3">
        <v>0.60389470971409398</v>
      </c>
      <c r="O43" t="s">
        <v>71</v>
      </c>
    </row>
    <row r="44" spans="1:15">
      <c r="A44" t="s">
        <v>68</v>
      </c>
      <c r="B44" t="s">
        <v>60</v>
      </c>
      <c r="C44" t="s">
        <v>51</v>
      </c>
      <c r="D44" t="s">
        <v>55</v>
      </c>
      <c r="E44" s="2">
        <v>4</v>
      </c>
      <c r="F44" s="3">
        <v>0.13793103448275859</v>
      </c>
      <c r="G44" s="3">
        <v>0.91666666666666663</v>
      </c>
      <c r="H44" s="3">
        <v>6.645833333333333</v>
      </c>
      <c r="I44" s="3">
        <v>0.98</v>
      </c>
      <c r="J44" s="3">
        <v>0.70912420834233469</v>
      </c>
      <c r="K44" s="3">
        <v>0.86956521739130432</v>
      </c>
      <c r="L44" s="3">
        <v>0.5714285714285714</v>
      </c>
      <c r="M44" s="3">
        <v>1</v>
      </c>
      <c r="N44" s="3">
        <v>5.4942464676109998E-2</v>
      </c>
      <c r="O44" t="s">
        <v>71</v>
      </c>
    </row>
    <row r="45" spans="1:15">
      <c r="A45" t="s">
        <v>68</v>
      </c>
      <c r="B45" t="s">
        <v>60</v>
      </c>
      <c r="C45" t="s">
        <v>51</v>
      </c>
      <c r="D45" t="s">
        <v>56</v>
      </c>
      <c r="E45" s="2">
        <v>2</v>
      </c>
      <c r="F45" s="3">
        <v>6.8965517241379309E-2</v>
      </c>
      <c r="G45" s="3">
        <v>0.3666666666666667</v>
      </c>
      <c r="H45" s="3">
        <v>5.3166666666666673</v>
      </c>
      <c r="I45" s="3">
        <v>0.90740740740740733</v>
      </c>
      <c r="J45" s="3">
        <v>-5.1434449987363969E-2</v>
      </c>
      <c r="K45" s="3">
        <v>0</v>
      </c>
      <c r="L45" s="3">
        <v>0</v>
      </c>
      <c r="M45" s="3">
        <v>0</v>
      </c>
      <c r="N45" s="3">
        <v>0.5</v>
      </c>
      <c r="O45" t="s">
        <v>71</v>
      </c>
    </row>
    <row r="46" spans="1:15">
      <c r="A46" t="s">
        <v>68</v>
      </c>
      <c r="B46" t="s">
        <v>60</v>
      </c>
      <c r="C46" t="s">
        <v>51</v>
      </c>
      <c r="D46" t="s">
        <v>57</v>
      </c>
      <c r="E46" s="2">
        <v>1</v>
      </c>
      <c r="F46" s="3">
        <v>3.4482758620689648E-2</v>
      </c>
      <c r="G46" s="3">
        <v>0.1111111111111111</v>
      </c>
      <c r="H46" s="3">
        <v>3.2222222222222219</v>
      </c>
      <c r="I46" s="3">
        <v>0.7142857142857143</v>
      </c>
      <c r="J46" s="3">
        <v>0</v>
      </c>
      <c r="K46" s="3">
        <v>0.15151515151515149</v>
      </c>
      <c r="L46" s="3">
        <v>3.4482758620689648E-2</v>
      </c>
      <c r="M46" s="3">
        <v>1</v>
      </c>
      <c r="N46" s="3">
        <v>2.9124024089696829E-4</v>
      </c>
      <c r="O46" t="s">
        <v>71</v>
      </c>
    </row>
    <row r="47" spans="1:15">
      <c r="A47" t="s">
        <v>68</v>
      </c>
      <c r="B47" t="s">
        <v>62</v>
      </c>
      <c r="C47" t="s">
        <v>51</v>
      </c>
      <c r="D47" t="s">
        <v>52</v>
      </c>
      <c r="E47" s="2">
        <v>1</v>
      </c>
      <c r="F47" s="3">
        <v>3.4482758620689648E-2</v>
      </c>
      <c r="G47" s="3">
        <v>0.25</v>
      </c>
      <c r="H47" s="3">
        <v>7.25</v>
      </c>
      <c r="I47" s="3">
        <v>0.8928571428571429</v>
      </c>
      <c r="J47" s="3">
        <v>0</v>
      </c>
      <c r="K47" s="3">
        <v>0</v>
      </c>
      <c r="L47" s="3">
        <v>0</v>
      </c>
      <c r="M47" s="3">
        <v>0</v>
      </c>
      <c r="N47" s="3">
        <v>0.5</v>
      </c>
      <c r="O47" t="s">
        <v>72</v>
      </c>
    </row>
    <row r="48" spans="1:15">
      <c r="A48" t="s">
        <v>68</v>
      </c>
      <c r="B48" t="s">
        <v>62</v>
      </c>
      <c r="C48" t="s">
        <v>51</v>
      </c>
      <c r="D48" t="s">
        <v>54</v>
      </c>
      <c r="E48" s="2">
        <v>5</v>
      </c>
      <c r="F48" s="3">
        <v>0.17241379310344829</v>
      </c>
      <c r="G48" s="3">
        <v>0.6511494252873562</v>
      </c>
      <c r="H48" s="3">
        <v>3.776666666666666</v>
      </c>
      <c r="I48" s="3">
        <v>0.76666666666666672</v>
      </c>
      <c r="J48" s="3">
        <v>0</v>
      </c>
      <c r="K48" s="3">
        <v>0</v>
      </c>
      <c r="L48" s="3">
        <v>0</v>
      </c>
      <c r="M48" s="3">
        <v>0</v>
      </c>
      <c r="N48" s="3">
        <v>0.70003268823551779</v>
      </c>
      <c r="O48" t="s">
        <v>72</v>
      </c>
    </row>
    <row r="49" spans="1:15">
      <c r="A49" t="s">
        <v>68</v>
      </c>
      <c r="B49" t="s">
        <v>62</v>
      </c>
      <c r="C49" t="s">
        <v>51</v>
      </c>
      <c r="D49" t="s">
        <v>55</v>
      </c>
      <c r="E49" s="2">
        <v>4</v>
      </c>
      <c r="F49" s="3">
        <v>0.13793103448275859</v>
      </c>
      <c r="G49" s="3">
        <v>0.64583333333333326</v>
      </c>
      <c r="H49" s="3">
        <v>4.6822916666666661</v>
      </c>
      <c r="I49" s="3">
        <v>0.95000000000000007</v>
      </c>
      <c r="J49" s="3">
        <v>0.70912420834233469</v>
      </c>
      <c r="K49" s="3">
        <v>0.86956521739130432</v>
      </c>
      <c r="L49" s="3">
        <v>0.5714285714285714</v>
      </c>
      <c r="M49" s="3">
        <v>1</v>
      </c>
      <c r="N49" s="3">
        <v>0.22256561528348459</v>
      </c>
      <c r="O49" t="s">
        <v>72</v>
      </c>
    </row>
    <row r="50" spans="1:15">
      <c r="A50" t="s">
        <v>68</v>
      </c>
      <c r="B50" t="s">
        <v>62</v>
      </c>
      <c r="C50" t="s">
        <v>51</v>
      </c>
      <c r="D50" t="s">
        <v>56</v>
      </c>
      <c r="E50" s="2">
        <v>2</v>
      </c>
      <c r="F50" s="3">
        <v>6.8965517241379309E-2</v>
      </c>
      <c r="G50" s="3">
        <v>0.64285714285714279</v>
      </c>
      <c r="H50" s="3">
        <v>9.3214285714285712</v>
      </c>
      <c r="I50" s="3">
        <v>0.90740740740740744</v>
      </c>
      <c r="J50" s="3">
        <v>0.69436507482941356</v>
      </c>
      <c r="K50" s="3">
        <v>0.55555555555555558</v>
      </c>
      <c r="L50" s="3">
        <v>1</v>
      </c>
      <c r="M50" s="3">
        <v>0.5</v>
      </c>
      <c r="N50" s="3">
        <v>0.5</v>
      </c>
      <c r="O50" t="s">
        <v>72</v>
      </c>
    </row>
    <row r="51" spans="1:15">
      <c r="A51" t="s">
        <v>68</v>
      </c>
      <c r="B51" t="s">
        <v>62</v>
      </c>
      <c r="C51" t="s">
        <v>51</v>
      </c>
      <c r="D51" t="s">
        <v>57</v>
      </c>
      <c r="E51" s="2">
        <v>1</v>
      </c>
      <c r="F51" s="3">
        <v>3.4482758620689648E-2</v>
      </c>
      <c r="G51" s="3">
        <v>0.5</v>
      </c>
      <c r="H51" s="3">
        <v>14.5</v>
      </c>
      <c r="I51" s="3">
        <v>0.9642857142857143</v>
      </c>
      <c r="J51" s="3">
        <v>0.24174688920761411</v>
      </c>
      <c r="K51" s="3">
        <v>0.33333333333333331</v>
      </c>
      <c r="L51" s="3">
        <v>9.0909090909090912E-2</v>
      </c>
      <c r="M51" s="3">
        <v>1</v>
      </c>
      <c r="N51" s="3">
        <v>0.1209204266620941</v>
      </c>
      <c r="O51" t="s">
        <v>72</v>
      </c>
    </row>
    <row r="52" spans="1:15">
      <c r="A52" t="s">
        <v>68</v>
      </c>
      <c r="B52" t="s">
        <v>64</v>
      </c>
      <c r="C52" t="s">
        <v>51</v>
      </c>
      <c r="D52" t="s">
        <v>52</v>
      </c>
      <c r="E52" s="2">
        <v>1</v>
      </c>
      <c r="F52" s="3">
        <v>3.4482758620689648E-2</v>
      </c>
      <c r="G52" s="3">
        <v>0.33333333333333331</v>
      </c>
      <c r="H52" s="3">
        <v>9.6666666666666661</v>
      </c>
      <c r="I52" s="3">
        <v>0.9285714285714286</v>
      </c>
      <c r="J52" s="3">
        <v>0.30618621784789718</v>
      </c>
      <c r="K52" s="3">
        <v>0.41666666666666669</v>
      </c>
      <c r="L52" s="3">
        <v>0.125</v>
      </c>
      <c r="M52" s="3">
        <v>1</v>
      </c>
      <c r="N52" s="3">
        <v>0.5</v>
      </c>
      <c r="O52" t="s">
        <v>73</v>
      </c>
    </row>
    <row r="53" spans="1:15">
      <c r="A53" t="s">
        <v>68</v>
      </c>
      <c r="B53" t="s">
        <v>64</v>
      </c>
      <c r="C53" t="s">
        <v>51</v>
      </c>
      <c r="D53" t="s">
        <v>54</v>
      </c>
      <c r="E53" s="2">
        <v>5</v>
      </c>
      <c r="F53" s="3">
        <v>0.17241379310344829</v>
      </c>
      <c r="G53" s="3">
        <v>0.58904761904761904</v>
      </c>
      <c r="H53" s="3">
        <v>3.4164761904761898</v>
      </c>
      <c r="I53" s="3">
        <v>0.75833333333333341</v>
      </c>
      <c r="J53" s="3">
        <v>0</v>
      </c>
      <c r="K53" s="3">
        <v>0</v>
      </c>
      <c r="L53" s="3">
        <v>0</v>
      </c>
      <c r="M53" s="3">
        <v>0</v>
      </c>
      <c r="N53" s="3">
        <v>0.89863684168413061</v>
      </c>
      <c r="O53" t="s">
        <v>73</v>
      </c>
    </row>
    <row r="54" spans="1:15">
      <c r="A54" t="s">
        <v>68</v>
      </c>
      <c r="B54" t="s">
        <v>64</v>
      </c>
      <c r="C54" t="s">
        <v>51</v>
      </c>
      <c r="D54" t="s">
        <v>55</v>
      </c>
      <c r="E54" s="2">
        <v>4</v>
      </c>
      <c r="F54" s="3">
        <v>0.13793103448275859</v>
      </c>
      <c r="G54" s="3">
        <v>0.88749999999999996</v>
      </c>
      <c r="H54" s="3">
        <v>6.4343750000000002</v>
      </c>
      <c r="I54" s="3">
        <v>0.98</v>
      </c>
      <c r="J54" s="3">
        <v>0.70912420834233469</v>
      </c>
      <c r="K54" s="3">
        <v>0.86956521739130432</v>
      </c>
      <c r="L54" s="3">
        <v>0.5714285714285714</v>
      </c>
      <c r="M54" s="3">
        <v>1</v>
      </c>
      <c r="N54" s="3">
        <v>0.60553817229055285</v>
      </c>
      <c r="O54" t="s">
        <v>73</v>
      </c>
    </row>
    <row r="55" spans="1:15">
      <c r="A55" t="s">
        <v>68</v>
      </c>
      <c r="B55" t="s">
        <v>64</v>
      </c>
      <c r="C55" t="s">
        <v>51</v>
      </c>
      <c r="D55" t="s">
        <v>56</v>
      </c>
      <c r="E55" s="2">
        <v>2</v>
      </c>
      <c r="F55" s="3">
        <v>6.8965517241379309E-2</v>
      </c>
      <c r="G55" s="3">
        <v>0.3611111111111111</v>
      </c>
      <c r="H55" s="3">
        <v>5.2361111111111107</v>
      </c>
      <c r="I55" s="3">
        <v>0.85185185185185186</v>
      </c>
      <c r="J55" s="3">
        <v>0.19744962591969739</v>
      </c>
      <c r="K55" s="3">
        <v>0.37037037037037029</v>
      </c>
      <c r="L55" s="3">
        <v>0.10526315789473679</v>
      </c>
      <c r="M55" s="3">
        <v>1</v>
      </c>
      <c r="N55" s="3">
        <v>0.5</v>
      </c>
      <c r="O55" t="s">
        <v>73</v>
      </c>
    </row>
    <row r="56" spans="1:15">
      <c r="A56" t="s">
        <v>68</v>
      </c>
      <c r="B56" t="s">
        <v>64</v>
      </c>
      <c r="C56" t="s">
        <v>51</v>
      </c>
      <c r="D56" t="s">
        <v>57</v>
      </c>
      <c r="E56" s="2">
        <v>1</v>
      </c>
      <c r="F56" s="3">
        <v>3.4482758620689648E-2</v>
      </c>
      <c r="G56" s="3">
        <v>0.5</v>
      </c>
      <c r="H56" s="3">
        <v>14.5</v>
      </c>
      <c r="I56" s="3">
        <v>0.9642857142857143</v>
      </c>
      <c r="J56" s="3">
        <v>0.24174688920761411</v>
      </c>
      <c r="K56" s="3">
        <v>0.33333333333333331</v>
      </c>
      <c r="L56" s="3">
        <v>9.0909090909090912E-2</v>
      </c>
      <c r="M56" s="3">
        <v>1</v>
      </c>
      <c r="N56" s="3">
        <v>0.5838115606355907</v>
      </c>
      <c r="O56" t="s">
        <v>73</v>
      </c>
    </row>
    <row r="57" spans="1:15">
      <c r="A57" t="s">
        <v>68</v>
      </c>
      <c r="B57" t="s">
        <v>66</v>
      </c>
      <c r="C57" t="s">
        <v>51</v>
      </c>
      <c r="D57" t="s">
        <v>52</v>
      </c>
      <c r="E57" s="2">
        <v>1</v>
      </c>
      <c r="F57" s="3">
        <v>3.4482758620689648E-2</v>
      </c>
      <c r="G57" s="3">
        <v>0.2</v>
      </c>
      <c r="H57" s="3">
        <v>5.8000000000000007</v>
      </c>
      <c r="I57" s="3">
        <v>0.85714285714285721</v>
      </c>
      <c r="J57" s="3">
        <v>0</v>
      </c>
      <c r="K57" s="3">
        <v>0</v>
      </c>
      <c r="L57" s="3">
        <v>0</v>
      </c>
      <c r="M57" s="3">
        <v>0</v>
      </c>
      <c r="N57" s="3">
        <v>0.5</v>
      </c>
      <c r="O57" t="s">
        <v>74</v>
      </c>
    </row>
    <row r="58" spans="1:15">
      <c r="A58" t="s">
        <v>68</v>
      </c>
      <c r="B58" t="s">
        <v>66</v>
      </c>
      <c r="C58" t="s">
        <v>51</v>
      </c>
      <c r="D58" t="s">
        <v>54</v>
      </c>
      <c r="E58" s="2">
        <v>5</v>
      </c>
      <c r="F58" s="3">
        <v>0.17241379310344829</v>
      </c>
      <c r="G58" s="3">
        <v>0.5714285714285714</v>
      </c>
      <c r="H58" s="3">
        <v>3.3142857142857141</v>
      </c>
      <c r="I58" s="3">
        <v>0.84166666666666667</v>
      </c>
      <c r="J58" s="3">
        <v>0.34689095308660522</v>
      </c>
      <c r="K58" s="3">
        <v>0.41666666666666669</v>
      </c>
      <c r="L58" s="3">
        <v>0.5</v>
      </c>
      <c r="M58" s="3">
        <v>0.4</v>
      </c>
      <c r="N58" s="3">
        <v>0.39019918626607608</v>
      </c>
      <c r="O58" t="s">
        <v>74</v>
      </c>
    </row>
    <row r="59" spans="1:15">
      <c r="A59" t="s">
        <v>68</v>
      </c>
      <c r="B59" t="s">
        <v>66</v>
      </c>
      <c r="C59" t="s">
        <v>51</v>
      </c>
      <c r="D59" t="s">
        <v>55</v>
      </c>
      <c r="E59" s="2">
        <v>4</v>
      </c>
      <c r="F59" s="3">
        <v>0.13793103448275859</v>
      </c>
      <c r="G59" s="3">
        <v>0.95</v>
      </c>
      <c r="H59" s="3">
        <v>6.8875000000000002</v>
      </c>
      <c r="I59" s="3">
        <v>0.99</v>
      </c>
      <c r="J59" s="3">
        <v>0.8763560920082657</v>
      </c>
      <c r="K59" s="3">
        <v>0.95238095238095233</v>
      </c>
      <c r="L59" s="3">
        <v>0.8</v>
      </c>
      <c r="M59" s="3">
        <v>1</v>
      </c>
      <c r="N59" s="3">
        <v>0.3443019678635339</v>
      </c>
      <c r="O59" t="s">
        <v>74</v>
      </c>
    </row>
    <row r="60" spans="1:15">
      <c r="A60" t="s">
        <v>68</v>
      </c>
      <c r="B60" t="s">
        <v>66</v>
      </c>
      <c r="C60" t="s">
        <v>51</v>
      </c>
      <c r="D60" t="s">
        <v>56</v>
      </c>
      <c r="E60" s="2">
        <v>2</v>
      </c>
      <c r="F60" s="3">
        <v>6.8965517241379309E-2</v>
      </c>
      <c r="G60" s="3">
        <v>0.29545454545454553</v>
      </c>
      <c r="H60" s="3">
        <v>4.2840909090909092</v>
      </c>
      <c r="I60" s="3">
        <v>0.61111111111111116</v>
      </c>
      <c r="J60" s="3">
        <v>-5.1434449987363969E-2</v>
      </c>
      <c r="K60" s="3">
        <v>0</v>
      </c>
      <c r="L60" s="3">
        <v>0</v>
      </c>
      <c r="M60" s="3">
        <v>0</v>
      </c>
      <c r="N60" s="3">
        <v>0.5</v>
      </c>
      <c r="O60" t="s">
        <v>74</v>
      </c>
    </row>
    <row r="61" spans="1:15">
      <c r="A61" t="s">
        <v>68</v>
      </c>
      <c r="B61" t="s">
        <v>66</v>
      </c>
      <c r="C61" t="s">
        <v>51</v>
      </c>
      <c r="D61" t="s">
        <v>57</v>
      </c>
      <c r="E61" s="2">
        <v>1</v>
      </c>
      <c r="F61" s="3">
        <v>3.4482758620689648E-2</v>
      </c>
      <c r="G61" s="3">
        <v>0.33333333333333331</v>
      </c>
      <c r="H61" s="3">
        <v>9.6666666666666661</v>
      </c>
      <c r="I61" s="3">
        <v>0.9285714285714286</v>
      </c>
      <c r="J61" s="3">
        <v>0.22493385271060931</v>
      </c>
      <c r="K61" s="3">
        <v>0.3125</v>
      </c>
      <c r="L61" s="3">
        <v>8.3333333333333329E-2</v>
      </c>
      <c r="M61" s="3">
        <v>1</v>
      </c>
      <c r="N61" s="3">
        <v>0.2350762842752151</v>
      </c>
      <c r="O61" t="s">
        <v>74</v>
      </c>
    </row>
    <row r="62" spans="1:15">
      <c r="A62" t="s">
        <v>75</v>
      </c>
      <c r="B62" t="s">
        <v>50</v>
      </c>
      <c r="C62" t="s">
        <v>51</v>
      </c>
      <c r="D62" t="s">
        <v>52</v>
      </c>
      <c r="E62" s="2">
        <v>1</v>
      </c>
      <c r="F62" s="3">
        <v>3.4482758620689648E-2</v>
      </c>
      <c r="G62" s="3">
        <v>8.3333333333333329E-2</v>
      </c>
      <c r="H62" s="3">
        <v>2.416666666666667</v>
      </c>
      <c r="I62" s="3">
        <v>0.60714285714285721</v>
      </c>
      <c r="J62" s="3">
        <v>0</v>
      </c>
      <c r="K62" s="3">
        <v>0</v>
      </c>
      <c r="L62" s="3">
        <v>0</v>
      </c>
      <c r="M62" s="3">
        <v>0</v>
      </c>
      <c r="N62" s="3">
        <v>0.5</v>
      </c>
      <c r="O62" t="s">
        <v>76</v>
      </c>
    </row>
    <row r="63" spans="1:15">
      <c r="A63" t="s">
        <v>75</v>
      </c>
      <c r="B63" t="s">
        <v>50</v>
      </c>
      <c r="C63" t="s">
        <v>51</v>
      </c>
      <c r="D63" t="s">
        <v>54</v>
      </c>
      <c r="E63" s="2">
        <v>5</v>
      </c>
      <c r="F63" s="3">
        <v>0.17241379310344829</v>
      </c>
      <c r="G63" s="3">
        <v>0.79846153846153856</v>
      </c>
      <c r="H63" s="3">
        <v>4.6310769230769244</v>
      </c>
      <c r="I63" s="3">
        <v>0.81666666666666676</v>
      </c>
      <c r="J63" s="3">
        <v>0.41403933560541262</v>
      </c>
      <c r="K63" s="3">
        <v>0.23809523809523811</v>
      </c>
      <c r="L63" s="3">
        <v>1</v>
      </c>
      <c r="M63" s="3">
        <v>0.2</v>
      </c>
      <c r="N63" s="3">
        <v>0.65353875166207698</v>
      </c>
      <c r="O63" t="s">
        <v>76</v>
      </c>
    </row>
    <row r="64" spans="1:15">
      <c r="A64" t="s">
        <v>75</v>
      </c>
      <c r="B64" t="s">
        <v>50</v>
      </c>
      <c r="C64" t="s">
        <v>51</v>
      </c>
      <c r="D64" t="s">
        <v>55</v>
      </c>
      <c r="E64" s="2">
        <v>4</v>
      </c>
      <c r="F64" s="3">
        <v>0.13793103448275859</v>
      </c>
      <c r="G64" s="3">
        <v>0.95</v>
      </c>
      <c r="H64" s="3">
        <v>6.8875000000000002</v>
      </c>
      <c r="I64" s="3">
        <v>0.99</v>
      </c>
      <c r="J64" s="3">
        <v>0.84920777560844685</v>
      </c>
      <c r="K64" s="3">
        <v>0.78947368421052633</v>
      </c>
      <c r="L64" s="3">
        <v>1</v>
      </c>
      <c r="M64" s="3">
        <v>0.75</v>
      </c>
      <c r="N64" s="3">
        <v>0.65517710136408791</v>
      </c>
      <c r="O64" t="s">
        <v>76</v>
      </c>
    </row>
    <row r="65" spans="1:15">
      <c r="A65" t="s">
        <v>75</v>
      </c>
      <c r="B65" t="s">
        <v>50</v>
      </c>
      <c r="C65" t="s">
        <v>51</v>
      </c>
      <c r="D65" t="s">
        <v>56</v>
      </c>
      <c r="E65" s="2">
        <v>2</v>
      </c>
      <c r="F65" s="3">
        <v>6.8965517241379309E-2</v>
      </c>
      <c r="G65" s="3">
        <v>0.2019230769230769</v>
      </c>
      <c r="H65" s="3">
        <v>2.927884615384615</v>
      </c>
      <c r="I65" s="3">
        <v>0.7407407407407407</v>
      </c>
      <c r="J65" s="3">
        <v>-9.2450032704204849E-2</v>
      </c>
      <c r="K65" s="3">
        <v>0</v>
      </c>
      <c r="L65" s="3">
        <v>0</v>
      </c>
      <c r="M65" s="3">
        <v>0</v>
      </c>
      <c r="N65" s="3">
        <v>0.5</v>
      </c>
      <c r="O65" t="s">
        <v>76</v>
      </c>
    </row>
    <row r="66" spans="1:15">
      <c r="A66" t="s">
        <v>75</v>
      </c>
      <c r="B66" t="s">
        <v>50</v>
      </c>
      <c r="C66" t="s">
        <v>51</v>
      </c>
      <c r="D66" t="s">
        <v>57</v>
      </c>
      <c r="E66" s="2">
        <v>1</v>
      </c>
      <c r="F66" s="3">
        <v>3.4482758620689648E-2</v>
      </c>
      <c r="G66" s="3">
        <v>5.5555555555555552E-2</v>
      </c>
      <c r="H66" s="3">
        <v>1.6111111111111109</v>
      </c>
      <c r="I66" s="3">
        <v>0.3928571428571429</v>
      </c>
      <c r="J66" s="3">
        <v>7.5592894601845442E-2</v>
      </c>
      <c r="K66" s="3">
        <v>0.17241379310344829</v>
      </c>
      <c r="L66" s="3">
        <v>0.04</v>
      </c>
      <c r="M66" s="3">
        <v>1</v>
      </c>
      <c r="N66" s="3">
        <v>0.18316062289116969</v>
      </c>
      <c r="O66" t="s">
        <v>76</v>
      </c>
    </row>
    <row r="67" spans="1:15">
      <c r="A67" t="s">
        <v>75</v>
      </c>
      <c r="B67" t="s">
        <v>58</v>
      </c>
      <c r="C67" t="s">
        <v>51</v>
      </c>
      <c r="D67" t="s">
        <v>52</v>
      </c>
      <c r="E67" s="2">
        <v>1</v>
      </c>
      <c r="F67" s="3">
        <v>3.4482758620689648E-2</v>
      </c>
      <c r="G67" s="3">
        <v>1</v>
      </c>
      <c r="H67" s="3">
        <v>29</v>
      </c>
      <c r="I67" s="3">
        <v>1</v>
      </c>
      <c r="J67" s="3">
        <v>1</v>
      </c>
      <c r="K67" s="3">
        <v>1</v>
      </c>
      <c r="L67" s="3">
        <v>1</v>
      </c>
      <c r="M67" s="3">
        <v>1</v>
      </c>
      <c r="N67" s="3">
        <v>0.5</v>
      </c>
      <c r="O67" t="s">
        <v>77</v>
      </c>
    </row>
    <row r="68" spans="1:15">
      <c r="A68" t="s">
        <v>75</v>
      </c>
      <c r="B68" t="s">
        <v>58</v>
      </c>
      <c r="C68" t="s">
        <v>51</v>
      </c>
      <c r="D68" t="s">
        <v>54</v>
      </c>
      <c r="E68" s="2">
        <v>5</v>
      </c>
      <c r="F68" s="3">
        <v>0.17241379310344829</v>
      </c>
      <c r="G68" s="3">
        <v>0.56444444444444453</v>
      </c>
      <c r="H68" s="3">
        <v>3.2737777777777781</v>
      </c>
      <c r="I68" s="3">
        <v>0.81666666666666665</v>
      </c>
      <c r="J68" s="3">
        <v>0.23602939762497779</v>
      </c>
      <c r="K68" s="3">
        <v>0.22727272727272729</v>
      </c>
      <c r="L68" s="3">
        <v>0.5</v>
      </c>
      <c r="M68" s="3">
        <v>0.2</v>
      </c>
      <c r="N68" s="3">
        <v>0.86534679726739638</v>
      </c>
      <c r="O68" t="s">
        <v>77</v>
      </c>
    </row>
    <row r="69" spans="1:15">
      <c r="A69" t="s">
        <v>75</v>
      </c>
      <c r="B69" t="s">
        <v>58</v>
      </c>
      <c r="C69" t="s">
        <v>51</v>
      </c>
      <c r="D69" t="s">
        <v>55</v>
      </c>
      <c r="E69" s="2">
        <v>4</v>
      </c>
      <c r="F69" s="3">
        <v>0.13793103448275859</v>
      </c>
      <c r="G69" s="3">
        <v>0.62202380952380953</v>
      </c>
      <c r="H69" s="3">
        <v>4.5096726190476204</v>
      </c>
      <c r="I69" s="3">
        <v>0.94</v>
      </c>
      <c r="J69" s="3">
        <v>0.64807406984078608</v>
      </c>
      <c r="K69" s="3">
        <v>0.83333333333333337</v>
      </c>
      <c r="L69" s="3">
        <v>0.5</v>
      </c>
      <c r="M69" s="3">
        <v>1</v>
      </c>
      <c r="N69" s="3">
        <v>8.147071647731612E-5</v>
      </c>
      <c r="O69" t="s">
        <v>77</v>
      </c>
    </row>
    <row r="70" spans="1:15">
      <c r="A70" t="s">
        <v>75</v>
      </c>
      <c r="B70" t="s">
        <v>58</v>
      </c>
      <c r="C70" t="s">
        <v>51</v>
      </c>
      <c r="D70" t="s">
        <v>56</v>
      </c>
      <c r="E70" s="2">
        <v>2</v>
      </c>
      <c r="F70" s="3">
        <v>6.8965517241379309E-2</v>
      </c>
      <c r="G70" s="3">
        <v>0.19090909090909089</v>
      </c>
      <c r="H70" s="3">
        <v>2.768181818181819</v>
      </c>
      <c r="I70" s="3">
        <v>0.7592592592592593</v>
      </c>
      <c r="J70" s="3">
        <v>-9.2450032704204849E-2</v>
      </c>
      <c r="K70" s="3">
        <v>0</v>
      </c>
      <c r="L70" s="3">
        <v>0</v>
      </c>
      <c r="M70" s="3">
        <v>0</v>
      </c>
      <c r="N70" s="3">
        <v>0.5</v>
      </c>
      <c r="O70" t="s">
        <v>77</v>
      </c>
    </row>
    <row r="71" spans="1:15">
      <c r="A71" t="s">
        <v>75</v>
      </c>
      <c r="B71" t="s">
        <v>58</v>
      </c>
      <c r="C71" t="s">
        <v>51</v>
      </c>
      <c r="D71" t="s">
        <v>57</v>
      </c>
      <c r="E71" s="2">
        <v>1</v>
      </c>
      <c r="F71" s="3">
        <v>3.4482758620689648E-2</v>
      </c>
      <c r="G71" s="3">
        <v>0.16666666666666671</v>
      </c>
      <c r="H71" s="3">
        <v>4.833333333333333</v>
      </c>
      <c r="I71" s="3">
        <v>0.8214285714285714</v>
      </c>
      <c r="J71" s="3">
        <v>3.5714285714285712E-2</v>
      </c>
      <c r="K71" s="3">
        <v>0.15625</v>
      </c>
      <c r="L71" s="3">
        <v>3.5714285714285712E-2</v>
      </c>
      <c r="M71" s="3">
        <v>1</v>
      </c>
      <c r="N71" s="3">
        <v>1.3717343250462019E-15</v>
      </c>
      <c r="O71" t="s">
        <v>77</v>
      </c>
    </row>
    <row r="72" spans="1:15">
      <c r="A72" t="s">
        <v>75</v>
      </c>
      <c r="B72" t="s">
        <v>58</v>
      </c>
      <c r="C72" t="s">
        <v>78</v>
      </c>
      <c r="D72" t="s">
        <v>52</v>
      </c>
      <c r="E72" s="2">
        <v>1</v>
      </c>
      <c r="F72" s="3">
        <v>3.4482758620689648E-2</v>
      </c>
      <c r="G72" s="3">
        <v>1</v>
      </c>
      <c r="H72" s="3">
        <v>29</v>
      </c>
      <c r="I72" s="3">
        <v>1</v>
      </c>
      <c r="J72" s="3">
        <v>0</v>
      </c>
      <c r="K72" s="3">
        <v>0</v>
      </c>
      <c r="L72" s="3">
        <v>0</v>
      </c>
      <c r="M72" s="3">
        <v>0</v>
      </c>
      <c r="N72" s="3">
        <v>0.5</v>
      </c>
      <c r="O72" t="s">
        <v>79</v>
      </c>
    </row>
    <row r="73" spans="1:15">
      <c r="A73" t="s">
        <v>75</v>
      </c>
      <c r="B73" t="s">
        <v>58</v>
      </c>
      <c r="C73" t="s">
        <v>78</v>
      </c>
      <c r="D73" t="s">
        <v>54</v>
      </c>
      <c r="E73" s="2">
        <v>5</v>
      </c>
      <c r="F73" s="3">
        <v>0.17241379310344829</v>
      </c>
      <c r="G73" s="3">
        <v>0.25201465201465201</v>
      </c>
      <c r="H73" s="3">
        <v>1.461684981684982</v>
      </c>
      <c r="I73" s="3">
        <v>0.6166666666666667</v>
      </c>
      <c r="J73" s="3">
        <v>-8.6258194917794281E-2</v>
      </c>
      <c r="K73" s="3">
        <v>0</v>
      </c>
      <c r="L73" s="3">
        <v>0</v>
      </c>
      <c r="M73" s="3">
        <v>0</v>
      </c>
      <c r="N73" s="3">
        <v>0.98433465637154316</v>
      </c>
      <c r="O73" t="s">
        <v>79</v>
      </c>
    </row>
    <row r="74" spans="1:15">
      <c r="A74" t="s">
        <v>75</v>
      </c>
      <c r="B74" t="s">
        <v>58</v>
      </c>
      <c r="C74" t="s">
        <v>78</v>
      </c>
      <c r="D74" t="s">
        <v>55</v>
      </c>
      <c r="E74" s="2">
        <v>4</v>
      </c>
      <c r="F74" s="3">
        <v>0.13793103448275859</v>
      </c>
      <c r="G74" s="3">
        <v>0.74632352941176472</v>
      </c>
      <c r="H74" s="3">
        <v>5.4108455882352944</v>
      </c>
      <c r="I74" s="3">
        <v>0.8600000000000001</v>
      </c>
      <c r="J74" s="3">
        <v>0.30558769344304171</v>
      </c>
      <c r="K74" s="3">
        <v>0.55555555555555558</v>
      </c>
      <c r="L74" s="3">
        <v>0.27272727272727271</v>
      </c>
      <c r="M74" s="3">
        <v>0.75</v>
      </c>
      <c r="N74" s="3">
        <v>3.0690349581461021E-5</v>
      </c>
      <c r="O74" t="s">
        <v>79</v>
      </c>
    </row>
    <row r="75" spans="1:15">
      <c r="A75" t="s">
        <v>75</v>
      </c>
      <c r="B75" t="s">
        <v>58</v>
      </c>
      <c r="C75" t="s">
        <v>78</v>
      </c>
      <c r="D75" t="s">
        <v>56</v>
      </c>
      <c r="E75" s="2">
        <v>2</v>
      </c>
      <c r="F75" s="3">
        <v>6.8965517241379309E-2</v>
      </c>
      <c r="G75" s="3">
        <v>8.6805555555555552E-2</v>
      </c>
      <c r="H75" s="3">
        <v>1.258680555555556</v>
      </c>
      <c r="I75" s="3">
        <v>0.42592592592592587</v>
      </c>
      <c r="J75" s="3">
        <v>-0.1088662107903635</v>
      </c>
      <c r="K75" s="3">
        <v>0</v>
      </c>
      <c r="L75" s="3">
        <v>0</v>
      </c>
      <c r="M75" s="3">
        <v>0</v>
      </c>
      <c r="N75" s="3">
        <v>0.5</v>
      </c>
      <c r="O75" t="s">
        <v>79</v>
      </c>
    </row>
    <row r="76" spans="1:15">
      <c r="A76" t="s">
        <v>75</v>
      </c>
      <c r="B76" t="s">
        <v>58</v>
      </c>
      <c r="C76" t="s">
        <v>78</v>
      </c>
      <c r="D76" t="s">
        <v>57</v>
      </c>
      <c r="E76" s="2">
        <v>1</v>
      </c>
      <c r="F76" s="3">
        <v>3.4482758620689648E-2</v>
      </c>
      <c r="G76" s="3">
        <v>3.4482758620689648E-2</v>
      </c>
      <c r="H76" s="3">
        <v>1</v>
      </c>
      <c r="I76" s="3">
        <v>0</v>
      </c>
      <c r="J76" s="3">
        <v>-3.5714285714285712E-2</v>
      </c>
      <c r="K76" s="3">
        <v>0</v>
      </c>
      <c r="L76" s="3">
        <v>0</v>
      </c>
      <c r="M76" s="3">
        <v>0</v>
      </c>
      <c r="N76" s="3">
        <v>2.181571249068576E-2</v>
      </c>
      <c r="O76" t="s">
        <v>79</v>
      </c>
    </row>
    <row r="77" spans="1:15">
      <c r="A77" t="s">
        <v>75</v>
      </c>
      <c r="B77" t="s">
        <v>58</v>
      </c>
      <c r="C77" t="s">
        <v>80</v>
      </c>
      <c r="D77" t="s">
        <v>52</v>
      </c>
      <c r="E77" s="2">
        <v>1</v>
      </c>
      <c r="F77" s="3">
        <v>3.4482758620689648E-2</v>
      </c>
      <c r="G77" s="3">
        <v>1</v>
      </c>
      <c r="H77" s="3">
        <v>29</v>
      </c>
      <c r="I77" s="3">
        <v>1</v>
      </c>
      <c r="J77" s="3">
        <v>1</v>
      </c>
      <c r="K77" s="3">
        <v>1</v>
      </c>
      <c r="L77" s="3">
        <v>1</v>
      </c>
      <c r="M77" s="3">
        <v>1</v>
      </c>
      <c r="N77" s="3">
        <v>0.5</v>
      </c>
      <c r="O77" t="s">
        <v>81</v>
      </c>
    </row>
    <row r="78" spans="1:15">
      <c r="A78" t="s">
        <v>75</v>
      </c>
      <c r="B78" t="s">
        <v>58</v>
      </c>
      <c r="C78" t="s">
        <v>80</v>
      </c>
      <c r="D78" t="s">
        <v>54</v>
      </c>
      <c r="E78" s="2">
        <v>5</v>
      </c>
      <c r="F78" s="3">
        <v>0.17241379310344829</v>
      </c>
      <c r="G78" s="3">
        <v>0.38058608058608062</v>
      </c>
      <c r="H78" s="3">
        <v>2.2073992673992668</v>
      </c>
      <c r="I78" s="3">
        <v>0.77499999999999991</v>
      </c>
      <c r="J78" s="3">
        <v>-8.6258194917794281E-2</v>
      </c>
      <c r="K78" s="3">
        <v>0</v>
      </c>
      <c r="L78" s="3">
        <v>0</v>
      </c>
      <c r="M78" s="3">
        <v>0</v>
      </c>
      <c r="N78" s="3">
        <v>0.97973019612494427</v>
      </c>
      <c r="O78" t="s">
        <v>81</v>
      </c>
    </row>
    <row r="79" spans="1:15">
      <c r="A79" t="s">
        <v>75</v>
      </c>
      <c r="B79" t="s">
        <v>58</v>
      </c>
      <c r="C79" t="s">
        <v>80</v>
      </c>
      <c r="D79" t="s">
        <v>55</v>
      </c>
      <c r="E79" s="2">
        <v>4</v>
      </c>
      <c r="F79" s="3">
        <v>0.13793103448275859</v>
      </c>
      <c r="G79" s="3">
        <v>0.8041666666666667</v>
      </c>
      <c r="H79" s="3">
        <v>5.8302083333333332</v>
      </c>
      <c r="I79" s="3">
        <v>0.97</v>
      </c>
      <c r="J79" s="3">
        <v>0.64807406984078608</v>
      </c>
      <c r="K79" s="3">
        <v>0.83333333333333337</v>
      </c>
      <c r="L79" s="3">
        <v>0.5</v>
      </c>
      <c r="M79" s="3">
        <v>1</v>
      </c>
      <c r="N79" s="3">
        <v>3.6561354288859958E-6</v>
      </c>
      <c r="O79" t="s">
        <v>81</v>
      </c>
    </row>
    <row r="80" spans="1:15">
      <c r="A80" t="s">
        <v>75</v>
      </c>
      <c r="B80" t="s">
        <v>58</v>
      </c>
      <c r="C80" t="s">
        <v>80</v>
      </c>
      <c r="D80" t="s">
        <v>56</v>
      </c>
      <c r="E80" s="2">
        <v>2</v>
      </c>
      <c r="F80" s="3">
        <v>6.8965517241379309E-2</v>
      </c>
      <c r="G80" s="3">
        <v>0.1240601503759398</v>
      </c>
      <c r="H80" s="3">
        <v>1.7988721804511281</v>
      </c>
      <c r="I80" s="3">
        <v>0.57407407407407407</v>
      </c>
      <c r="J80" s="3">
        <v>-7.407407407407407E-2</v>
      </c>
      <c r="K80" s="3">
        <v>0</v>
      </c>
      <c r="L80" s="3">
        <v>0</v>
      </c>
      <c r="M80" s="3">
        <v>0</v>
      </c>
      <c r="N80" s="3">
        <v>0.5</v>
      </c>
      <c r="O80" t="s">
        <v>81</v>
      </c>
    </row>
    <row r="81" spans="1:15">
      <c r="A81" t="s">
        <v>75</v>
      </c>
      <c r="B81" t="s">
        <v>58</v>
      </c>
      <c r="C81" t="s">
        <v>80</v>
      </c>
      <c r="D81" t="s">
        <v>57</v>
      </c>
      <c r="E81" s="2">
        <v>1</v>
      </c>
      <c r="F81" s="3">
        <v>3.4482758620689648E-2</v>
      </c>
      <c r="G81" s="3">
        <v>3.5714285714285712E-2</v>
      </c>
      <c r="H81" s="3">
        <v>1.035714285714286</v>
      </c>
      <c r="I81" s="3">
        <v>3.5714285714285698E-2</v>
      </c>
      <c r="J81" s="3">
        <v>-3.5714285714285712E-2</v>
      </c>
      <c r="K81" s="3">
        <v>0</v>
      </c>
      <c r="L81" s="3">
        <v>0</v>
      </c>
      <c r="M81" s="3">
        <v>0</v>
      </c>
      <c r="N81" s="3">
        <v>0.16752527309722101</v>
      </c>
      <c r="O81" t="s">
        <v>81</v>
      </c>
    </row>
    <row r="82" spans="1:15">
      <c r="A82" t="s">
        <v>75</v>
      </c>
      <c r="B82" t="s">
        <v>60</v>
      </c>
      <c r="C82" t="s">
        <v>51</v>
      </c>
      <c r="D82" t="s">
        <v>52</v>
      </c>
      <c r="E82" s="2">
        <v>1</v>
      </c>
      <c r="F82" s="3">
        <v>3.4482758620689648E-2</v>
      </c>
      <c r="G82" s="3">
        <v>0.5</v>
      </c>
      <c r="H82" s="3">
        <v>14.5</v>
      </c>
      <c r="I82" s="3">
        <v>0.9642857142857143</v>
      </c>
      <c r="J82" s="3">
        <v>0</v>
      </c>
      <c r="K82" s="3">
        <v>0</v>
      </c>
      <c r="L82" s="3">
        <v>0</v>
      </c>
      <c r="M82" s="3">
        <v>0</v>
      </c>
      <c r="N82" s="3">
        <v>0.5</v>
      </c>
      <c r="O82" t="s">
        <v>82</v>
      </c>
    </row>
    <row r="83" spans="1:15">
      <c r="A83" t="s">
        <v>75</v>
      </c>
      <c r="B83" t="s">
        <v>60</v>
      </c>
      <c r="C83" t="s">
        <v>51</v>
      </c>
      <c r="D83" t="s">
        <v>54</v>
      </c>
      <c r="E83" s="2">
        <v>5</v>
      </c>
      <c r="F83" s="3">
        <v>0.17241379310344829</v>
      </c>
      <c r="G83" s="3">
        <v>0.69619047619047625</v>
      </c>
      <c r="H83" s="3">
        <v>4.0379047619047617</v>
      </c>
      <c r="I83" s="3">
        <v>0.93333333333333335</v>
      </c>
      <c r="J83" s="3">
        <v>0.41403933560541262</v>
      </c>
      <c r="K83" s="3">
        <v>0.23809523809523811</v>
      </c>
      <c r="L83" s="3">
        <v>1</v>
      </c>
      <c r="M83" s="3">
        <v>0.2</v>
      </c>
      <c r="N83" s="3">
        <v>0.73479064079984358</v>
      </c>
      <c r="O83" t="s">
        <v>82</v>
      </c>
    </row>
    <row r="84" spans="1:15">
      <c r="A84" t="s">
        <v>75</v>
      </c>
      <c r="B84" t="s">
        <v>60</v>
      </c>
      <c r="C84" t="s">
        <v>51</v>
      </c>
      <c r="D84" t="s">
        <v>55</v>
      </c>
      <c r="E84" s="2">
        <v>4</v>
      </c>
      <c r="F84" s="3">
        <v>0.13793103448275859</v>
      </c>
      <c r="G84" s="3">
        <v>0.89285714285714279</v>
      </c>
      <c r="H84" s="3">
        <v>6.4732142857142856</v>
      </c>
      <c r="I84" s="3">
        <v>0.97</v>
      </c>
      <c r="J84" s="3">
        <v>0.59628479399994394</v>
      </c>
      <c r="K84" s="3">
        <v>0.8</v>
      </c>
      <c r="L84" s="3">
        <v>0.44444444444444442</v>
      </c>
      <c r="M84" s="3">
        <v>1</v>
      </c>
      <c r="N84" s="3">
        <v>3.8854283039369178E-2</v>
      </c>
      <c r="O84" t="s">
        <v>82</v>
      </c>
    </row>
    <row r="85" spans="1:15">
      <c r="A85" t="s">
        <v>75</v>
      </c>
      <c r="B85" t="s">
        <v>60</v>
      </c>
      <c r="C85" t="s">
        <v>51</v>
      </c>
      <c r="D85" t="s">
        <v>56</v>
      </c>
      <c r="E85" s="2">
        <v>2</v>
      </c>
      <c r="F85" s="3">
        <v>6.8965517241379309E-2</v>
      </c>
      <c r="G85" s="3">
        <v>8.5714285714285715E-2</v>
      </c>
      <c r="H85" s="3">
        <v>1.2428571428571431</v>
      </c>
      <c r="I85" s="3">
        <v>0.35185185185185192</v>
      </c>
      <c r="J85" s="3">
        <v>-5.1434449987363969E-2</v>
      </c>
      <c r="K85" s="3">
        <v>0</v>
      </c>
      <c r="L85" s="3">
        <v>0</v>
      </c>
      <c r="M85" s="3">
        <v>0</v>
      </c>
      <c r="N85" s="3">
        <v>0.5</v>
      </c>
      <c r="O85" t="s">
        <v>82</v>
      </c>
    </row>
    <row r="86" spans="1:15">
      <c r="A86" t="s">
        <v>75</v>
      </c>
      <c r="B86" t="s">
        <v>60</v>
      </c>
      <c r="C86" t="s">
        <v>51</v>
      </c>
      <c r="D86" t="s">
        <v>57</v>
      </c>
      <c r="E86" s="2">
        <v>1</v>
      </c>
      <c r="F86" s="3">
        <v>3.4482758620689648E-2</v>
      </c>
      <c r="G86" s="3">
        <v>4.7619047619047623E-2</v>
      </c>
      <c r="H86" s="3">
        <v>1.3809523809523809</v>
      </c>
      <c r="I86" s="3">
        <v>0.2857142857142857</v>
      </c>
      <c r="J86" s="3">
        <v>-0.1166423687039609</v>
      </c>
      <c r="K86" s="3">
        <v>0</v>
      </c>
      <c r="L86" s="3">
        <v>0</v>
      </c>
      <c r="M86" s="3">
        <v>0</v>
      </c>
      <c r="N86" s="3">
        <v>0.36219667377483911</v>
      </c>
      <c r="O86" t="s">
        <v>82</v>
      </c>
    </row>
    <row r="87" spans="1:15">
      <c r="A87" t="s">
        <v>75</v>
      </c>
      <c r="B87" t="s">
        <v>62</v>
      </c>
      <c r="C87" t="s">
        <v>51</v>
      </c>
      <c r="D87" t="s">
        <v>52</v>
      </c>
      <c r="E87" s="2">
        <v>1</v>
      </c>
      <c r="F87" s="3">
        <v>3.4482758620689648E-2</v>
      </c>
      <c r="G87" s="3">
        <v>0.2</v>
      </c>
      <c r="H87" s="3">
        <v>5.8000000000000007</v>
      </c>
      <c r="I87" s="3">
        <v>0.85714285714285721</v>
      </c>
      <c r="J87" s="3">
        <v>0</v>
      </c>
      <c r="K87" s="3">
        <v>0</v>
      </c>
      <c r="L87" s="3">
        <v>0</v>
      </c>
      <c r="M87" s="3">
        <v>0</v>
      </c>
      <c r="N87" s="3">
        <v>0.5</v>
      </c>
      <c r="O87" t="s">
        <v>83</v>
      </c>
    </row>
    <row r="88" spans="1:15">
      <c r="A88" t="s">
        <v>75</v>
      </c>
      <c r="B88" t="s">
        <v>62</v>
      </c>
      <c r="C88" t="s">
        <v>51</v>
      </c>
      <c r="D88" t="s">
        <v>54</v>
      </c>
      <c r="E88" s="2">
        <v>5</v>
      </c>
      <c r="F88" s="3">
        <v>0.17241379310344829</v>
      </c>
      <c r="G88" s="3">
        <v>0.73650793650793656</v>
      </c>
      <c r="H88" s="3">
        <v>4.2717460317460318</v>
      </c>
      <c r="I88" s="3">
        <v>0.82499999999999996</v>
      </c>
      <c r="J88" s="3">
        <v>0.74420840753525075</v>
      </c>
      <c r="K88" s="3">
        <v>0.65217391304347827</v>
      </c>
      <c r="L88" s="3">
        <v>1</v>
      </c>
      <c r="M88" s="3">
        <v>0.6</v>
      </c>
      <c r="N88" s="3">
        <v>0.60565104512713086</v>
      </c>
      <c r="O88" t="s">
        <v>83</v>
      </c>
    </row>
    <row r="89" spans="1:15">
      <c r="A89" t="s">
        <v>75</v>
      </c>
      <c r="B89" t="s">
        <v>62</v>
      </c>
      <c r="C89" t="s">
        <v>51</v>
      </c>
      <c r="D89" t="s">
        <v>55</v>
      </c>
      <c r="E89" s="2">
        <v>4</v>
      </c>
      <c r="F89" s="3">
        <v>0.13793103448275859</v>
      </c>
      <c r="G89" s="3">
        <v>0.91666666666666663</v>
      </c>
      <c r="H89" s="3">
        <v>6.645833333333333</v>
      </c>
      <c r="I89" s="3">
        <v>0.98</v>
      </c>
      <c r="J89" s="3">
        <v>0.59628479399994394</v>
      </c>
      <c r="K89" s="3">
        <v>0.8</v>
      </c>
      <c r="L89" s="3">
        <v>0.44444444444444442</v>
      </c>
      <c r="M89" s="3">
        <v>1</v>
      </c>
      <c r="N89" s="3">
        <v>6.7831549391375145E-2</v>
      </c>
      <c r="O89" t="s">
        <v>83</v>
      </c>
    </row>
    <row r="90" spans="1:15">
      <c r="A90" t="s">
        <v>75</v>
      </c>
      <c r="B90" t="s">
        <v>62</v>
      </c>
      <c r="C90" t="s">
        <v>51</v>
      </c>
      <c r="D90" t="s">
        <v>56</v>
      </c>
      <c r="E90" s="2">
        <v>2</v>
      </c>
      <c r="F90" s="3">
        <v>6.8965517241379309E-2</v>
      </c>
      <c r="G90" s="3">
        <v>0.29166666666666657</v>
      </c>
      <c r="H90" s="3">
        <v>4.2291666666666661</v>
      </c>
      <c r="I90" s="3">
        <v>0.85185185185185186</v>
      </c>
      <c r="J90" s="3">
        <v>0</v>
      </c>
      <c r="K90" s="3">
        <v>0</v>
      </c>
      <c r="L90" s="3">
        <v>0</v>
      </c>
      <c r="M90" s="3">
        <v>0</v>
      </c>
      <c r="N90" s="3">
        <v>0.5</v>
      </c>
      <c r="O90" t="s">
        <v>83</v>
      </c>
    </row>
    <row r="91" spans="1:15">
      <c r="A91" t="s">
        <v>75</v>
      </c>
      <c r="B91" t="s">
        <v>62</v>
      </c>
      <c r="C91" t="s">
        <v>51</v>
      </c>
      <c r="D91" t="s">
        <v>57</v>
      </c>
      <c r="E91" s="2">
        <v>1</v>
      </c>
      <c r="F91" s="3">
        <v>3.4482758620689648E-2</v>
      </c>
      <c r="G91" s="3">
        <v>0.125</v>
      </c>
      <c r="H91" s="3">
        <v>3.625</v>
      </c>
      <c r="I91" s="3">
        <v>0.75</v>
      </c>
      <c r="J91" s="3">
        <v>0.1371021242767704</v>
      </c>
      <c r="K91" s="3">
        <v>0.21739130434782611</v>
      </c>
      <c r="L91" s="3">
        <v>5.2631578947368418E-2</v>
      </c>
      <c r="M91" s="3">
        <v>1</v>
      </c>
      <c r="N91" s="3">
        <v>1.002933539646729E-2</v>
      </c>
      <c r="O91" t="s">
        <v>83</v>
      </c>
    </row>
    <row r="92" spans="1:15">
      <c r="A92" t="s">
        <v>75</v>
      </c>
      <c r="B92" t="s">
        <v>64</v>
      </c>
      <c r="C92" t="s">
        <v>51</v>
      </c>
      <c r="D92" t="s">
        <v>52</v>
      </c>
      <c r="E92" s="2">
        <v>1</v>
      </c>
      <c r="F92" s="3">
        <v>3.4482758620689648E-2</v>
      </c>
      <c r="G92" s="3">
        <v>0.33333333333333331</v>
      </c>
      <c r="H92" s="3">
        <v>9.6666666666666661</v>
      </c>
      <c r="I92" s="3">
        <v>0.9285714285714286</v>
      </c>
      <c r="J92" s="3">
        <v>0.47245559126153402</v>
      </c>
      <c r="K92" s="3">
        <v>0.625</v>
      </c>
      <c r="L92" s="3">
        <v>0.25</v>
      </c>
      <c r="M92" s="3">
        <v>1</v>
      </c>
      <c r="N92" s="3">
        <v>0.5</v>
      </c>
      <c r="O92" t="s">
        <v>84</v>
      </c>
    </row>
    <row r="93" spans="1:15">
      <c r="A93" t="s">
        <v>75</v>
      </c>
      <c r="B93" t="s">
        <v>64</v>
      </c>
      <c r="C93" t="s">
        <v>51</v>
      </c>
      <c r="D93" t="s">
        <v>54</v>
      </c>
      <c r="E93" s="2">
        <v>5</v>
      </c>
      <c r="F93" s="3">
        <v>0.17241379310344829</v>
      </c>
      <c r="G93" s="3">
        <v>0.48781609195402298</v>
      </c>
      <c r="H93" s="3">
        <v>2.829333333333333</v>
      </c>
      <c r="I93" s="3">
        <v>0.7416666666666667</v>
      </c>
      <c r="J93" s="3">
        <v>0</v>
      </c>
      <c r="K93" s="3">
        <v>0</v>
      </c>
      <c r="L93" s="3">
        <v>0</v>
      </c>
      <c r="M93" s="3">
        <v>0</v>
      </c>
      <c r="N93" s="3">
        <v>0.77049086048974469</v>
      </c>
      <c r="O93" t="s">
        <v>84</v>
      </c>
    </row>
    <row r="94" spans="1:15">
      <c r="A94" t="s">
        <v>75</v>
      </c>
      <c r="B94" t="s">
        <v>64</v>
      </c>
      <c r="C94" t="s">
        <v>51</v>
      </c>
      <c r="D94" t="s">
        <v>55</v>
      </c>
      <c r="E94" s="2">
        <v>4</v>
      </c>
      <c r="F94" s="3">
        <v>0.13793103448275859</v>
      </c>
      <c r="G94" s="3">
        <v>0.77083333333333326</v>
      </c>
      <c r="H94" s="3">
        <v>5.5885416666666661</v>
      </c>
      <c r="I94" s="3">
        <v>0.96000000000000008</v>
      </c>
      <c r="J94" s="3">
        <v>0.70912420834233469</v>
      </c>
      <c r="K94" s="3">
        <v>0.86956521739130432</v>
      </c>
      <c r="L94" s="3">
        <v>0.5714285714285714</v>
      </c>
      <c r="M94" s="3">
        <v>1</v>
      </c>
      <c r="N94" s="3">
        <v>0.34310780477284292</v>
      </c>
      <c r="O94" t="s">
        <v>84</v>
      </c>
    </row>
    <row r="95" spans="1:15">
      <c r="A95" t="s">
        <v>75</v>
      </c>
      <c r="B95" t="s">
        <v>64</v>
      </c>
      <c r="C95" t="s">
        <v>51</v>
      </c>
      <c r="D95" t="s">
        <v>56</v>
      </c>
      <c r="E95" s="2">
        <v>2</v>
      </c>
      <c r="F95" s="3">
        <v>6.8965517241379309E-2</v>
      </c>
      <c r="G95" s="3">
        <v>0.1825396825396825</v>
      </c>
      <c r="H95" s="3">
        <v>2.6468253968253972</v>
      </c>
      <c r="I95" s="3">
        <v>0.75925925925925919</v>
      </c>
      <c r="J95" s="3">
        <v>0.3481553119113957</v>
      </c>
      <c r="K95" s="3">
        <v>0.52631578947368418</v>
      </c>
      <c r="L95" s="3">
        <v>0.1818181818181818</v>
      </c>
      <c r="M95" s="3">
        <v>1</v>
      </c>
      <c r="N95" s="3">
        <v>0.5</v>
      </c>
      <c r="O95" t="s">
        <v>84</v>
      </c>
    </row>
    <row r="96" spans="1:15">
      <c r="A96" t="s">
        <v>75</v>
      </c>
      <c r="B96" t="s">
        <v>64</v>
      </c>
      <c r="C96" t="s">
        <v>51</v>
      </c>
      <c r="D96" t="s">
        <v>57</v>
      </c>
      <c r="E96" s="2">
        <v>1</v>
      </c>
      <c r="F96" s="3">
        <v>3.4482758620689648E-2</v>
      </c>
      <c r="G96" s="3">
        <v>9.0909090909090912E-2</v>
      </c>
      <c r="H96" s="3">
        <v>2.6363636363636371</v>
      </c>
      <c r="I96" s="3">
        <v>0.64285714285714279</v>
      </c>
      <c r="J96" s="3">
        <v>5.1434449987363969E-2</v>
      </c>
      <c r="K96" s="3">
        <v>0.16129032258064521</v>
      </c>
      <c r="L96" s="3">
        <v>3.7037037037037028E-2</v>
      </c>
      <c r="M96" s="3">
        <v>1</v>
      </c>
      <c r="N96" s="3">
        <v>1.982061271597842E-2</v>
      </c>
      <c r="O96" t="s">
        <v>84</v>
      </c>
    </row>
    <row r="97" spans="1:15">
      <c r="A97" t="s">
        <v>75</v>
      </c>
      <c r="B97" t="s">
        <v>66</v>
      </c>
      <c r="C97" t="s">
        <v>51</v>
      </c>
      <c r="D97" t="s">
        <v>52</v>
      </c>
      <c r="E97" s="2">
        <v>1</v>
      </c>
      <c r="F97" s="3">
        <v>3.4482758620689648E-2</v>
      </c>
      <c r="G97" s="3">
        <v>0.25</v>
      </c>
      <c r="H97" s="3">
        <v>7.25</v>
      </c>
      <c r="I97" s="3">
        <v>0.8928571428571429</v>
      </c>
      <c r="J97" s="3">
        <v>0</v>
      </c>
      <c r="K97" s="3">
        <v>0</v>
      </c>
      <c r="L97" s="3">
        <v>0</v>
      </c>
      <c r="M97" s="3">
        <v>0</v>
      </c>
      <c r="N97" s="3">
        <v>0.5</v>
      </c>
      <c r="O97" t="s">
        <v>85</v>
      </c>
    </row>
    <row r="98" spans="1:15">
      <c r="A98" t="s">
        <v>75</v>
      </c>
      <c r="B98" t="s">
        <v>66</v>
      </c>
      <c r="C98" t="s">
        <v>51</v>
      </c>
      <c r="D98" t="s">
        <v>54</v>
      </c>
      <c r="E98" s="2">
        <v>5</v>
      </c>
      <c r="F98" s="3">
        <v>0.17241379310344829</v>
      </c>
      <c r="G98" s="3">
        <v>0.59090909090909083</v>
      </c>
      <c r="H98" s="3">
        <v>3.4272727272727259</v>
      </c>
      <c r="I98" s="3">
        <v>0.875</v>
      </c>
      <c r="J98" s="3">
        <v>0.1447071903540765</v>
      </c>
      <c r="K98" s="3">
        <v>0.21739130434782611</v>
      </c>
      <c r="L98" s="3">
        <v>0.33333333333333331</v>
      </c>
      <c r="M98" s="3">
        <v>0.2</v>
      </c>
      <c r="N98" s="3">
        <v>0.3581095119631274</v>
      </c>
      <c r="O98" t="s">
        <v>85</v>
      </c>
    </row>
    <row r="99" spans="1:15">
      <c r="A99" t="s">
        <v>75</v>
      </c>
      <c r="B99" t="s">
        <v>66</v>
      </c>
      <c r="C99" t="s">
        <v>51</v>
      </c>
      <c r="D99" t="s">
        <v>55</v>
      </c>
      <c r="E99" s="2">
        <v>4</v>
      </c>
      <c r="F99" s="3">
        <v>0.13793103448275859</v>
      </c>
      <c r="G99" s="3">
        <v>0.95</v>
      </c>
      <c r="H99" s="3">
        <v>6.8875000000000002</v>
      </c>
      <c r="I99" s="3">
        <v>0.99</v>
      </c>
      <c r="J99" s="3">
        <v>0.8763560920082657</v>
      </c>
      <c r="K99" s="3">
        <v>0.95238095238095233</v>
      </c>
      <c r="L99" s="3">
        <v>0.8</v>
      </c>
      <c r="M99" s="3">
        <v>1</v>
      </c>
      <c r="N99" s="3">
        <v>0.3076170221237351</v>
      </c>
      <c r="O99" t="s">
        <v>85</v>
      </c>
    </row>
    <row r="100" spans="1:15">
      <c r="A100" t="s">
        <v>75</v>
      </c>
      <c r="B100" t="s">
        <v>66</v>
      </c>
      <c r="C100" t="s">
        <v>51</v>
      </c>
      <c r="D100" t="s">
        <v>56</v>
      </c>
      <c r="E100" s="2">
        <v>2</v>
      </c>
      <c r="F100" s="3">
        <v>6.8965517241379309E-2</v>
      </c>
      <c r="G100" s="3">
        <v>0.22549019607843129</v>
      </c>
      <c r="H100" s="3">
        <v>3.2696078431372539</v>
      </c>
      <c r="I100" s="3">
        <v>0.68518518518518512</v>
      </c>
      <c r="J100" s="3">
        <v>0</v>
      </c>
      <c r="K100" s="3">
        <v>0</v>
      </c>
      <c r="L100" s="3">
        <v>0</v>
      </c>
      <c r="M100" s="3">
        <v>0</v>
      </c>
      <c r="N100" s="3">
        <v>0.5</v>
      </c>
      <c r="O100" t="s">
        <v>85</v>
      </c>
    </row>
    <row r="101" spans="1:15">
      <c r="A101" t="s">
        <v>75</v>
      </c>
      <c r="B101" t="s">
        <v>66</v>
      </c>
      <c r="C101" t="s">
        <v>51</v>
      </c>
      <c r="D101" t="s">
        <v>57</v>
      </c>
      <c r="E101" s="2">
        <v>1</v>
      </c>
      <c r="F101" s="3">
        <v>3.4482758620689648E-2</v>
      </c>
      <c r="G101" s="3">
        <v>0.1111111111111111</v>
      </c>
      <c r="H101" s="3">
        <v>3.2222222222222219</v>
      </c>
      <c r="I101" s="3">
        <v>0.7142857142857143</v>
      </c>
      <c r="J101" s="3">
        <v>0.17034628596731169</v>
      </c>
      <c r="K101" s="3">
        <v>0.25</v>
      </c>
      <c r="L101" s="3">
        <v>6.25E-2</v>
      </c>
      <c r="M101" s="3">
        <v>1</v>
      </c>
      <c r="N101" s="3">
        <v>0.15411816279924709</v>
      </c>
      <c r="O101" t="s">
        <v>85</v>
      </c>
    </row>
  </sheetData>
  <autoFilter ref="A1:O101" xr:uid="{00000000-0009-0000-0000-000001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0" customWidth="1"/>
    <col min="2" max="2" width="11" customWidth="1"/>
    <col min="3" max="10" width="20" customWidth="1"/>
    <col min="11" max="11" width="65" customWidth="1"/>
  </cols>
  <sheetData>
    <row r="1" spans="1:11">
      <c r="A1" s="1" t="s">
        <v>36</v>
      </c>
      <c r="B1" s="1" t="s">
        <v>37</v>
      </c>
      <c r="C1" s="1" t="s">
        <v>38</v>
      </c>
      <c r="D1" s="1" t="s">
        <v>42</v>
      </c>
      <c r="E1" s="1" t="s">
        <v>32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</row>
    <row r="2" spans="1:11">
      <c r="A2" t="s">
        <v>49</v>
      </c>
      <c r="B2" t="s">
        <v>50</v>
      </c>
      <c r="C2" t="s">
        <v>51</v>
      </c>
      <c r="D2" s="3">
        <v>0.35047301430453609</v>
      </c>
      <c r="E2" s="3">
        <v>7.0370987965838507</v>
      </c>
      <c r="F2" s="3">
        <v>0.50078835978835978</v>
      </c>
      <c r="G2" s="3">
        <v>4.3343865709575748E-2</v>
      </c>
      <c r="H2" s="3">
        <v>0.1406423034330011</v>
      </c>
      <c r="I2" s="3">
        <v>0.2296296296296296</v>
      </c>
      <c r="J2" s="3">
        <v>0.24</v>
      </c>
      <c r="K2" t="s">
        <v>53</v>
      </c>
    </row>
    <row r="3" spans="1:11">
      <c r="A3" t="s">
        <v>49</v>
      </c>
      <c r="B3" t="s">
        <v>58</v>
      </c>
      <c r="C3" t="s">
        <v>51</v>
      </c>
      <c r="D3" s="3">
        <v>0.1593333333333333</v>
      </c>
      <c r="E3" s="3">
        <v>1.852133333333333</v>
      </c>
      <c r="F3" s="3">
        <v>0.74618518518518528</v>
      </c>
      <c r="G3" s="3">
        <v>3.9142857142857153E-2</v>
      </c>
      <c r="H3" s="3">
        <v>0.23085179193628669</v>
      </c>
      <c r="I3" s="3">
        <v>7.3625615763546801E-2</v>
      </c>
      <c r="J3" s="3">
        <v>0.6</v>
      </c>
      <c r="K3" t="s">
        <v>59</v>
      </c>
    </row>
    <row r="4" spans="1:11">
      <c r="A4" t="s">
        <v>49</v>
      </c>
      <c r="B4" t="s">
        <v>60</v>
      </c>
      <c r="C4" t="s">
        <v>51</v>
      </c>
      <c r="D4" s="3">
        <v>0.45101154401154397</v>
      </c>
      <c r="E4" s="3">
        <v>7.8679740981240984</v>
      </c>
      <c r="F4" s="3">
        <v>0.70661904761904759</v>
      </c>
      <c r="G4" s="3">
        <v>0.34031698924050302</v>
      </c>
      <c r="H4" s="3">
        <v>0.40922266139657443</v>
      </c>
      <c r="I4" s="3">
        <v>0.39340659340659351</v>
      </c>
      <c r="J4" s="3">
        <v>0.59000000000000008</v>
      </c>
      <c r="K4" t="s">
        <v>61</v>
      </c>
    </row>
    <row r="5" spans="1:11">
      <c r="A5" t="s">
        <v>49</v>
      </c>
      <c r="B5" t="s">
        <v>62</v>
      </c>
      <c r="C5" t="s">
        <v>51</v>
      </c>
      <c r="D5" s="3">
        <v>0.29631148078974162</v>
      </c>
      <c r="E5" s="3">
        <v>2.8051595718291371</v>
      </c>
      <c r="F5" s="3">
        <v>0.58257671957671953</v>
      </c>
      <c r="G5" s="3">
        <v>2.137060692458383E-2</v>
      </c>
      <c r="H5" s="3">
        <v>9.0909090909090912E-2</v>
      </c>
      <c r="I5" s="3">
        <v>6.6666666666666666E-2</v>
      </c>
      <c r="J5" s="3">
        <v>0.1</v>
      </c>
      <c r="K5" t="s">
        <v>63</v>
      </c>
    </row>
    <row r="6" spans="1:11">
      <c r="A6" t="s">
        <v>49</v>
      </c>
      <c r="B6" t="s">
        <v>64</v>
      </c>
      <c r="C6" t="s">
        <v>51</v>
      </c>
      <c r="D6" s="3">
        <v>0.32476556776556781</v>
      </c>
      <c r="E6" s="3">
        <v>4.6937987179487184</v>
      </c>
      <c r="F6" s="3">
        <v>0.62150793650793656</v>
      </c>
      <c r="G6" s="3">
        <v>6.6458760815143347E-2</v>
      </c>
      <c r="H6" s="3">
        <v>0.22142857142857139</v>
      </c>
      <c r="I6" s="3">
        <v>0.14357142857142849</v>
      </c>
      <c r="J6" s="3">
        <v>0.27</v>
      </c>
      <c r="K6" t="s">
        <v>65</v>
      </c>
    </row>
    <row r="7" spans="1:11">
      <c r="A7" t="s">
        <v>49</v>
      </c>
      <c r="B7" t="s">
        <v>66</v>
      </c>
      <c r="C7" t="s">
        <v>51</v>
      </c>
      <c r="D7" s="3">
        <v>0.39474386724386729</v>
      </c>
      <c r="E7" s="3">
        <v>7.3558259379509376</v>
      </c>
      <c r="F7" s="3">
        <v>0.61192063492063486</v>
      </c>
      <c r="G7" s="3">
        <v>-1.342967650376148E-2</v>
      </c>
      <c r="H7" s="3">
        <v>9.5238095238095233E-2</v>
      </c>
      <c r="I7" s="3">
        <v>0.08</v>
      </c>
      <c r="J7" s="3">
        <v>0.1</v>
      </c>
      <c r="K7" t="s">
        <v>67</v>
      </c>
    </row>
    <row r="8" spans="1:11">
      <c r="A8" t="s">
        <v>68</v>
      </c>
      <c r="B8" t="s">
        <v>50</v>
      </c>
      <c r="C8" t="s">
        <v>51</v>
      </c>
      <c r="D8" s="3">
        <v>0.51899178981937599</v>
      </c>
      <c r="E8" s="3">
        <v>6.9327476190476194</v>
      </c>
      <c r="F8" s="3">
        <v>0.88436507936507947</v>
      </c>
      <c r="G8" s="3">
        <v>0.30247495482338621</v>
      </c>
      <c r="H8" s="3">
        <v>0.32439782439782439</v>
      </c>
      <c r="I8" s="3">
        <v>0.32222222222222219</v>
      </c>
      <c r="J8" s="3">
        <v>0.45</v>
      </c>
      <c r="K8" t="s">
        <v>69</v>
      </c>
    </row>
    <row r="9" spans="1:11">
      <c r="A9" t="s">
        <v>68</v>
      </c>
      <c r="B9" t="s">
        <v>58</v>
      </c>
      <c r="C9" t="s">
        <v>51</v>
      </c>
      <c r="D9" s="3">
        <v>0.17903310415075119</v>
      </c>
      <c r="E9" s="3">
        <v>2.2324930353959771</v>
      </c>
      <c r="F9" s="3">
        <v>0.71179629629629626</v>
      </c>
      <c r="G9" s="3">
        <v>0.15187359472100789</v>
      </c>
      <c r="H9" s="3">
        <v>0.34793907603322849</v>
      </c>
      <c r="I9" s="3">
        <v>0.13061272061272061</v>
      </c>
      <c r="J9" s="3">
        <v>0.71</v>
      </c>
      <c r="K9" t="s">
        <v>70</v>
      </c>
    </row>
    <row r="10" spans="1:11">
      <c r="A10" t="s">
        <v>68</v>
      </c>
      <c r="B10" t="s">
        <v>60</v>
      </c>
      <c r="C10" t="s">
        <v>51</v>
      </c>
      <c r="D10" s="3">
        <v>0.55888888888888888</v>
      </c>
      <c r="E10" s="3">
        <v>6.980944444444444</v>
      </c>
      <c r="F10" s="3">
        <v>0.90486243386243381</v>
      </c>
      <c r="G10" s="3">
        <v>0.2072029616492195</v>
      </c>
      <c r="H10" s="3">
        <v>0.25183512140033881</v>
      </c>
      <c r="I10" s="3">
        <v>0.32118226600985222</v>
      </c>
      <c r="J10" s="3">
        <v>0.44000000000000011</v>
      </c>
      <c r="K10" t="s">
        <v>71</v>
      </c>
    </row>
    <row r="11" spans="1:11">
      <c r="A11" t="s">
        <v>68</v>
      </c>
      <c r="B11" t="s">
        <v>62</v>
      </c>
      <c r="C11" t="s">
        <v>51</v>
      </c>
      <c r="D11" s="3">
        <v>0.53796798029556636</v>
      </c>
      <c r="E11" s="3">
        <v>7.9060773809523814</v>
      </c>
      <c r="F11" s="3">
        <v>0.89624338624338618</v>
      </c>
      <c r="G11" s="3">
        <v>0.32904723447587247</v>
      </c>
      <c r="H11" s="3">
        <v>0.35169082125603868</v>
      </c>
      <c r="I11" s="3">
        <v>0.33246753246753252</v>
      </c>
      <c r="J11" s="3">
        <v>0.5</v>
      </c>
      <c r="K11" t="s">
        <v>72</v>
      </c>
    </row>
    <row r="12" spans="1:11">
      <c r="A12" t="s">
        <v>68</v>
      </c>
      <c r="B12" t="s">
        <v>64</v>
      </c>
      <c r="C12" t="s">
        <v>51</v>
      </c>
      <c r="D12" s="3">
        <v>0.53419841269841262</v>
      </c>
      <c r="E12" s="3">
        <v>7.8507257936507928</v>
      </c>
      <c r="F12" s="3">
        <v>0.89660846560846574</v>
      </c>
      <c r="G12" s="3">
        <v>0.29090138826350859</v>
      </c>
      <c r="H12" s="3">
        <v>0.39798711755233501</v>
      </c>
      <c r="I12" s="3">
        <v>0.1785201640464798</v>
      </c>
      <c r="J12" s="3">
        <v>0.8</v>
      </c>
      <c r="K12" t="s">
        <v>73</v>
      </c>
    </row>
    <row r="13" spans="1:11">
      <c r="A13" t="s">
        <v>68</v>
      </c>
      <c r="B13" t="s">
        <v>66</v>
      </c>
      <c r="C13" t="s">
        <v>51</v>
      </c>
      <c r="D13" s="3">
        <v>0.4700432900432901</v>
      </c>
      <c r="E13" s="3">
        <v>5.9905086580086584</v>
      </c>
      <c r="F13" s="3">
        <v>0.84569841269841262</v>
      </c>
      <c r="G13" s="3">
        <v>0.27934928956362332</v>
      </c>
      <c r="H13" s="3">
        <v>0.33630952380952378</v>
      </c>
      <c r="I13" s="3">
        <v>0.27666666666666673</v>
      </c>
      <c r="J13" s="3">
        <v>0.48</v>
      </c>
      <c r="K13" t="s">
        <v>74</v>
      </c>
    </row>
    <row r="14" spans="1:11">
      <c r="A14" t="s">
        <v>75</v>
      </c>
      <c r="B14" t="s">
        <v>50</v>
      </c>
      <c r="C14" t="s">
        <v>51</v>
      </c>
      <c r="D14" s="3">
        <v>0.41785470085470078</v>
      </c>
      <c r="E14" s="3">
        <v>3.6948478632478632</v>
      </c>
      <c r="F14" s="3">
        <v>0.70948148148148149</v>
      </c>
      <c r="G14" s="3">
        <v>0.24927799462229999</v>
      </c>
      <c r="H14" s="3">
        <v>0.23999654308184251</v>
      </c>
      <c r="I14" s="3">
        <v>0.40799999999999997</v>
      </c>
      <c r="J14" s="3">
        <v>0.39</v>
      </c>
      <c r="K14" t="s">
        <v>76</v>
      </c>
    </row>
    <row r="15" spans="1:11">
      <c r="A15" t="s">
        <v>75</v>
      </c>
      <c r="B15" t="s">
        <v>58</v>
      </c>
      <c r="C15" t="s">
        <v>51</v>
      </c>
      <c r="D15" s="3">
        <v>0.50880880230880232</v>
      </c>
      <c r="E15" s="3">
        <v>8.8769931096681098</v>
      </c>
      <c r="F15" s="3">
        <v>0.8674708994708995</v>
      </c>
      <c r="G15" s="3">
        <v>0.36547354409516902</v>
      </c>
      <c r="H15" s="3">
        <v>0.44337121212121211</v>
      </c>
      <c r="I15" s="3">
        <v>0.40714285714285708</v>
      </c>
      <c r="J15" s="3">
        <v>0.64</v>
      </c>
      <c r="K15" t="s">
        <v>77</v>
      </c>
    </row>
    <row r="16" spans="1:11">
      <c r="A16" t="s">
        <v>75</v>
      </c>
      <c r="B16" t="s">
        <v>58</v>
      </c>
      <c r="C16" t="s">
        <v>78</v>
      </c>
      <c r="D16" s="3">
        <v>0.42392529912053228</v>
      </c>
      <c r="E16" s="3">
        <v>7.6262422250951669</v>
      </c>
      <c r="F16" s="3">
        <v>0.58051851851851854</v>
      </c>
      <c r="G16" s="3">
        <v>1.494980040411964E-2</v>
      </c>
      <c r="H16" s="3">
        <v>0.1111111111111111</v>
      </c>
      <c r="I16" s="3">
        <v>5.4545454545454543E-2</v>
      </c>
      <c r="J16" s="3">
        <v>0.15</v>
      </c>
      <c r="K16" t="s">
        <v>79</v>
      </c>
    </row>
    <row r="17" spans="1:11">
      <c r="A17" t="s">
        <v>75</v>
      </c>
      <c r="B17" t="s">
        <v>58</v>
      </c>
      <c r="C17" t="s">
        <v>80</v>
      </c>
      <c r="D17" s="3">
        <v>0.46890543666859452</v>
      </c>
      <c r="E17" s="3">
        <v>7.974438813379602</v>
      </c>
      <c r="F17" s="3">
        <v>0.67095767195767197</v>
      </c>
      <c r="G17" s="3">
        <v>0.29040550302692641</v>
      </c>
      <c r="H17" s="3">
        <v>0.3666666666666667</v>
      </c>
      <c r="I17" s="3">
        <v>0.3</v>
      </c>
      <c r="J17" s="3">
        <v>0.4</v>
      </c>
      <c r="K17" t="s">
        <v>81</v>
      </c>
    </row>
    <row r="18" spans="1:11">
      <c r="A18" t="s">
        <v>75</v>
      </c>
      <c r="B18" t="s">
        <v>60</v>
      </c>
      <c r="C18" t="s">
        <v>51</v>
      </c>
      <c r="D18" s="3">
        <v>0.44447619047619052</v>
      </c>
      <c r="E18" s="3">
        <v>5.5269857142857139</v>
      </c>
      <c r="F18" s="3">
        <v>0.70103703703703713</v>
      </c>
      <c r="G18" s="3">
        <v>0.16844946218280629</v>
      </c>
      <c r="H18" s="3">
        <v>0.20761904761904759</v>
      </c>
      <c r="I18" s="3">
        <v>0.28888888888888892</v>
      </c>
      <c r="J18" s="3">
        <v>0.24</v>
      </c>
      <c r="K18" t="s">
        <v>82</v>
      </c>
    </row>
    <row r="19" spans="1:11">
      <c r="A19" t="s">
        <v>75</v>
      </c>
      <c r="B19" t="s">
        <v>62</v>
      </c>
      <c r="C19" t="s">
        <v>51</v>
      </c>
      <c r="D19" s="3">
        <v>0.45396825396825402</v>
      </c>
      <c r="E19" s="3">
        <v>4.9143492063492058</v>
      </c>
      <c r="F19" s="3">
        <v>0.85279894179894189</v>
      </c>
      <c r="G19" s="3">
        <v>0.29551906516239301</v>
      </c>
      <c r="H19" s="3">
        <v>0.3339130434782609</v>
      </c>
      <c r="I19" s="3">
        <v>0.29941520467836258</v>
      </c>
      <c r="J19" s="3">
        <v>0.52</v>
      </c>
      <c r="K19" t="s">
        <v>83</v>
      </c>
    </row>
    <row r="20" spans="1:11">
      <c r="A20" t="s">
        <v>75</v>
      </c>
      <c r="B20" t="s">
        <v>64</v>
      </c>
      <c r="C20" t="s">
        <v>51</v>
      </c>
      <c r="D20" s="3">
        <v>0.37308630641389262</v>
      </c>
      <c r="E20" s="3">
        <v>4.6735461399711404</v>
      </c>
      <c r="F20" s="3">
        <v>0.80647089947089934</v>
      </c>
      <c r="G20" s="3">
        <v>0.31623391230052572</v>
      </c>
      <c r="H20" s="3">
        <v>0.43643426588912659</v>
      </c>
      <c r="I20" s="3">
        <v>0.20805675805675811</v>
      </c>
      <c r="J20" s="3">
        <v>0.8</v>
      </c>
      <c r="K20" t="s">
        <v>84</v>
      </c>
    </row>
    <row r="21" spans="1:11">
      <c r="A21" t="s">
        <v>75</v>
      </c>
      <c r="B21" t="s">
        <v>66</v>
      </c>
      <c r="C21" t="s">
        <v>51</v>
      </c>
      <c r="D21" s="3">
        <v>0.42550207961972658</v>
      </c>
      <c r="E21" s="3">
        <v>4.8113205585264396</v>
      </c>
      <c r="F21" s="3">
        <v>0.83146560846560846</v>
      </c>
      <c r="G21" s="3">
        <v>0.23828191366593079</v>
      </c>
      <c r="H21" s="3">
        <v>0.2839544513457557</v>
      </c>
      <c r="I21" s="3">
        <v>0.23916666666666669</v>
      </c>
      <c r="J21" s="3">
        <v>0.44000000000000011</v>
      </c>
      <c r="K21" t="s">
        <v>85</v>
      </c>
    </row>
  </sheetData>
  <autoFilter ref="A1:K21" xr:uid="{00000000-0009-0000-0000-000002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1"/>
  <sheetViews>
    <sheetView topLeftCell="D1" workbookViewId="0">
      <pane ySplit="1" topLeftCell="A80" activePane="bottomLeft" state="frozen"/>
      <selection pane="bottomLeft"/>
    </sheetView>
  </sheetViews>
  <sheetFormatPr defaultRowHeight="16.5"/>
  <cols>
    <col min="1" max="1" width="10" customWidth="1"/>
    <col min="2" max="2" width="11" customWidth="1"/>
    <col min="3" max="3" width="20" customWidth="1"/>
    <col min="4" max="4" width="19" customWidth="1"/>
    <col min="5" max="5" width="10" customWidth="1"/>
    <col min="6" max="9" width="20" customWidth="1"/>
    <col min="10" max="10" width="21" customWidth="1"/>
    <col min="11" max="14" width="20" customWidth="1"/>
    <col min="15" max="15" width="65" customWidth="1"/>
  </cols>
  <sheetData>
    <row r="1" spans="1:1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32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34</v>
      </c>
      <c r="O1" s="1" t="s">
        <v>48</v>
      </c>
    </row>
    <row r="2" spans="1:15">
      <c r="A2" t="s">
        <v>49</v>
      </c>
      <c r="B2" t="s">
        <v>50</v>
      </c>
      <c r="C2" t="s">
        <v>51</v>
      </c>
      <c r="D2" t="s">
        <v>52</v>
      </c>
      <c r="E2" s="2">
        <v>1</v>
      </c>
      <c r="F2" s="3">
        <v>3.4482758620689648E-2</v>
      </c>
      <c r="G2" s="3">
        <v>0.14285714285714279</v>
      </c>
      <c r="H2" s="3">
        <v>4.1428571428571423</v>
      </c>
      <c r="I2" s="3">
        <v>0.7857142857142857</v>
      </c>
      <c r="J2" s="3">
        <v>0</v>
      </c>
      <c r="K2" s="3">
        <v>0</v>
      </c>
      <c r="L2" s="3">
        <v>0</v>
      </c>
      <c r="M2" s="3">
        <v>0</v>
      </c>
      <c r="N2" s="3">
        <v>0.5</v>
      </c>
      <c r="O2" t="s">
        <v>86</v>
      </c>
    </row>
    <row r="3" spans="1:15">
      <c r="A3" t="s">
        <v>49</v>
      </c>
      <c r="B3" t="s">
        <v>50</v>
      </c>
      <c r="C3" t="s">
        <v>51</v>
      </c>
      <c r="D3" t="s">
        <v>54</v>
      </c>
      <c r="E3" s="2">
        <v>5</v>
      </c>
      <c r="F3" s="3">
        <v>0.17241379310344829</v>
      </c>
      <c r="G3" s="3">
        <v>0.26555555555555549</v>
      </c>
      <c r="H3" s="3">
        <v>1.5402222222222219</v>
      </c>
      <c r="I3" s="3">
        <v>0.625</v>
      </c>
      <c r="J3" s="3">
        <v>-4.4136741475237468E-2</v>
      </c>
      <c r="K3" s="3">
        <v>0.1851851851851852</v>
      </c>
      <c r="L3" s="3">
        <v>0.14285714285714279</v>
      </c>
      <c r="M3" s="3">
        <v>0.2</v>
      </c>
      <c r="N3" s="3">
        <v>0.4907470383027091</v>
      </c>
      <c r="O3" t="s">
        <v>86</v>
      </c>
    </row>
    <row r="4" spans="1:15">
      <c r="A4" t="s">
        <v>49</v>
      </c>
      <c r="B4" t="s">
        <v>50</v>
      </c>
      <c r="C4" t="s">
        <v>51</v>
      </c>
      <c r="D4" t="s">
        <v>55</v>
      </c>
      <c r="E4" s="2">
        <v>4</v>
      </c>
      <c r="F4" s="3">
        <v>0.13793103448275859</v>
      </c>
      <c r="G4" s="3">
        <v>0.52500000000000002</v>
      </c>
      <c r="H4" s="3">
        <v>3.8062499999999999</v>
      </c>
      <c r="I4" s="3">
        <v>0.92</v>
      </c>
      <c r="J4" s="3">
        <v>0.61162352254743546</v>
      </c>
      <c r="K4" s="3">
        <v>0.7142857142857143</v>
      </c>
      <c r="L4" s="3">
        <v>0.6</v>
      </c>
      <c r="M4" s="3">
        <v>0.75</v>
      </c>
      <c r="N4" s="3">
        <v>0.48657088356101941</v>
      </c>
      <c r="O4" t="s">
        <v>86</v>
      </c>
    </row>
    <row r="5" spans="1:15">
      <c r="A5" t="s">
        <v>49</v>
      </c>
      <c r="B5" t="s">
        <v>50</v>
      </c>
      <c r="C5" t="s">
        <v>51</v>
      </c>
      <c r="D5" t="s">
        <v>56</v>
      </c>
      <c r="E5" s="2">
        <v>2</v>
      </c>
      <c r="F5" s="3">
        <v>6.8965517241379309E-2</v>
      </c>
      <c r="G5" s="3">
        <v>0.15555555555555561</v>
      </c>
      <c r="H5" s="3">
        <v>2.255555555555556</v>
      </c>
      <c r="I5" s="3">
        <v>0.62962962962962965</v>
      </c>
      <c r="J5" s="3">
        <v>0</v>
      </c>
      <c r="K5" s="3">
        <v>0</v>
      </c>
      <c r="L5" s="3">
        <v>0</v>
      </c>
      <c r="M5" s="3">
        <v>0</v>
      </c>
      <c r="N5" s="3">
        <v>0.5</v>
      </c>
      <c r="O5" t="s">
        <v>86</v>
      </c>
    </row>
    <row r="6" spans="1:15">
      <c r="A6" t="s">
        <v>49</v>
      </c>
      <c r="B6" t="s">
        <v>50</v>
      </c>
      <c r="C6" t="s">
        <v>51</v>
      </c>
      <c r="D6" t="s">
        <v>57</v>
      </c>
      <c r="E6" s="2">
        <v>1</v>
      </c>
      <c r="F6" s="3">
        <v>3.4482758620689648E-2</v>
      </c>
      <c r="G6" s="3">
        <v>4.5454545454545463E-2</v>
      </c>
      <c r="H6" s="3">
        <v>1.3181818181818179</v>
      </c>
      <c r="I6" s="3">
        <v>0.25</v>
      </c>
      <c r="J6" s="3">
        <v>-0.15877683720748889</v>
      </c>
      <c r="K6" s="3">
        <v>0</v>
      </c>
      <c r="L6" s="3">
        <v>0</v>
      </c>
      <c r="M6" s="3">
        <v>0</v>
      </c>
      <c r="N6" s="3">
        <v>0.4700593995808357</v>
      </c>
      <c r="O6" t="s">
        <v>86</v>
      </c>
    </row>
    <row r="7" spans="1:15">
      <c r="A7" t="s">
        <v>49</v>
      </c>
      <c r="B7" t="s">
        <v>58</v>
      </c>
      <c r="C7" t="s">
        <v>51</v>
      </c>
      <c r="D7" t="s">
        <v>52</v>
      </c>
      <c r="E7" s="2">
        <v>1</v>
      </c>
      <c r="F7" s="3">
        <v>3.4482758620689648E-2</v>
      </c>
      <c r="G7" s="3">
        <v>1</v>
      </c>
      <c r="H7" s="3">
        <v>29</v>
      </c>
      <c r="I7" s="3">
        <v>1</v>
      </c>
      <c r="J7" s="3">
        <v>0.69436507482941356</v>
      </c>
      <c r="K7" s="3">
        <v>0.83333333333333337</v>
      </c>
      <c r="L7" s="3">
        <v>0.5</v>
      </c>
      <c r="M7" s="3">
        <v>1</v>
      </c>
      <c r="N7" s="3">
        <v>0.5</v>
      </c>
      <c r="O7" t="s">
        <v>87</v>
      </c>
    </row>
    <row r="8" spans="1:15">
      <c r="A8" t="s">
        <v>49</v>
      </c>
      <c r="B8" t="s">
        <v>58</v>
      </c>
      <c r="C8" t="s">
        <v>51</v>
      </c>
      <c r="D8" t="s">
        <v>54</v>
      </c>
      <c r="E8" s="2">
        <v>5</v>
      </c>
      <c r="F8" s="3">
        <v>0.17241379310344829</v>
      </c>
      <c r="G8" s="3">
        <v>0.35714285714285721</v>
      </c>
      <c r="H8" s="3">
        <v>2.0714285714285712</v>
      </c>
      <c r="I8" s="3">
        <v>0.77083333333333337</v>
      </c>
      <c r="J8" s="3">
        <v>0.30618621784789718</v>
      </c>
      <c r="K8" s="3">
        <v>0.625</v>
      </c>
      <c r="L8" s="3">
        <v>0.25</v>
      </c>
      <c r="M8" s="3">
        <v>1</v>
      </c>
      <c r="N8" s="3">
        <v>2.711190794091323E-9</v>
      </c>
      <c r="O8" t="s">
        <v>87</v>
      </c>
    </row>
    <row r="9" spans="1:15">
      <c r="A9" t="s">
        <v>49</v>
      </c>
      <c r="B9" t="s">
        <v>58</v>
      </c>
      <c r="C9" t="s">
        <v>51</v>
      </c>
      <c r="D9" t="s">
        <v>55</v>
      </c>
      <c r="E9" s="2">
        <v>4</v>
      </c>
      <c r="F9" s="3">
        <v>0.13793103448275859</v>
      </c>
      <c r="G9" s="3">
        <v>0.2589285714285714</v>
      </c>
      <c r="H9" s="3">
        <v>1.877232142857143</v>
      </c>
      <c r="I9" s="3">
        <v>0.76500000000000001</v>
      </c>
      <c r="J9" s="3">
        <v>0.24268133584853771</v>
      </c>
      <c r="K9" s="3">
        <v>0.51724137931034486</v>
      </c>
      <c r="L9" s="3">
        <v>0.23076923076923081</v>
      </c>
      <c r="M9" s="3">
        <v>0.75</v>
      </c>
      <c r="N9" s="3">
        <v>0.49757891351254152</v>
      </c>
      <c r="O9" t="s">
        <v>87</v>
      </c>
    </row>
    <row r="10" spans="1:15">
      <c r="A10" t="s">
        <v>49</v>
      </c>
      <c r="B10" t="s">
        <v>58</v>
      </c>
      <c r="C10" t="s">
        <v>51</v>
      </c>
      <c r="D10" t="s">
        <v>56</v>
      </c>
      <c r="E10" s="2">
        <v>2</v>
      </c>
      <c r="F10" s="3">
        <v>6.8965517241379309E-2</v>
      </c>
      <c r="G10" s="3">
        <v>0.14285714285714279</v>
      </c>
      <c r="H10" s="3">
        <v>2.0714285714285712</v>
      </c>
      <c r="I10" s="3">
        <v>0.7407407407407407</v>
      </c>
      <c r="J10" s="3">
        <v>-7.407407407407407E-2</v>
      </c>
      <c r="K10" s="3">
        <v>0</v>
      </c>
      <c r="L10" s="3">
        <v>0</v>
      </c>
      <c r="M10" s="3">
        <v>0</v>
      </c>
      <c r="N10" s="3">
        <v>0.5</v>
      </c>
      <c r="O10" t="s">
        <v>87</v>
      </c>
    </row>
    <row r="11" spans="1:15">
      <c r="A11" t="s">
        <v>49</v>
      </c>
      <c r="B11" t="s">
        <v>58</v>
      </c>
      <c r="C11" t="s">
        <v>51</v>
      </c>
      <c r="D11" t="s">
        <v>57</v>
      </c>
      <c r="E11" s="2">
        <v>1</v>
      </c>
      <c r="F11" s="3">
        <v>3.4482758620689648E-2</v>
      </c>
      <c r="G11" s="3">
        <v>7.1428571428571425E-2</v>
      </c>
      <c r="H11" s="3">
        <v>2.0714285714285712</v>
      </c>
      <c r="I11" s="3">
        <v>0.73214285714285721</v>
      </c>
      <c r="J11" s="3">
        <v>0.12677313820927749</v>
      </c>
      <c r="K11" s="3">
        <v>0.20833333333333329</v>
      </c>
      <c r="L11" s="3">
        <v>0.05</v>
      </c>
      <c r="M11" s="3">
        <v>1</v>
      </c>
      <c r="N11" s="3">
        <v>4.693282363632534E-7</v>
      </c>
      <c r="O11" t="s">
        <v>87</v>
      </c>
    </row>
    <row r="12" spans="1:15">
      <c r="A12" t="s">
        <v>49</v>
      </c>
      <c r="B12" t="s">
        <v>60</v>
      </c>
      <c r="C12" t="s">
        <v>51</v>
      </c>
      <c r="D12" t="s">
        <v>52</v>
      </c>
      <c r="E12" s="2">
        <v>1</v>
      </c>
      <c r="F12" s="3">
        <v>3.4482758620689648E-2</v>
      </c>
      <c r="G12" s="3">
        <v>1</v>
      </c>
      <c r="H12" s="3">
        <v>29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0.5</v>
      </c>
      <c r="O12" t="s">
        <v>88</v>
      </c>
    </row>
    <row r="13" spans="1:15">
      <c r="A13" t="s">
        <v>49</v>
      </c>
      <c r="B13" t="s">
        <v>60</v>
      </c>
      <c r="C13" t="s">
        <v>51</v>
      </c>
      <c r="D13" t="s">
        <v>54</v>
      </c>
      <c r="E13" s="2">
        <v>5</v>
      </c>
      <c r="F13" s="3">
        <v>0.17241379310344829</v>
      </c>
      <c r="G13" s="3">
        <v>0.47681159420289848</v>
      </c>
      <c r="H13" s="3">
        <v>2.7655072463768109</v>
      </c>
      <c r="I13" s="3">
        <v>0.77500000000000002</v>
      </c>
      <c r="J13" s="3">
        <v>0.44445779894466358</v>
      </c>
      <c r="K13" s="3">
        <v>0.43478260869565222</v>
      </c>
      <c r="L13" s="3">
        <v>0.66666666666666663</v>
      </c>
      <c r="M13" s="3">
        <v>0.4</v>
      </c>
      <c r="N13" s="3">
        <v>0.69840557291879124</v>
      </c>
      <c r="O13" t="s">
        <v>88</v>
      </c>
    </row>
    <row r="14" spans="1:15">
      <c r="A14" t="s">
        <v>49</v>
      </c>
      <c r="B14" t="s">
        <v>60</v>
      </c>
      <c r="C14" t="s">
        <v>51</v>
      </c>
      <c r="D14" t="s">
        <v>55</v>
      </c>
      <c r="E14" s="2">
        <v>4</v>
      </c>
      <c r="F14" s="3">
        <v>0.13793103448275859</v>
      </c>
      <c r="G14" s="3">
        <v>0.89285714285714279</v>
      </c>
      <c r="H14" s="3">
        <v>6.4732142857142856</v>
      </c>
      <c r="I14" s="3">
        <v>0.97</v>
      </c>
      <c r="J14" s="3">
        <v>0.61162352254743546</v>
      </c>
      <c r="K14" s="3">
        <v>0.7142857142857143</v>
      </c>
      <c r="L14" s="3">
        <v>0.6</v>
      </c>
      <c r="M14" s="3">
        <v>0.75</v>
      </c>
      <c r="N14" s="3">
        <v>0.33563405328959123</v>
      </c>
      <c r="O14" t="s">
        <v>88</v>
      </c>
    </row>
    <row r="15" spans="1:15">
      <c r="A15" t="s">
        <v>49</v>
      </c>
      <c r="B15" t="s">
        <v>60</v>
      </c>
      <c r="C15" t="s">
        <v>51</v>
      </c>
      <c r="D15" t="s">
        <v>56</v>
      </c>
      <c r="E15" s="2">
        <v>2</v>
      </c>
      <c r="F15" s="3">
        <v>6.8965517241379309E-2</v>
      </c>
      <c r="G15" s="3">
        <v>6.3894523326572E-2</v>
      </c>
      <c r="H15" s="3">
        <v>0.92647058823529405</v>
      </c>
      <c r="I15" s="3">
        <v>0.20370370370370369</v>
      </c>
      <c r="J15" s="3">
        <v>-7.407407407407407E-2</v>
      </c>
      <c r="K15" s="3">
        <v>0</v>
      </c>
      <c r="L15" s="3">
        <v>0</v>
      </c>
      <c r="M15" s="3">
        <v>0</v>
      </c>
      <c r="N15" s="3">
        <v>0.5</v>
      </c>
      <c r="O15" t="s">
        <v>88</v>
      </c>
    </row>
    <row r="16" spans="1:15">
      <c r="A16" t="s">
        <v>49</v>
      </c>
      <c r="B16" t="s">
        <v>60</v>
      </c>
      <c r="C16" t="s">
        <v>51</v>
      </c>
      <c r="D16" t="s">
        <v>57</v>
      </c>
      <c r="E16" s="2">
        <v>1</v>
      </c>
      <c r="F16" s="3">
        <v>3.4482758620689648E-2</v>
      </c>
      <c r="G16" s="3">
        <v>6.6666666666666666E-2</v>
      </c>
      <c r="H16" s="3">
        <v>1.9333333333333329</v>
      </c>
      <c r="I16" s="3">
        <v>0.5</v>
      </c>
      <c r="J16" s="3">
        <v>0.18257418583505541</v>
      </c>
      <c r="K16" s="3">
        <v>0.26315789473684209</v>
      </c>
      <c r="L16" s="3">
        <v>6.6666666666666666E-2</v>
      </c>
      <c r="M16" s="3">
        <v>1</v>
      </c>
      <c r="N16" s="3">
        <v>7.2292536934416493E-2</v>
      </c>
      <c r="O16" t="s">
        <v>88</v>
      </c>
    </row>
    <row r="17" spans="1:15">
      <c r="A17" t="s">
        <v>49</v>
      </c>
      <c r="B17" t="s">
        <v>62</v>
      </c>
      <c r="C17" t="s">
        <v>51</v>
      </c>
      <c r="D17" t="s">
        <v>52</v>
      </c>
      <c r="E17" s="2">
        <v>1</v>
      </c>
      <c r="F17" s="3">
        <v>3.4482758620689648E-2</v>
      </c>
      <c r="G17" s="3">
        <v>1</v>
      </c>
      <c r="H17" s="3">
        <v>29</v>
      </c>
      <c r="I17" s="3">
        <v>1</v>
      </c>
      <c r="J17" s="3">
        <v>0</v>
      </c>
      <c r="K17" s="3">
        <v>0</v>
      </c>
      <c r="L17" s="3">
        <v>0</v>
      </c>
      <c r="M17" s="3">
        <v>0</v>
      </c>
      <c r="N17" s="3">
        <v>0.5</v>
      </c>
      <c r="O17" t="s">
        <v>89</v>
      </c>
    </row>
    <row r="18" spans="1:15">
      <c r="A18" t="s">
        <v>49</v>
      </c>
      <c r="B18" t="s">
        <v>62</v>
      </c>
      <c r="C18" t="s">
        <v>51</v>
      </c>
      <c r="D18" t="s">
        <v>54</v>
      </c>
      <c r="E18" s="2">
        <v>5</v>
      </c>
      <c r="F18" s="3">
        <v>0.17241379310344829</v>
      </c>
      <c r="G18" s="3">
        <v>0.46847826086956518</v>
      </c>
      <c r="H18" s="3">
        <v>2.717173913043478</v>
      </c>
      <c r="I18" s="3">
        <v>0.69166666666666665</v>
      </c>
      <c r="J18" s="3">
        <v>0</v>
      </c>
      <c r="K18" s="3">
        <v>0</v>
      </c>
      <c r="L18" s="3">
        <v>0</v>
      </c>
      <c r="M18" s="3">
        <v>0</v>
      </c>
      <c r="N18" s="3">
        <v>0.55908581470724328</v>
      </c>
      <c r="O18" t="s">
        <v>89</v>
      </c>
    </row>
    <row r="19" spans="1:15">
      <c r="A19" t="s">
        <v>49</v>
      </c>
      <c r="B19" t="s">
        <v>62</v>
      </c>
      <c r="C19" t="s">
        <v>51</v>
      </c>
      <c r="D19" t="s">
        <v>55</v>
      </c>
      <c r="E19" s="2">
        <v>4</v>
      </c>
      <c r="F19" s="3">
        <v>0.13793103448275859</v>
      </c>
      <c r="G19" s="3">
        <v>0.51309523809523805</v>
      </c>
      <c r="H19" s="3">
        <v>3.7199404761904762</v>
      </c>
      <c r="I19" s="3">
        <v>0.86</v>
      </c>
      <c r="J19" s="3">
        <v>0.53629161437801165</v>
      </c>
      <c r="K19" s="3">
        <v>0.68181818181818177</v>
      </c>
      <c r="L19" s="3">
        <v>0.5</v>
      </c>
      <c r="M19" s="3">
        <v>0.75</v>
      </c>
      <c r="N19" s="3">
        <v>0.51131652440258013</v>
      </c>
      <c r="O19" t="s">
        <v>89</v>
      </c>
    </row>
    <row r="20" spans="1:15">
      <c r="A20" t="s">
        <v>49</v>
      </c>
      <c r="B20" t="s">
        <v>62</v>
      </c>
      <c r="C20" t="s">
        <v>51</v>
      </c>
      <c r="D20" t="s">
        <v>56</v>
      </c>
      <c r="E20" s="2">
        <v>2</v>
      </c>
      <c r="F20" s="3">
        <v>6.8965517241379309E-2</v>
      </c>
      <c r="G20" s="3">
        <v>0.2166666666666667</v>
      </c>
      <c r="H20" s="3">
        <v>3.1416666666666671</v>
      </c>
      <c r="I20" s="3">
        <v>0.62962962962962965</v>
      </c>
      <c r="J20" s="3">
        <v>-7.407407407407407E-2</v>
      </c>
      <c r="K20" s="3">
        <v>0</v>
      </c>
      <c r="L20" s="3">
        <v>0</v>
      </c>
      <c r="M20" s="3">
        <v>0</v>
      </c>
      <c r="N20" s="3">
        <v>0.5</v>
      </c>
      <c r="O20" t="s">
        <v>89</v>
      </c>
    </row>
    <row r="21" spans="1:15">
      <c r="A21" t="s">
        <v>49</v>
      </c>
      <c r="B21" t="s">
        <v>62</v>
      </c>
      <c r="C21" t="s">
        <v>51</v>
      </c>
      <c r="D21" t="s">
        <v>57</v>
      </c>
      <c r="E21" s="2">
        <v>1</v>
      </c>
      <c r="F21" s="3">
        <v>3.4482758620689648E-2</v>
      </c>
      <c r="G21" s="3">
        <v>5.8823529411764712E-2</v>
      </c>
      <c r="H21" s="3">
        <v>1.705882352941176</v>
      </c>
      <c r="I21" s="3">
        <v>0.4285714285714286</v>
      </c>
      <c r="J21" s="3">
        <v>-0.20965696734438369</v>
      </c>
      <c r="K21" s="3">
        <v>0</v>
      </c>
      <c r="L21" s="3">
        <v>0</v>
      </c>
      <c r="M21" s="3">
        <v>0</v>
      </c>
      <c r="N21" s="3">
        <v>0.28162495945566263</v>
      </c>
      <c r="O21" t="s">
        <v>89</v>
      </c>
    </row>
    <row r="22" spans="1:15">
      <c r="A22" t="s">
        <v>49</v>
      </c>
      <c r="B22" t="s">
        <v>64</v>
      </c>
      <c r="C22" t="s">
        <v>51</v>
      </c>
      <c r="D22" t="s">
        <v>52</v>
      </c>
      <c r="E22" s="2">
        <v>1</v>
      </c>
      <c r="F22" s="3">
        <v>3.4482758620689648E-2</v>
      </c>
      <c r="G22" s="3">
        <v>1</v>
      </c>
      <c r="H22" s="3">
        <v>29</v>
      </c>
      <c r="I22" s="3">
        <v>1</v>
      </c>
      <c r="J22" s="3">
        <v>0.69436507482941356</v>
      </c>
      <c r="K22" s="3">
        <v>0.83333333333333337</v>
      </c>
      <c r="L22" s="3">
        <v>0.5</v>
      </c>
      <c r="M22" s="3">
        <v>1</v>
      </c>
      <c r="N22" s="3">
        <v>0.5</v>
      </c>
      <c r="O22" t="s">
        <v>90</v>
      </c>
    </row>
    <row r="23" spans="1:15">
      <c r="A23" t="s">
        <v>49</v>
      </c>
      <c r="B23" t="s">
        <v>64</v>
      </c>
      <c r="C23" t="s">
        <v>51</v>
      </c>
      <c r="D23" t="s">
        <v>54</v>
      </c>
      <c r="E23" s="2">
        <v>5</v>
      </c>
      <c r="F23" s="3">
        <v>0.17241379310344829</v>
      </c>
      <c r="G23" s="3">
        <v>0.28387041773231031</v>
      </c>
      <c r="H23" s="3">
        <v>1.6464484228473999</v>
      </c>
      <c r="I23" s="3">
        <v>0.6333333333333333</v>
      </c>
      <c r="J23" s="3">
        <v>0</v>
      </c>
      <c r="K23" s="3">
        <v>0</v>
      </c>
      <c r="L23" s="3">
        <v>0</v>
      </c>
      <c r="M23" s="3">
        <v>0</v>
      </c>
      <c r="N23" s="3">
        <v>0.7871711885509779</v>
      </c>
      <c r="O23" t="s">
        <v>90</v>
      </c>
    </row>
    <row r="24" spans="1:15">
      <c r="A24" t="s">
        <v>49</v>
      </c>
      <c r="B24" t="s">
        <v>64</v>
      </c>
      <c r="C24" t="s">
        <v>51</v>
      </c>
      <c r="D24" t="s">
        <v>55</v>
      </c>
      <c r="E24" s="2">
        <v>4</v>
      </c>
      <c r="F24" s="3">
        <v>0.13793103448275859</v>
      </c>
      <c r="G24" s="3">
        <v>0.88749999999999996</v>
      </c>
      <c r="H24" s="3">
        <v>6.4343750000000002</v>
      </c>
      <c r="I24" s="3">
        <v>0.98</v>
      </c>
      <c r="J24" s="3">
        <v>0.64807406984078608</v>
      </c>
      <c r="K24" s="3">
        <v>0.83333333333333337</v>
      </c>
      <c r="L24" s="3">
        <v>0.5</v>
      </c>
      <c r="M24" s="3">
        <v>1</v>
      </c>
      <c r="N24" s="3">
        <v>0.45392458310977901</v>
      </c>
      <c r="O24" t="s">
        <v>90</v>
      </c>
    </row>
    <row r="25" spans="1:15">
      <c r="A25" t="s">
        <v>49</v>
      </c>
      <c r="B25" t="s">
        <v>64</v>
      </c>
      <c r="C25" t="s">
        <v>51</v>
      </c>
      <c r="D25" t="s">
        <v>56</v>
      </c>
      <c r="E25" s="2">
        <v>2</v>
      </c>
      <c r="F25" s="3">
        <v>6.8965517241379309E-2</v>
      </c>
      <c r="G25" s="3">
        <v>0.17763157894736839</v>
      </c>
      <c r="H25" s="3">
        <v>2.575657894736842</v>
      </c>
      <c r="I25" s="3">
        <v>0.62962962962962965</v>
      </c>
      <c r="J25" s="3">
        <v>0.1969302799427928</v>
      </c>
      <c r="K25" s="3">
        <v>0.35714285714285721</v>
      </c>
      <c r="L25" s="3">
        <v>0.16666666666666671</v>
      </c>
      <c r="M25" s="3">
        <v>0.5</v>
      </c>
      <c r="N25" s="3">
        <v>0.5</v>
      </c>
      <c r="O25" t="s">
        <v>90</v>
      </c>
    </row>
    <row r="26" spans="1:15">
      <c r="A26" t="s">
        <v>49</v>
      </c>
      <c r="B26" t="s">
        <v>64</v>
      </c>
      <c r="C26" t="s">
        <v>51</v>
      </c>
      <c r="D26" t="s">
        <v>57</v>
      </c>
      <c r="E26" s="2">
        <v>1</v>
      </c>
      <c r="F26" s="3">
        <v>3.4482758620689648E-2</v>
      </c>
      <c r="G26" s="3">
        <v>5.5555555555555552E-2</v>
      </c>
      <c r="H26" s="3">
        <v>1.6111111111111109</v>
      </c>
      <c r="I26" s="3">
        <v>0.3928571428571429</v>
      </c>
      <c r="J26" s="3">
        <v>-0.12677313820927749</v>
      </c>
      <c r="K26" s="3">
        <v>0</v>
      </c>
      <c r="L26" s="3">
        <v>0</v>
      </c>
      <c r="M26" s="3">
        <v>0</v>
      </c>
      <c r="N26" s="3">
        <v>0.27743644501995202</v>
      </c>
      <c r="O26" t="s">
        <v>90</v>
      </c>
    </row>
    <row r="27" spans="1:15">
      <c r="A27" t="s">
        <v>49</v>
      </c>
      <c r="B27" t="s">
        <v>66</v>
      </c>
      <c r="C27" t="s">
        <v>51</v>
      </c>
      <c r="D27" t="s">
        <v>52</v>
      </c>
      <c r="E27" s="2">
        <v>1</v>
      </c>
      <c r="F27" s="3">
        <v>3.4482758620689648E-2</v>
      </c>
      <c r="G27" s="3">
        <v>0.5</v>
      </c>
      <c r="H27" s="3">
        <v>14.5</v>
      </c>
      <c r="I27" s="3">
        <v>0.9642857142857143</v>
      </c>
      <c r="J27" s="3">
        <v>0</v>
      </c>
      <c r="K27" s="3">
        <v>0</v>
      </c>
      <c r="L27" s="3">
        <v>0</v>
      </c>
      <c r="M27" s="3">
        <v>0</v>
      </c>
      <c r="N27" s="3">
        <v>0.5</v>
      </c>
      <c r="O27" t="s">
        <v>91</v>
      </c>
    </row>
    <row r="28" spans="1:15">
      <c r="A28" t="s">
        <v>49</v>
      </c>
      <c r="B28" t="s">
        <v>66</v>
      </c>
      <c r="C28" t="s">
        <v>51</v>
      </c>
      <c r="D28" t="s">
        <v>54</v>
      </c>
      <c r="E28" s="2">
        <v>5</v>
      </c>
      <c r="F28" s="3">
        <v>0.17241379310344829</v>
      </c>
      <c r="G28" s="3">
        <v>0.38833333333333331</v>
      </c>
      <c r="H28" s="3">
        <v>2.2523333333333331</v>
      </c>
      <c r="I28" s="3">
        <v>0.79166666666666663</v>
      </c>
      <c r="J28" s="3">
        <v>0</v>
      </c>
      <c r="K28" s="3">
        <v>0</v>
      </c>
      <c r="L28" s="3">
        <v>0</v>
      </c>
      <c r="M28" s="3">
        <v>0</v>
      </c>
      <c r="N28" s="3">
        <v>0.47031710874954852</v>
      </c>
      <c r="O28" t="s">
        <v>91</v>
      </c>
    </row>
    <row r="29" spans="1:15">
      <c r="A29" t="s">
        <v>49</v>
      </c>
      <c r="B29" t="s">
        <v>66</v>
      </c>
      <c r="C29" t="s">
        <v>51</v>
      </c>
      <c r="D29" t="s">
        <v>55</v>
      </c>
      <c r="E29" s="2">
        <v>4</v>
      </c>
      <c r="F29" s="3">
        <v>0.13793103448275859</v>
      </c>
      <c r="G29" s="3">
        <v>0.50119047619047619</v>
      </c>
      <c r="H29" s="3">
        <v>3.633630952380952</v>
      </c>
      <c r="I29" s="3">
        <v>0.91</v>
      </c>
      <c r="J29" s="3">
        <v>0.61162352254743546</v>
      </c>
      <c r="K29" s="3">
        <v>0.7142857142857143</v>
      </c>
      <c r="L29" s="3">
        <v>0.6</v>
      </c>
      <c r="M29" s="3">
        <v>0.75</v>
      </c>
      <c r="N29" s="3">
        <v>0.37068281244389761</v>
      </c>
      <c r="O29" t="s">
        <v>91</v>
      </c>
    </row>
    <row r="30" spans="1:15">
      <c r="A30" t="s">
        <v>49</v>
      </c>
      <c r="B30" t="s">
        <v>66</v>
      </c>
      <c r="C30" t="s">
        <v>51</v>
      </c>
      <c r="D30" t="s">
        <v>56</v>
      </c>
      <c r="E30" s="2">
        <v>2</v>
      </c>
      <c r="F30" s="3">
        <v>6.8965517241379309E-2</v>
      </c>
      <c r="G30" s="3">
        <v>0.16250000000000001</v>
      </c>
      <c r="H30" s="3">
        <v>2.3562500000000002</v>
      </c>
      <c r="I30" s="3">
        <v>0.72222222222222221</v>
      </c>
      <c r="J30" s="3">
        <v>0</v>
      </c>
      <c r="K30" s="3">
        <v>0</v>
      </c>
      <c r="L30" s="3">
        <v>0</v>
      </c>
      <c r="M30" s="3">
        <v>0</v>
      </c>
      <c r="N30" s="3">
        <v>0.5</v>
      </c>
      <c r="O30" t="s">
        <v>91</v>
      </c>
    </row>
    <row r="31" spans="1:15">
      <c r="A31" t="s">
        <v>49</v>
      </c>
      <c r="B31" t="s">
        <v>66</v>
      </c>
      <c r="C31" t="s">
        <v>51</v>
      </c>
      <c r="D31" t="s">
        <v>57</v>
      </c>
      <c r="E31" s="2">
        <v>1</v>
      </c>
      <c r="F31" s="3">
        <v>3.4482758620689648E-2</v>
      </c>
      <c r="G31" s="3">
        <v>3.7037037037037028E-2</v>
      </c>
      <c r="H31" s="3">
        <v>1.074074074074074</v>
      </c>
      <c r="I31" s="3">
        <v>7.1428571428571397E-2</v>
      </c>
      <c r="J31" s="3">
        <v>-0.24174688920761411</v>
      </c>
      <c r="K31" s="3">
        <v>0</v>
      </c>
      <c r="L31" s="3">
        <v>0</v>
      </c>
      <c r="M31" s="3">
        <v>0</v>
      </c>
      <c r="N31" s="3">
        <v>0.1000865254985477</v>
      </c>
      <c r="O31" t="s">
        <v>91</v>
      </c>
    </row>
    <row r="32" spans="1:15">
      <c r="A32" t="s">
        <v>68</v>
      </c>
      <c r="B32" t="s">
        <v>50</v>
      </c>
      <c r="C32" t="s">
        <v>51</v>
      </c>
      <c r="D32" t="s">
        <v>52</v>
      </c>
      <c r="E32" s="2">
        <v>1</v>
      </c>
      <c r="F32" s="3">
        <v>3.4482758620689648E-2</v>
      </c>
      <c r="G32" s="3">
        <v>0.33333333333333331</v>
      </c>
      <c r="H32" s="3">
        <v>9.6666666666666661</v>
      </c>
      <c r="I32" s="3">
        <v>0.9285714285714286</v>
      </c>
      <c r="J32" s="3">
        <v>0</v>
      </c>
      <c r="K32" s="3">
        <v>0</v>
      </c>
      <c r="L32" s="3">
        <v>0</v>
      </c>
      <c r="M32" s="3">
        <v>0</v>
      </c>
      <c r="N32" s="3">
        <v>0.5</v>
      </c>
      <c r="O32" t="s">
        <v>92</v>
      </c>
    </row>
    <row r="33" spans="1:15">
      <c r="A33" t="s">
        <v>68</v>
      </c>
      <c r="B33" t="s">
        <v>50</v>
      </c>
      <c r="C33" t="s">
        <v>51</v>
      </c>
      <c r="D33" t="s">
        <v>54</v>
      </c>
      <c r="E33" s="2">
        <v>5</v>
      </c>
      <c r="F33" s="3">
        <v>0.17241379310344829</v>
      </c>
      <c r="G33" s="3">
        <v>0.6511494252873562</v>
      </c>
      <c r="H33" s="3">
        <v>3.776666666666666</v>
      </c>
      <c r="I33" s="3">
        <v>0.76666666666666672</v>
      </c>
      <c r="J33" s="3">
        <v>0.51666666666666672</v>
      </c>
      <c r="K33" s="3">
        <v>0.6</v>
      </c>
      <c r="L33" s="3">
        <v>0.6</v>
      </c>
      <c r="M33" s="3">
        <v>0.6</v>
      </c>
      <c r="N33" s="3">
        <v>0.57789583561408464</v>
      </c>
      <c r="O33" t="s">
        <v>92</v>
      </c>
    </row>
    <row r="34" spans="1:15">
      <c r="A34" t="s">
        <v>68</v>
      </c>
      <c r="B34" t="s">
        <v>50</v>
      </c>
      <c r="C34" t="s">
        <v>51</v>
      </c>
      <c r="D34" t="s">
        <v>55</v>
      </c>
      <c r="E34" s="2">
        <v>4</v>
      </c>
      <c r="F34" s="3">
        <v>0.13793103448275859</v>
      </c>
      <c r="G34" s="3">
        <v>0.95</v>
      </c>
      <c r="H34" s="3">
        <v>6.8875000000000002</v>
      </c>
      <c r="I34" s="3">
        <v>0.99</v>
      </c>
      <c r="J34" s="3">
        <v>0.70912420834233469</v>
      </c>
      <c r="K34" s="3">
        <v>0.86956521739130432</v>
      </c>
      <c r="L34" s="3">
        <v>0.5714285714285714</v>
      </c>
      <c r="M34" s="3">
        <v>1</v>
      </c>
      <c r="N34" s="3">
        <v>0.54649254558673521</v>
      </c>
      <c r="O34" t="s">
        <v>92</v>
      </c>
    </row>
    <row r="35" spans="1:15">
      <c r="A35" t="s">
        <v>68</v>
      </c>
      <c r="B35" t="s">
        <v>50</v>
      </c>
      <c r="C35" t="s">
        <v>51</v>
      </c>
      <c r="D35" t="s">
        <v>56</v>
      </c>
      <c r="E35" s="2">
        <v>2</v>
      </c>
      <c r="F35" s="3">
        <v>6.8965517241379309E-2</v>
      </c>
      <c r="G35" s="3">
        <v>0.21590909090909091</v>
      </c>
      <c r="H35" s="3">
        <v>3.1306818181818179</v>
      </c>
      <c r="I35" s="3">
        <v>0.7777777777777779</v>
      </c>
      <c r="J35" s="3">
        <v>-7.407407407407407E-2</v>
      </c>
      <c r="K35" s="3">
        <v>0</v>
      </c>
      <c r="L35" s="3">
        <v>0</v>
      </c>
      <c r="M35" s="3">
        <v>0</v>
      </c>
      <c r="N35" s="3">
        <v>0.5</v>
      </c>
      <c r="O35" t="s">
        <v>92</v>
      </c>
    </row>
    <row r="36" spans="1:15">
      <c r="A36" t="s">
        <v>68</v>
      </c>
      <c r="B36" t="s">
        <v>50</v>
      </c>
      <c r="C36" t="s">
        <v>51</v>
      </c>
      <c r="D36" t="s">
        <v>57</v>
      </c>
      <c r="E36" s="2">
        <v>1</v>
      </c>
      <c r="F36" s="3">
        <v>3.4482758620689648E-2</v>
      </c>
      <c r="G36" s="3">
        <v>0.1111111111111111</v>
      </c>
      <c r="H36" s="3">
        <v>3.2222222222222219</v>
      </c>
      <c r="I36" s="3">
        <v>0.7142857142857143</v>
      </c>
      <c r="J36" s="3">
        <v>-0.1166423687039609</v>
      </c>
      <c r="K36" s="3">
        <v>0</v>
      </c>
      <c r="L36" s="3">
        <v>0</v>
      </c>
      <c r="M36" s="3">
        <v>0</v>
      </c>
      <c r="N36" s="3">
        <v>0.41585426959560151</v>
      </c>
      <c r="O36" t="s">
        <v>92</v>
      </c>
    </row>
    <row r="37" spans="1:15">
      <c r="A37" t="s">
        <v>68</v>
      </c>
      <c r="B37" t="s">
        <v>58</v>
      </c>
      <c r="C37" t="s">
        <v>51</v>
      </c>
      <c r="D37" t="s">
        <v>52</v>
      </c>
      <c r="E37" s="2">
        <v>1</v>
      </c>
      <c r="F37" s="3">
        <v>3.4482758620689648E-2</v>
      </c>
      <c r="G37" s="3">
        <v>0.04</v>
      </c>
      <c r="H37" s="3">
        <v>1.1599999999999999</v>
      </c>
      <c r="I37" s="3">
        <v>0.5714285714285714</v>
      </c>
      <c r="J37" s="3">
        <v>0</v>
      </c>
      <c r="K37" s="3">
        <v>0</v>
      </c>
      <c r="L37" s="3">
        <v>0</v>
      </c>
      <c r="M37" s="3">
        <v>0</v>
      </c>
      <c r="N37" s="3">
        <v>0.5</v>
      </c>
      <c r="O37" t="s">
        <v>93</v>
      </c>
    </row>
    <row r="38" spans="1:15">
      <c r="A38" t="s">
        <v>68</v>
      </c>
      <c r="B38" t="s">
        <v>58</v>
      </c>
      <c r="C38" t="s">
        <v>51</v>
      </c>
      <c r="D38" t="s">
        <v>54</v>
      </c>
      <c r="E38" s="2">
        <v>5</v>
      </c>
      <c r="F38" s="3">
        <v>0.17241379310344829</v>
      </c>
      <c r="G38" s="3">
        <v>0.16248275862068959</v>
      </c>
      <c r="H38" s="3">
        <v>0.9423999999999999</v>
      </c>
      <c r="I38" s="3">
        <v>0.45000000000000012</v>
      </c>
      <c r="J38" s="3">
        <v>-8.2158383625774919E-2</v>
      </c>
      <c r="K38" s="3">
        <v>0.44444444444444442</v>
      </c>
      <c r="L38" s="3">
        <v>0.16</v>
      </c>
      <c r="M38" s="3">
        <v>0.8</v>
      </c>
      <c r="N38" s="3">
        <v>0.54366385936737061</v>
      </c>
      <c r="O38" t="s">
        <v>93</v>
      </c>
    </row>
    <row r="39" spans="1:15">
      <c r="A39" t="s">
        <v>68</v>
      </c>
      <c r="B39" t="s">
        <v>58</v>
      </c>
      <c r="C39" t="s">
        <v>51</v>
      </c>
      <c r="D39" t="s">
        <v>55</v>
      </c>
      <c r="E39" s="2">
        <v>4</v>
      </c>
      <c r="F39" s="3">
        <v>0.13793103448275859</v>
      </c>
      <c r="G39" s="3">
        <v>0.14814814814814811</v>
      </c>
      <c r="H39" s="3">
        <v>1.074074074074074</v>
      </c>
      <c r="I39" s="3">
        <v>0.5</v>
      </c>
      <c r="J39" s="3">
        <v>0.1088662107903635</v>
      </c>
      <c r="K39" s="3">
        <v>0.46511627906976738</v>
      </c>
      <c r="L39" s="3">
        <v>0.14814814814814811</v>
      </c>
      <c r="M39" s="3">
        <v>1</v>
      </c>
      <c r="N39" s="3">
        <v>0.51722931861877441</v>
      </c>
      <c r="O39" t="s">
        <v>93</v>
      </c>
    </row>
    <row r="40" spans="1:15">
      <c r="A40" t="s">
        <v>68</v>
      </c>
      <c r="B40" t="s">
        <v>58</v>
      </c>
      <c r="C40" t="s">
        <v>51</v>
      </c>
      <c r="D40" t="s">
        <v>56</v>
      </c>
      <c r="E40" s="2">
        <v>2</v>
      </c>
      <c r="F40" s="3">
        <v>6.8965517241379309E-2</v>
      </c>
      <c r="G40" s="3">
        <v>0.08</v>
      </c>
      <c r="H40" s="3">
        <v>1.1599999999999999</v>
      </c>
      <c r="I40" s="3">
        <v>0.57407407407407407</v>
      </c>
      <c r="J40" s="3">
        <v>0</v>
      </c>
      <c r="K40" s="3">
        <v>0</v>
      </c>
      <c r="L40" s="3">
        <v>0</v>
      </c>
      <c r="M40" s="3">
        <v>0</v>
      </c>
      <c r="N40" s="3">
        <v>0.5</v>
      </c>
      <c r="O40" t="s">
        <v>93</v>
      </c>
    </row>
    <row r="41" spans="1:15">
      <c r="A41" t="s">
        <v>68</v>
      </c>
      <c r="B41" t="s">
        <v>58</v>
      </c>
      <c r="C41" t="s">
        <v>51</v>
      </c>
      <c r="D41" t="s">
        <v>57</v>
      </c>
      <c r="E41" s="2">
        <v>1</v>
      </c>
      <c r="F41" s="3">
        <v>3.4482758620689648E-2</v>
      </c>
      <c r="G41" s="3">
        <v>0.04</v>
      </c>
      <c r="H41" s="3">
        <v>1.1599999999999999</v>
      </c>
      <c r="I41" s="3">
        <v>0.5714285714285714</v>
      </c>
      <c r="J41" s="3">
        <v>7.5592894601845442E-2</v>
      </c>
      <c r="K41" s="3">
        <v>0.17241379310344829</v>
      </c>
      <c r="L41" s="3">
        <v>0.04</v>
      </c>
      <c r="M41" s="3">
        <v>1</v>
      </c>
      <c r="N41" s="3">
        <v>0.49778586626052862</v>
      </c>
      <c r="O41" t="s">
        <v>93</v>
      </c>
    </row>
    <row r="42" spans="1:15">
      <c r="A42" t="s">
        <v>68</v>
      </c>
      <c r="B42" t="s">
        <v>60</v>
      </c>
      <c r="C42" t="s">
        <v>51</v>
      </c>
      <c r="D42" t="s">
        <v>52</v>
      </c>
      <c r="E42" s="2">
        <v>1</v>
      </c>
      <c r="F42" s="3">
        <v>3.4482758620689648E-2</v>
      </c>
      <c r="G42" s="3">
        <v>0.5</v>
      </c>
      <c r="H42" s="3">
        <v>14.5</v>
      </c>
      <c r="I42" s="3">
        <v>0.9642857142857143</v>
      </c>
      <c r="J42" s="3">
        <v>0</v>
      </c>
      <c r="K42" s="3">
        <v>0</v>
      </c>
      <c r="L42" s="3">
        <v>0</v>
      </c>
      <c r="M42" s="3">
        <v>0</v>
      </c>
      <c r="N42" s="3">
        <v>0.5</v>
      </c>
      <c r="O42" t="s">
        <v>94</v>
      </c>
    </row>
    <row r="43" spans="1:15">
      <c r="A43" t="s">
        <v>68</v>
      </c>
      <c r="B43" t="s">
        <v>60</v>
      </c>
      <c r="C43" t="s">
        <v>51</v>
      </c>
      <c r="D43" t="s">
        <v>54</v>
      </c>
      <c r="E43" s="2">
        <v>5</v>
      </c>
      <c r="F43" s="3">
        <v>0.17241379310344829</v>
      </c>
      <c r="G43" s="3">
        <v>0.70114942528735624</v>
      </c>
      <c r="H43" s="3">
        <v>4.0666666666666664</v>
      </c>
      <c r="I43" s="3">
        <v>0.73333333333333339</v>
      </c>
      <c r="J43" s="3">
        <v>0</v>
      </c>
      <c r="K43" s="3">
        <v>0</v>
      </c>
      <c r="L43" s="3">
        <v>0</v>
      </c>
      <c r="M43" s="3">
        <v>0</v>
      </c>
      <c r="N43" s="3">
        <v>0.50369883356381906</v>
      </c>
      <c r="O43" t="s">
        <v>94</v>
      </c>
    </row>
    <row r="44" spans="1:15">
      <c r="A44" t="s">
        <v>68</v>
      </c>
      <c r="B44" t="s">
        <v>60</v>
      </c>
      <c r="C44" t="s">
        <v>51</v>
      </c>
      <c r="D44" t="s">
        <v>55</v>
      </c>
      <c r="E44" s="2">
        <v>4</v>
      </c>
      <c r="F44" s="3">
        <v>0.13793103448275859</v>
      </c>
      <c r="G44" s="3">
        <v>0.95</v>
      </c>
      <c r="H44" s="3">
        <v>6.8875000000000002</v>
      </c>
      <c r="I44" s="3">
        <v>0.99</v>
      </c>
      <c r="J44" s="3">
        <v>0.70912420834233469</v>
      </c>
      <c r="K44" s="3">
        <v>0.86956521739130432</v>
      </c>
      <c r="L44" s="3">
        <v>0.5714285714285714</v>
      </c>
      <c r="M44" s="3">
        <v>1</v>
      </c>
      <c r="N44" s="3">
        <v>0.45844301676929888</v>
      </c>
      <c r="O44" t="s">
        <v>94</v>
      </c>
    </row>
    <row r="45" spans="1:15">
      <c r="A45" t="s">
        <v>68</v>
      </c>
      <c r="B45" t="s">
        <v>60</v>
      </c>
      <c r="C45" t="s">
        <v>51</v>
      </c>
      <c r="D45" t="s">
        <v>56</v>
      </c>
      <c r="E45" s="2">
        <v>2</v>
      </c>
      <c r="F45" s="3">
        <v>6.8965517241379309E-2</v>
      </c>
      <c r="G45" s="3">
        <v>0.2192982456140351</v>
      </c>
      <c r="H45" s="3">
        <v>3.179824561403509</v>
      </c>
      <c r="I45" s="3">
        <v>0.64814814814814814</v>
      </c>
      <c r="J45" s="3">
        <v>0</v>
      </c>
      <c r="K45" s="3">
        <v>0</v>
      </c>
      <c r="L45" s="3">
        <v>0</v>
      </c>
      <c r="M45" s="3">
        <v>0</v>
      </c>
      <c r="N45" s="3">
        <v>0.5</v>
      </c>
      <c r="O45" t="s">
        <v>94</v>
      </c>
    </row>
    <row r="46" spans="1:15">
      <c r="A46" t="s">
        <v>68</v>
      </c>
      <c r="B46" t="s">
        <v>60</v>
      </c>
      <c r="C46" t="s">
        <v>51</v>
      </c>
      <c r="D46" t="s">
        <v>57</v>
      </c>
      <c r="E46" s="2">
        <v>1</v>
      </c>
      <c r="F46" s="3">
        <v>3.4482758620689648E-2</v>
      </c>
      <c r="G46" s="3">
        <v>0.25</v>
      </c>
      <c r="H46" s="3">
        <v>7.25</v>
      </c>
      <c r="I46" s="3">
        <v>0.8928571428571429</v>
      </c>
      <c r="J46" s="3">
        <v>0</v>
      </c>
      <c r="K46" s="3">
        <v>0.15151515151515149</v>
      </c>
      <c r="L46" s="3">
        <v>3.4482758620689648E-2</v>
      </c>
      <c r="M46" s="3">
        <v>1</v>
      </c>
      <c r="N46" s="3">
        <v>0.44276321370098459</v>
      </c>
      <c r="O46" t="s">
        <v>94</v>
      </c>
    </row>
    <row r="47" spans="1:15">
      <c r="A47" t="s">
        <v>68</v>
      </c>
      <c r="B47" t="s">
        <v>62</v>
      </c>
      <c r="C47" t="s">
        <v>51</v>
      </c>
      <c r="D47" t="s">
        <v>52</v>
      </c>
      <c r="E47" s="2">
        <v>1</v>
      </c>
      <c r="F47" s="3">
        <v>3.4482758620689648E-2</v>
      </c>
      <c r="G47" s="3">
        <v>0.2</v>
      </c>
      <c r="H47" s="3">
        <v>5.8000000000000007</v>
      </c>
      <c r="I47" s="3">
        <v>0.85714285714285721</v>
      </c>
      <c r="J47" s="3">
        <v>0</v>
      </c>
      <c r="K47" s="3">
        <v>0</v>
      </c>
      <c r="L47" s="3">
        <v>0</v>
      </c>
      <c r="M47" s="3">
        <v>0</v>
      </c>
      <c r="N47" s="3">
        <v>0.5</v>
      </c>
      <c r="O47" t="s">
        <v>95</v>
      </c>
    </row>
    <row r="48" spans="1:15">
      <c r="A48" t="s">
        <v>68</v>
      </c>
      <c r="B48" t="s">
        <v>62</v>
      </c>
      <c r="C48" t="s">
        <v>51</v>
      </c>
      <c r="D48" t="s">
        <v>54</v>
      </c>
      <c r="E48" s="2">
        <v>5</v>
      </c>
      <c r="F48" s="3">
        <v>0.17241379310344829</v>
      </c>
      <c r="G48" s="3">
        <v>0.65512820512820502</v>
      </c>
      <c r="H48" s="3">
        <v>3.7997435897435889</v>
      </c>
      <c r="I48" s="3">
        <v>0.79166666666666663</v>
      </c>
      <c r="J48" s="3">
        <v>0</v>
      </c>
      <c r="K48" s="3">
        <v>0</v>
      </c>
      <c r="L48" s="3">
        <v>0</v>
      </c>
      <c r="M48" s="3">
        <v>0</v>
      </c>
      <c r="N48" s="3">
        <v>0.61940179730779565</v>
      </c>
      <c r="O48" t="s">
        <v>95</v>
      </c>
    </row>
    <row r="49" spans="1:15">
      <c r="A49" t="s">
        <v>68</v>
      </c>
      <c r="B49" t="s">
        <v>62</v>
      </c>
      <c r="C49" t="s">
        <v>51</v>
      </c>
      <c r="D49" t="s">
        <v>55</v>
      </c>
      <c r="E49" s="2">
        <v>4</v>
      </c>
      <c r="F49" s="3">
        <v>0.13793103448275859</v>
      </c>
      <c r="G49" s="3">
        <v>0.88749999999999996</v>
      </c>
      <c r="H49" s="3">
        <v>6.4343750000000002</v>
      </c>
      <c r="I49" s="3">
        <v>0.98</v>
      </c>
      <c r="J49" s="3">
        <v>0.70912420834233469</v>
      </c>
      <c r="K49" s="3">
        <v>0.86956521739130432</v>
      </c>
      <c r="L49" s="3">
        <v>0.5714285714285714</v>
      </c>
      <c r="M49" s="3">
        <v>1</v>
      </c>
      <c r="N49" s="3">
        <v>0.23525327896353121</v>
      </c>
      <c r="O49" t="s">
        <v>95</v>
      </c>
    </row>
    <row r="50" spans="1:15">
      <c r="A50" t="s">
        <v>68</v>
      </c>
      <c r="B50" t="s">
        <v>62</v>
      </c>
      <c r="C50" t="s">
        <v>51</v>
      </c>
      <c r="D50" t="s">
        <v>56</v>
      </c>
      <c r="E50" s="2">
        <v>2</v>
      </c>
      <c r="F50" s="3">
        <v>6.8965517241379309E-2</v>
      </c>
      <c r="G50" s="3">
        <v>0.23809523809523811</v>
      </c>
      <c r="H50" s="3">
        <v>3.4523809523809521</v>
      </c>
      <c r="I50" s="3">
        <v>0.7407407407407407</v>
      </c>
      <c r="J50" s="3">
        <v>0</v>
      </c>
      <c r="K50" s="3">
        <v>0</v>
      </c>
      <c r="L50" s="3">
        <v>0</v>
      </c>
      <c r="M50" s="3">
        <v>0</v>
      </c>
      <c r="N50" s="3">
        <v>0.5</v>
      </c>
      <c r="O50" t="s">
        <v>95</v>
      </c>
    </row>
    <row r="51" spans="1:15">
      <c r="A51" t="s">
        <v>68</v>
      </c>
      <c r="B51" t="s">
        <v>62</v>
      </c>
      <c r="C51" t="s">
        <v>51</v>
      </c>
      <c r="D51" t="s">
        <v>57</v>
      </c>
      <c r="E51" s="2">
        <v>1</v>
      </c>
      <c r="F51" s="3">
        <v>3.4482758620689648E-2</v>
      </c>
      <c r="G51" s="3">
        <v>8.3333333333333329E-2</v>
      </c>
      <c r="H51" s="3">
        <v>2.416666666666667</v>
      </c>
      <c r="I51" s="3">
        <v>0.60714285714285721</v>
      </c>
      <c r="J51" s="3">
        <v>-0.1371021242767704</v>
      </c>
      <c r="K51" s="3">
        <v>0</v>
      </c>
      <c r="L51" s="3">
        <v>0</v>
      </c>
      <c r="M51" s="3">
        <v>0</v>
      </c>
      <c r="N51" s="3">
        <v>8.2841694441123243E-2</v>
      </c>
      <c r="O51" t="s">
        <v>95</v>
      </c>
    </row>
    <row r="52" spans="1:15">
      <c r="A52" t="s">
        <v>68</v>
      </c>
      <c r="B52" t="s">
        <v>64</v>
      </c>
      <c r="C52" t="s">
        <v>51</v>
      </c>
      <c r="D52" t="s">
        <v>52</v>
      </c>
      <c r="E52" s="2">
        <v>1</v>
      </c>
      <c r="F52" s="3">
        <v>3.4482758620689648E-2</v>
      </c>
      <c r="G52" s="3">
        <v>0.16666666666666671</v>
      </c>
      <c r="H52" s="3">
        <v>4.833333333333333</v>
      </c>
      <c r="I52" s="3">
        <v>0.8214285714285714</v>
      </c>
      <c r="J52" s="3">
        <v>-5.1434449987363969E-2</v>
      </c>
      <c r="K52" s="3">
        <v>0</v>
      </c>
      <c r="L52" s="3">
        <v>0</v>
      </c>
      <c r="M52" s="3">
        <v>0</v>
      </c>
      <c r="N52" s="3">
        <v>0.5</v>
      </c>
      <c r="O52" t="s">
        <v>96</v>
      </c>
    </row>
    <row r="53" spans="1:15">
      <c r="A53" t="s">
        <v>68</v>
      </c>
      <c r="B53" t="s">
        <v>64</v>
      </c>
      <c r="C53" t="s">
        <v>51</v>
      </c>
      <c r="D53" t="s">
        <v>54</v>
      </c>
      <c r="E53" s="2">
        <v>5</v>
      </c>
      <c r="F53" s="3">
        <v>0.17241379310344829</v>
      </c>
      <c r="G53" s="3">
        <v>0.69500000000000006</v>
      </c>
      <c r="H53" s="3">
        <v>4.0309999999999997</v>
      </c>
      <c r="I53" s="3">
        <v>0.80833333333333335</v>
      </c>
      <c r="J53" s="3">
        <v>0.32281067325791868</v>
      </c>
      <c r="K53" s="3">
        <v>0.60606060606060608</v>
      </c>
      <c r="L53" s="3">
        <v>0.30769230769230771</v>
      </c>
      <c r="M53" s="3">
        <v>0.8</v>
      </c>
      <c r="N53" s="3">
        <v>0.24192943087025509</v>
      </c>
      <c r="O53" t="s">
        <v>96</v>
      </c>
    </row>
    <row r="54" spans="1:15">
      <c r="A54" t="s">
        <v>68</v>
      </c>
      <c r="B54" t="s">
        <v>64</v>
      </c>
      <c r="C54" t="s">
        <v>51</v>
      </c>
      <c r="D54" t="s">
        <v>55</v>
      </c>
      <c r="E54" s="2">
        <v>4</v>
      </c>
      <c r="F54" s="3">
        <v>0.13793103448275859</v>
      </c>
      <c r="G54" s="3">
        <v>0.88749999999999996</v>
      </c>
      <c r="H54" s="3">
        <v>6.4343750000000002</v>
      </c>
      <c r="I54" s="3">
        <v>0.98</v>
      </c>
      <c r="J54" s="3">
        <v>0.64807406984078608</v>
      </c>
      <c r="K54" s="3">
        <v>0.83333333333333337</v>
      </c>
      <c r="L54" s="3">
        <v>0.5</v>
      </c>
      <c r="M54" s="3">
        <v>1</v>
      </c>
      <c r="N54" s="3">
        <v>0.31999092219762548</v>
      </c>
      <c r="O54" t="s">
        <v>96</v>
      </c>
    </row>
    <row r="55" spans="1:15">
      <c r="A55" t="s">
        <v>68</v>
      </c>
      <c r="B55" t="s">
        <v>64</v>
      </c>
      <c r="C55" t="s">
        <v>51</v>
      </c>
      <c r="D55" t="s">
        <v>56</v>
      </c>
      <c r="E55" s="2">
        <v>2</v>
      </c>
      <c r="F55" s="3">
        <v>6.8965517241379309E-2</v>
      </c>
      <c r="G55" s="3">
        <v>0.22222222222222221</v>
      </c>
      <c r="H55" s="3">
        <v>3.2222222222222219</v>
      </c>
      <c r="I55" s="3">
        <v>0.66666666666666674</v>
      </c>
      <c r="J55" s="3">
        <v>0.1115731135658672</v>
      </c>
      <c r="K55" s="3">
        <v>0.29411764705882348</v>
      </c>
      <c r="L55" s="3">
        <v>0.1111111111111111</v>
      </c>
      <c r="M55" s="3">
        <v>0.5</v>
      </c>
      <c r="N55" s="3">
        <v>0.5</v>
      </c>
      <c r="O55" t="s">
        <v>96</v>
      </c>
    </row>
    <row r="56" spans="1:15">
      <c r="A56" t="s">
        <v>68</v>
      </c>
      <c r="B56" t="s">
        <v>64</v>
      </c>
      <c r="C56" t="s">
        <v>51</v>
      </c>
      <c r="D56" t="s">
        <v>57</v>
      </c>
      <c r="E56" s="2">
        <v>1</v>
      </c>
      <c r="F56" s="3">
        <v>3.4482758620689648E-2</v>
      </c>
      <c r="G56" s="3">
        <v>0.1111111111111111</v>
      </c>
      <c r="H56" s="3">
        <v>3.2222222222222219</v>
      </c>
      <c r="I56" s="3">
        <v>0.7142857142857143</v>
      </c>
      <c r="J56" s="3">
        <v>0.28171808490950551</v>
      </c>
      <c r="K56" s="3">
        <v>0.38461538461538458</v>
      </c>
      <c r="L56" s="3">
        <v>0.1111111111111111</v>
      </c>
      <c r="M56" s="3">
        <v>1</v>
      </c>
      <c r="N56" s="3">
        <v>0.52568285095032741</v>
      </c>
      <c r="O56" t="s">
        <v>96</v>
      </c>
    </row>
    <row r="57" spans="1:15">
      <c r="A57" t="s">
        <v>68</v>
      </c>
      <c r="B57" t="s">
        <v>66</v>
      </c>
      <c r="C57" t="s">
        <v>51</v>
      </c>
      <c r="D57" t="s">
        <v>52</v>
      </c>
      <c r="E57" s="2">
        <v>1</v>
      </c>
      <c r="F57" s="3">
        <v>3.4482758620689648E-2</v>
      </c>
      <c r="G57" s="3">
        <v>0.33333333333333331</v>
      </c>
      <c r="H57" s="3">
        <v>9.6666666666666661</v>
      </c>
      <c r="I57" s="3">
        <v>0.9285714285714286</v>
      </c>
      <c r="J57" s="3">
        <v>0</v>
      </c>
      <c r="K57" s="3">
        <v>0</v>
      </c>
      <c r="L57" s="3">
        <v>0</v>
      </c>
      <c r="M57" s="3">
        <v>0</v>
      </c>
      <c r="N57" s="3">
        <v>0.5</v>
      </c>
      <c r="O57" t="s">
        <v>97</v>
      </c>
    </row>
    <row r="58" spans="1:15">
      <c r="A58" t="s">
        <v>68</v>
      </c>
      <c r="B58" t="s">
        <v>66</v>
      </c>
      <c r="C58" t="s">
        <v>51</v>
      </c>
      <c r="D58" t="s">
        <v>54</v>
      </c>
      <c r="E58" s="2">
        <v>5</v>
      </c>
      <c r="F58" s="3">
        <v>0.17241379310344829</v>
      </c>
      <c r="G58" s="3">
        <v>0.43166666666666659</v>
      </c>
      <c r="H58" s="3">
        <v>2.5036666666666658</v>
      </c>
      <c r="I58" s="3">
        <v>0.6166666666666667</v>
      </c>
      <c r="J58" s="3">
        <v>0.27500000000000002</v>
      </c>
      <c r="K58" s="3">
        <v>0.4</v>
      </c>
      <c r="L58" s="3">
        <v>0.4</v>
      </c>
      <c r="M58" s="3">
        <v>0.4</v>
      </c>
      <c r="N58" s="3">
        <v>0.37291271156316508</v>
      </c>
      <c r="O58" t="s">
        <v>97</v>
      </c>
    </row>
    <row r="59" spans="1:15">
      <c r="A59" t="s">
        <v>68</v>
      </c>
      <c r="B59" t="s">
        <v>66</v>
      </c>
      <c r="C59" t="s">
        <v>51</v>
      </c>
      <c r="D59" t="s">
        <v>55</v>
      </c>
      <c r="E59" s="2">
        <v>4</v>
      </c>
      <c r="F59" s="3">
        <v>0.13793103448275859</v>
      </c>
      <c r="G59" s="3">
        <v>0.95</v>
      </c>
      <c r="H59" s="3">
        <v>6.8875000000000002</v>
      </c>
      <c r="I59" s="3">
        <v>0.99</v>
      </c>
      <c r="J59" s="3">
        <v>0.8763560920082657</v>
      </c>
      <c r="K59" s="3">
        <v>0.95238095238095233</v>
      </c>
      <c r="L59" s="3">
        <v>0.8</v>
      </c>
      <c r="M59" s="3">
        <v>1</v>
      </c>
      <c r="N59" s="3">
        <v>0.2642875934591562</v>
      </c>
      <c r="O59" t="s">
        <v>97</v>
      </c>
    </row>
    <row r="60" spans="1:15">
      <c r="A60" t="s">
        <v>68</v>
      </c>
      <c r="B60" t="s">
        <v>66</v>
      </c>
      <c r="C60" t="s">
        <v>51</v>
      </c>
      <c r="D60" t="s">
        <v>56</v>
      </c>
      <c r="E60" s="2">
        <v>2</v>
      </c>
      <c r="F60" s="3">
        <v>6.8965517241379309E-2</v>
      </c>
      <c r="G60" s="3">
        <v>0.20512820512820509</v>
      </c>
      <c r="H60" s="3">
        <v>2.974358974358974</v>
      </c>
      <c r="I60" s="3">
        <v>0.5185185185185186</v>
      </c>
      <c r="J60" s="3">
        <v>-7.407407407407407E-2</v>
      </c>
      <c r="K60" s="3">
        <v>0</v>
      </c>
      <c r="L60" s="3">
        <v>0</v>
      </c>
      <c r="M60" s="3">
        <v>0</v>
      </c>
      <c r="N60" s="3">
        <v>0.5</v>
      </c>
      <c r="O60" t="s">
        <v>97</v>
      </c>
    </row>
    <row r="61" spans="1:15">
      <c r="A61" t="s">
        <v>68</v>
      </c>
      <c r="B61" t="s">
        <v>66</v>
      </c>
      <c r="C61" t="s">
        <v>51</v>
      </c>
      <c r="D61" t="s">
        <v>57</v>
      </c>
      <c r="E61" s="2">
        <v>1</v>
      </c>
      <c r="F61" s="3">
        <v>3.4482758620689648E-2</v>
      </c>
      <c r="G61" s="3">
        <v>0.33333333333333331</v>
      </c>
      <c r="H61" s="3">
        <v>9.6666666666666661</v>
      </c>
      <c r="I61" s="3">
        <v>0.9285714285714286</v>
      </c>
      <c r="J61" s="3">
        <v>0.18257418583505541</v>
      </c>
      <c r="K61" s="3">
        <v>0.26315789473684209</v>
      </c>
      <c r="L61" s="3">
        <v>6.6666666666666666E-2</v>
      </c>
      <c r="M61" s="3">
        <v>1</v>
      </c>
      <c r="N61" s="3">
        <v>0.28551782315561169</v>
      </c>
      <c r="O61" t="s">
        <v>97</v>
      </c>
    </row>
    <row r="62" spans="1:15">
      <c r="A62" t="s">
        <v>75</v>
      </c>
      <c r="B62" t="s">
        <v>50</v>
      </c>
      <c r="C62" t="s">
        <v>51</v>
      </c>
      <c r="D62" t="s">
        <v>52</v>
      </c>
      <c r="E62" s="2">
        <v>1</v>
      </c>
      <c r="F62" s="3">
        <v>3.4482758620689648E-2</v>
      </c>
      <c r="G62" s="3">
        <v>0.2</v>
      </c>
      <c r="H62" s="3">
        <v>5.8000000000000007</v>
      </c>
      <c r="I62" s="3">
        <v>0.85714285714285721</v>
      </c>
      <c r="J62" s="3">
        <v>0</v>
      </c>
      <c r="K62" s="3">
        <v>0</v>
      </c>
      <c r="L62" s="3">
        <v>0</v>
      </c>
      <c r="M62" s="3">
        <v>0</v>
      </c>
      <c r="N62" s="3">
        <v>0.5</v>
      </c>
      <c r="O62" t="s">
        <v>98</v>
      </c>
    </row>
    <row r="63" spans="1:15">
      <c r="A63" t="s">
        <v>75</v>
      </c>
      <c r="B63" t="s">
        <v>50</v>
      </c>
      <c r="C63" t="s">
        <v>51</v>
      </c>
      <c r="D63" t="s">
        <v>54</v>
      </c>
      <c r="E63" s="2">
        <v>5</v>
      </c>
      <c r="F63" s="3">
        <v>0.17241379310344829</v>
      </c>
      <c r="G63" s="3">
        <v>0.8</v>
      </c>
      <c r="H63" s="3">
        <v>4.6399999999999997</v>
      </c>
      <c r="I63" s="3">
        <v>0.82500000000000007</v>
      </c>
      <c r="J63" s="3">
        <v>0</v>
      </c>
      <c r="K63" s="3">
        <v>0</v>
      </c>
      <c r="L63" s="3">
        <v>0</v>
      </c>
      <c r="M63" s="3">
        <v>0</v>
      </c>
      <c r="N63" s="3">
        <v>0.69634104248267326</v>
      </c>
      <c r="O63" t="s">
        <v>98</v>
      </c>
    </row>
    <row r="64" spans="1:15">
      <c r="A64" t="s">
        <v>75</v>
      </c>
      <c r="B64" t="s">
        <v>50</v>
      </c>
      <c r="C64" t="s">
        <v>51</v>
      </c>
      <c r="D64" t="s">
        <v>55</v>
      </c>
      <c r="E64" s="2">
        <v>4</v>
      </c>
      <c r="F64" s="3">
        <v>0.13793103448275859</v>
      </c>
      <c r="G64" s="3">
        <v>0.91666666666666663</v>
      </c>
      <c r="H64" s="3">
        <v>6.645833333333333</v>
      </c>
      <c r="I64" s="3">
        <v>0.98</v>
      </c>
      <c r="J64" s="3">
        <v>0.64807406984078608</v>
      </c>
      <c r="K64" s="3">
        <v>0.83333333333333337</v>
      </c>
      <c r="L64" s="3">
        <v>0.5</v>
      </c>
      <c r="M64" s="3">
        <v>1</v>
      </c>
      <c r="N64" s="3">
        <v>0.42015679041644521</v>
      </c>
      <c r="O64" t="s">
        <v>98</v>
      </c>
    </row>
    <row r="65" spans="1:15">
      <c r="A65" t="s">
        <v>75</v>
      </c>
      <c r="B65" t="s">
        <v>50</v>
      </c>
      <c r="C65" t="s">
        <v>51</v>
      </c>
      <c r="D65" t="s">
        <v>56</v>
      </c>
      <c r="E65" s="2">
        <v>2</v>
      </c>
      <c r="F65" s="3">
        <v>6.8965517241379309E-2</v>
      </c>
      <c r="G65" s="3">
        <v>0.1125</v>
      </c>
      <c r="H65" s="3">
        <v>1.6312500000000001</v>
      </c>
      <c r="I65" s="3">
        <v>0.57407407407407407</v>
      </c>
      <c r="J65" s="3">
        <v>-5.1434449987363969E-2</v>
      </c>
      <c r="K65" s="3">
        <v>0</v>
      </c>
      <c r="L65" s="3">
        <v>0</v>
      </c>
      <c r="M65" s="3">
        <v>0</v>
      </c>
      <c r="N65" s="3">
        <v>0.5</v>
      </c>
      <c r="O65" t="s">
        <v>98</v>
      </c>
    </row>
    <row r="66" spans="1:15">
      <c r="A66" t="s">
        <v>75</v>
      </c>
      <c r="B66" t="s">
        <v>50</v>
      </c>
      <c r="C66" t="s">
        <v>51</v>
      </c>
      <c r="D66" t="s">
        <v>57</v>
      </c>
      <c r="E66" s="2">
        <v>1</v>
      </c>
      <c r="F66" s="3">
        <v>3.4482758620689648E-2</v>
      </c>
      <c r="G66" s="3">
        <v>4.3478260869565223E-2</v>
      </c>
      <c r="H66" s="3">
        <v>1.2608695652173909</v>
      </c>
      <c r="I66" s="3">
        <v>0.2142857142857143</v>
      </c>
      <c r="J66" s="3">
        <v>-0.19561519910898789</v>
      </c>
      <c r="K66" s="3">
        <v>0</v>
      </c>
      <c r="L66" s="3">
        <v>0</v>
      </c>
      <c r="M66" s="3">
        <v>0</v>
      </c>
      <c r="N66" s="3">
        <v>0.24821740547316759</v>
      </c>
      <c r="O66" t="s">
        <v>98</v>
      </c>
    </row>
    <row r="67" spans="1:15">
      <c r="A67" t="s">
        <v>75</v>
      </c>
      <c r="B67" t="s">
        <v>58</v>
      </c>
      <c r="C67" t="s">
        <v>51</v>
      </c>
      <c r="D67" t="s">
        <v>52</v>
      </c>
      <c r="E67" s="2">
        <v>1</v>
      </c>
      <c r="F67" s="3">
        <v>3.4482758620689648E-2</v>
      </c>
      <c r="G67" s="3">
        <v>1</v>
      </c>
      <c r="H67" s="3">
        <v>29</v>
      </c>
      <c r="I67" s="3">
        <v>1</v>
      </c>
      <c r="J67" s="3">
        <v>1</v>
      </c>
      <c r="K67" s="3">
        <v>1</v>
      </c>
      <c r="L67" s="3">
        <v>1</v>
      </c>
      <c r="M67" s="3">
        <v>1</v>
      </c>
      <c r="N67" s="3">
        <v>0.5</v>
      </c>
      <c r="O67" t="s">
        <v>99</v>
      </c>
    </row>
    <row r="68" spans="1:15">
      <c r="A68" t="s">
        <v>75</v>
      </c>
      <c r="B68" t="s">
        <v>58</v>
      </c>
      <c r="C68" t="s">
        <v>51</v>
      </c>
      <c r="D68" t="s">
        <v>54</v>
      </c>
      <c r="E68" s="2">
        <v>5</v>
      </c>
      <c r="F68" s="3">
        <v>0.17241379310344829</v>
      </c>
      <c r="G68" s="3">
        <v>0.52126984126984133</v>
      </c>
      <c r="H68" s="3">
        <v>3.023365079365079</v>
      </c>
      <c r="I68" s="3">
        <v>0.81666666666666665</v>
      </c>
      <c r="J68" s="3">
        <v>8.2158383625774919E-2</v>
      </c>
      <c r="K68" s="3">
        <v>0.20833333333333329</v>
      </c>
      <c r="L68" s="3">
        <v>0.25</v>
      </c>
      <c r="M68" s="3">
        <v>0.2</v>
      </c>
      <c r="N68" s="3">
        <v>0.75884570446445732</v>
      </c>
      <c r="O68" t="s">
        <v>99</v>
      </c>
    </row>
    <row r="69" spans="1:15">
      <c r="A69" t="s">
        <v>75</v>
      </c>
      <c r="B69" t="s">
        <v>58</v>
      </c>
      <c r="C69" t="s">
        <v>51</v>
      </c>
      <c r="D69" t="s">
        <v>55</v>
      </c>
      <c r="E69" s="2">
        <v>4</v>
      </c>
      <c r="F69" s="3">
        <v>0.13793103448275859</v>
      </c>
      <c r="G69" s="3">
        <v>0.52500000000000002</v>
      </c>
      <c r="H69" s="3">
        <v>3.8062499999999999</v>
      </c>
      <c r="I69" s="3">
        <v>0.92</v>
      </c>
      <c r="J69" s="3">
        <v>0.64807406984078608</v>
      </c>
      <c r="K69" s="3">
        <v>0.83333333333333337</v>
      </c>
      <c r="L69" s="3">
        <v>0.5</v>
      </c>
      <c r="M69" s="3">
        <v>1</v>
      </c>
      <c r="N69" s="3">
        <v>2.4651704844199751E-3</v>
      </c>
      <c r="O69" t="s">
        <v>99</v>
      </c>
    </row>
    <row r="70" spans="1:15">
      <c r="A70" t="s">
        <v>75</v>
      </c>
      <c r="B70" t="s">
        <v>58</v>
      </c>
      <c r="C70" t="s">
        <v>51</v>
      </c>
      <c r="D70" t="s">
        <v>56</v>
      </c>
      <c r="E70" s="2">
        <v>2</v>
      </c>
      <c r="F70" s="3">
        <v>6.8965517241379309E-2</v>
      </c>
      <c r="G70" s="3">
        <v>7.2751322751322747E-2</v>
      </c>
      <c r="H70" s="3">
        <v>1.05489417989418</v>
      </c>
      <c r="I70" s="3">
        <v>0.29629629629629628</v>
      </c>
      <c r="J70" s="3">
        <v>-7.407407407407407E-2</v>
      </c>
      <c r="K70" s="3">
        <v>0</v>
      </c>
      <c r="L70" s="3">
        <v>0</v>
      </c>
      <c r="M70" s="3">
        <v>0</v>
      </c>
      <c r="N70" s="3">
        <v>0.5</v>
      </c>
      <c r="O70" t="s">
        <v>99</v>
      </c>
    </row>
    <row r="71" spans="1:15">
      <c r="A71" t="s">
        <v>75</v>
      </c>
      <c r="B71" t="s">
        <v>58</v>
      </c>
      <c r="C71" t="s">
        <v>51</v>
      </c>
      <c r="D71" t="s">
        <v>57</v>
      </c>
      <c r="E71" s="2">
        <v>1</v>
      </c>
      <c r="F71" s="3">
        <v>3.4482758620689648E-2</v>
      </c>
      <c r="G71" s="3">
        <v>5.5555555555555552E-2</v>
      </c>
      <c r="H71" s="3">
        <v>1.6111111111111109</v>
      </c>
      <c r="I71" s="3">
        <v>0.3928571428571429</v>
      </c>
      <c r="J71" s="3">
        <v>0</v>
      </c>
      <c r="K71" s="3">
        <v>0.15151515151515149</v>
      </c>
      <c r="L71" s="3">
        <v>3.4482758620689648E-2</v>
      </c>
      <c r="M71" s="3">
        <v>1</v>
      </c>
      <c r="N71" s="3">
        <v>1.673636531846901E-15</v>
      </c>
      <c r="O71" t="s">
        <v>99</v>
      </c>
    </row>
    <row r="72" spans="1:15">
      <c r="A72" t="s">
        <v>75</v>
      </c>
      <c r="B72" t="s">
        <v>58</v>
      </c>
      <c r="C72" t="s">
        <v>78</v>
      </c>
      <c r="D72" t="s">
        <v>52</v>
      </c>
      <c r="E72" s="2">
        <v>1</v>
      </c>
      <c r="F72" s="3">
        <v>3.4482758620689648E-2</v>
      </c>
      <c r="G72" s="3">
        <v>0.5</v>
      </c>
      <c r="H72" s="3">
        <v>14.5</v>
      </c>
      <c r="I72" s="3">
        <v>0.9642857142857143</v>
      </c>
      <c r="J72" s="3">
        <v>0.55634864026418673</v>
      </c>
      <c r="K72" s="3">
        <v>0.7142857142857143</v>
      </c>
      <c r="L72" s="3">
        <v>0.33333333333333331</v>
      </c>
      <c r="M72" s="3">
        <v>1</v>
      </c>
      <c r="N72" s="3">
        <v>0.5</v>
      </c>
      <c r="O72" t="s">
        <v>100</v>
      </c>
    </row>
    <row r="73" spans="1:15">
      <c r="A73" t="s">
        <v>75</v>
      </c>
      <c r="B73" t="s">
        <v>58</v>
      </c>
      <c r="C73" t="s">
        <v>78</v>
      </c>
      <c r="D73" t="s">
        <v>54</v>
      </c>
      <c r="E73" s="2">
        <v>5</v>
      </c>
      <c r="F73" s="3">
        <v>0.17241379310344829</v>
      </c>
      <c r="G73" s="3">
        <v>0.42869532428355961</v>
      </c>
      <c r="H73" s="3">
        <v>2.486432880844645</v>
      </c>
      <c r="I73" s="3">
        <v>0.76666666666666672</v>
      </c>
      <c r="J73" s="3">
        <v>0.16919084232174361</v>
      </c>
      <c r="K73" s="3">
        <v>0.37037037037037029</v>
      </c>
      <c r="L73" s="3">
        <v>0.2857142857142857</v>
      </c>
      <c r="M73" s="3">
        <v>0.4</v>
      </c>
      <c r="N73" s="3">
        <v>6.0214457735794313E-2</v>
      </c>
      <c r="O73" t="s">
        <v>100</v>
      </c>
    </row>
    <row r="74" spans="1:15">
      <c r="A74" t="s">
        <v>75</v>
      </c>
      <c r="B74" t="s">
        <v>58</v>
      </c>
      <c r="C74" t="s">
        <v>78</v>
      </c>
      <c r="D74" t="s">
        <v>55</v>
      </c>
      <c r="E74" s="2">
        <v>4</v>
      </c>
      <c r="F74" s="3">
        <v>0.13793103448275859</v>
      </c>
      <c r="G74" s="3">
        <v>0.6791666666666667</v>
      </c>
      <c r="H74" s="3">
        <v>4.9239583333333332</v>
      </c>
      <c r="I74" s="3">
        <v>0.96</v>
      </c>
      <c r="J74" s="3">
        <v>0.70912420834233469</v>
      </c>
      <c r="K74" s="3">
        <v>0.86956521739130432</v>
      </c>
      <c r="L74" s="3">
        <v>0.5714285714285714</v>
      </c>
      <c r="M74" s="3">
        <v>1</v>
      </c>
      <c r="N74" s="3">
        <v>6.3101452075357001E-2</v>
      </c>
      <c r="O74" t="s">
        <v>100</v>
      </c>
    </row>
    <row r="75" spans="1:15">
      <c r="A75" t="s">
        <v>75</v>
      </c>
      <c r="B75" t="s">
        <v>58</v>
      </c>
      <c r="C75" t="s">
        <v>78</v>
      </c>
      <c r="D75" t="s">
        <v>56</v>
      </c>
      <c r="E75" s="2">
        <v>2</v>
      </c>
      <c r="F75" s="3">
        <v>6.8965517241379309E-2</v>
      </c>
      <c r="G75" s="3">
        <v>6.9411764705882353E-2</v>
      </c>
      <c r="H75" s="3">
        <v>1.006470588235294</v>
      </c>
      <c r="I75" s="3">
        <v>0.27777777777777779</v>
      </c>
      <c r="J75" s="3">
        <v>-5.1434449987363969E-2</v>
      </c>
      <c r="K75" s="3">
        <v>0</v>
      </c>
      <c r="L75" s="3">
        <v>0</v>
      </c>
      <c r="M75" s="3">
        <v>0</v>
      </c>
      <c r="N75" s="3">
        <v>0.5</v>
      </c>
      <c r="O75" t="s">
        <v>100</v>
      </c>
    </row>
    <row r="76" spans="1:15">
      <c r="A76" t="s">
        <v>75</v>
      </c>
      <c r="B76" t="s">
        <v>58</v>
      </c>
      <c r="C76" t="s">
        <v>78</v>
      </c>
      <c r="D76" t="s">
        <v>57</v>
      </c>
      <c r="E76" s="2">
        <v>1</v>
      </c>
      <c r="F76" s="3">
        <v>3.4482758620689648E-2</v>
      </c>
      <c r="G76" s="3">
        <v>4.1666666666666657E-2</v>
      </c>
      <c r="H76" s="3">
        <v>1.208333333333333</v>
      </c>
      <c r="I76" s="3">
        <v>0.1785714285714286</v>
      </c>
      <c r="J76" s="3">
        <v>-5.1434449987363969E-2</v>
      </c>
      <c r="K76" s="3">
        <v>0</v>
      </c>
      <c r="L76" s="3">
        <v>0</v>
      </c>
      <c r="M76" s="3">
        <v>0</v>
      </c>
      <c r="N76" s="3">
        <v>0.8318851957968133</v>
      </c>
      <c r="O76" t="s">
        <v>100</v>
      </c>
    </row>
    <row r="77" spans="1:15">
      <c r="A77" t="s">
        <v>75</v>
      </c>
      <c r="B77" t="s">
        <v>58</v>
      </c>
      <c r="C77" t="s">
        <v>80</v>
      </c>
      <c r="D77" t="s">
        <v>52</v>
      </c>
      <c r="E77" s="2">
        <v>1</v>
      </c>
      <c r="F77" s="3">
        <v>3.4482758620689648E-2</v>
      </c>
      <c r="G77" s="3">
        <v>1</v>
      </c>
      <c r="H77" s="3">
        <v>29</v>
      </c>
      <c r="I77" s="3">
        <v>1</v>
      </c>
      <c r="J77" s="3">
        <v>1</v>
      </c>
      <c r="K77" s="3">
        <v>1</v>
      </c>
      <c r="L77" s="3">
        <v>1</v>
      </c>
      <c r="M77" s="3">
        <v>1</v>
      </c>
      <c r="N77" s="3">
        <v>0.5</v>
      </c>
      <c r="O77" t="s">
        <v>101</v>
      </c>
    </row>
    <row r="78" spans="1:15">
      <c r="A78" t="s">
        <v>75</v>
      </c>
      <c r="B78" t="s">
        <v>58</v>
      </c>
      <c r="C78" t="s">
        <v>80</v>
      </c>
      <c r="D78" t="s">
        <v>54</v>
      </c>
      <c r="E78" s="2">
        <v>5</v>
      </c>
      <c r="F78" s="3">
        <v>0.17241379310344829</v>
      </c>
      <c r="G78" s="3">
        <v>0.51263157894736844</v>
      </c>
      <c r="H78" s="3">
        <v>2.9732631578947371</v>
      </c>
      <c r="I78" s="3">
        <v>0.78333333333333333</v>
      </c>
      <c r="J78" s="3">
        <v>0.1447071903540765</v>
      </c>
      <c r="K78" s="3">
        <v>0.21739130434782611</v>
      </c>
      <c r="L78" s="3">
        <v>0.33333333333333331</v>
      </c>
      <c r="M78" s="3">
        <v>0.2</v>
      </c>
      <c r="N78" s="3">
        <v>0.52787865094803121</v>
      </c>
      <c r="O78" t="s">
        <v>101</v>
      </c>
    </row>
    <row r="79" spans="1:15">
      <c r="A79" t="s">
        <v>75</v>
      </c>
      <c r="B79" t="s">
        <v>58</v>
      </c>
      <c r="C79" t="s">
        <v>80</v>
      </c>
      <c r="D79" t="s">
        <v>55</v>
      </c>
      <c r="E79" s="2">
        <v>4</v>
      </c>
      <c r="F79" s="3">
        <v>0.13793103448275859</v>
      </c>
      <c r="G79" s="3">
        <v>0.88749999999999996</v>
      </c>
      <c r="H79" s="3">
        <v>6.4343750000000002</v>
      </c>
      <c r="I79" s="3">
        <v>0.98</v>
      </c>
      <c r="J79" s="3">
        <v>0.55136195008360878</v>
      </c>
      <c r="K79" s="3">
        <v>0.76923076923076927</v>
      </c>
      <c r="L79" s="3">
        <v>0.4</v>
      </c>
      <c r="M79" s="3">
        <v>1</v>
      </c>
      <c r="N79" s="3">
        <v>1.736658655011083E-3</v>
      </c>
      <c r="O79" t="s">
        <v>101</v>
      </c>
    </row>
    <row r="80" spans="1:15">
      <c r="A80" t="s">
        <v>75</v>
      </c>
      <c r="B80" t="s">
        <v>58</v>
      </c>
      <c r="C80" t="s">
        <v>80</v>
      </c>
      <c r="D80" t="s">
        <v>56</v>
      </c>
      <c r="E80" s="2">
        <v>2</v>
      </c>
      <c r="F80" s="3">
        <v>6.8965517241379309E-2</v>
      </c>
      <c r="G80" s="3">
        <v>6.1739130434782609E-2</v>
      </c>
      <c r="H80" s="3">
        <v>0.89521739130434785</v>
      </c>
      <c r="I80" s="3">
        <v>0.16666666666666671</v>
      </c>
      <c r="J80" s="3">
        <v>-0.1088662107903635</v>
      </c>
      <c r="K80" s="3">
        <v>0</v>
      </c>
      <c r="L80" s="3">
        <v>0</v>
      </c>
      <c r="M80" s="3">
        <v>0</v>
      </c>
      <c r="N80" s="3">
        <v>0.5</v>
      </c>
      <c r="O80" t="s">
        <v>101</v>
      </c>
    </row>
    <row r="81" spans="1:15">
      <c r="A81" t="s">
        <v>75</v>
      </c>
      <c r="B81" t="s">
        <v>58</v>
      </c>
      <c r="C81" t="s">
        <v>80</v>
      </c>
      <c r="D81" t="s">
        <v>57</v>
      </c>
      <c r="E81" s="2">
        <v>1</v>
      </c>
      <c r="F81" s="3">
        <v>3.4482758620689648E-2</v>
      </c>
      <c r="G81" s="3">
        <v>4.1666666666666657E-2</v>
      </c>
      <c r="H81" s="3">
        <v>1.208333333333333</v>
      </c>
      <c r="I81" s="3">
        <v>0.1785714285714286</v>
      </c>
      <c r="J81" s="3">
        <v>0</v>
      </c>
      <c r="K81" s="3">
        <v>0.15151515151515149</v>
      </c>
      <c r="L81" s="3">
        <v>3.4482758620689648E-2</v>
      </c>
      <c r="M81" s="3">
        <v>1</v>
      </c>
      <c r="N81" s="3">
        <v>5.7653708949109634E-17</v>
      </c>
      <c r="O81" t="s">
        <v>101</v>
      </c>
    </row>
    <row r="82" spans="1:15">
      <c r="A82" t="s">
        <v>75</v>
      </c>
      <c r="B82" t="s">
        <v>60</v>
      </c>
      <c r="C82" t="s">
        <v>51</v>
      </c>
      <c r="D82" t="s">
        <v>52</v>
      </c>
      <c r="E82" s="2">
        <v>1</v>
      </c>
      <c r="F82" s="3">
        <v>3.4482758620689648E-2</v>
      </c>
      <c r="G82" s="3">
        <v>0.2</v>
      </c>
      <c r="H82" s="3">
        <v>5.8000000000000007</v>
      </c>
      <c r="I82" s="3">
        <v>0.85714285714285721</v>
      </c>
      <c r="J82" s="3">
        <v>0</v>
      </c>
      <c r="K82" s="3">
        <v>0</v>
      </c>
      <c r="L82" s="3">
        <v>0</v>
      </c>
      <c r="M82" s="3">
        <v>0</v>
      </c>
      <c r="N82" s="3">
        <v>0.5</v>
      </c>
      <c r="O82" t="s">
        <v>102</v>
      </c>
    </row>
    <row r="83" spans="1:15">
      <c r="A83" t="s">
        <v>75</v>
      </c>
      <c r="B83" t="s">
        <v>60</v>
      </c>
      <c r="C83" t="s">
        <v>51</v>
      </c>
      <c r="D83" t="s">
        <v>54</v>
      </c>
      <c r="E83" s="2">
        <v>5</v>
      </c>
      <c r="F83" s="3">
        <v>0.17241379310344829</v>
      </c>
      <c r="G83" s="3">
        <v>0.81</v>
      </c>
      <c r="H83" s="3">
        <v>4.6980000000000004</v>
      </c>
      <c r="I83" s="3">
        <v>0.94166666666666665</v>
      </c>
      <c r="J83" s="3">
        <v>0</v>
      </c>
      <c r="K83" s="3">
        <v>0</v>
      </c>
      <c r="L83" s="3">
        <v>0</v>
      </c>
      <c r="M83" s="3">
        <v>0</v>
      </c>
      <c r="N83" s="3">
        <v>0.65581499889268347</v>
      </c>
      <c r="O83" t="s">
        <v>102</v>
      </c>
    </row>
    <row r="84" spans="1:15">
      <c r="A84" t="s">
        <v>75</v>
      </c>
      <c r="B84" t="s">
        <v>60</v>
      </c>
      <c r="C84" t="s">
        <v>51</v>
      </c>
      <c r="D84" t="s">
        <v>55</v>
      </c>
      <c r="E84" s="2">
        <v>4</v>
      </c>
      <c r="F84" s="3">
        <v>0.13793103448275859</v>
      </c>
      <c r="G84" s="3">
        <v>0.88749999999999996</v>
      </c>
      <c r="H84" s="3">
        <v>6.4343750000000002</v>
      </c>
      <c r="I84" s="3">
        <v>0.98</v>
      </c>
      <c r="J84" s="3">
        <v>0.70912420834233469</v>
      </c>
      <c r="K84" s="3">
        <v>0.86956521739130432</v>
      </c>
      <c r="L84" s="3">
        <v>0.5714285714285714</v>
      </c>
      <c r="M84" s="3">
        <v>1</v>
      </c>
      <c r="N84" s="3">
        <v>0.1463116020233787</v>
      </c>
      <c r="O84" t="s">
        <v>102</v>
      </c>
    </row>
    <row r="85" spans="1:15">
      <c r="A85" t="s">
        <v>75</v>
      </c>
      <c r="B85" t="s">
        <v>60</v>
      </c>
      <c r="C85" t="s">
        <v>51</v>
      </c>
      <c r="D85" t="s">
        <v>56</v>
      </c>
      <c r="E85" s="2">
        <v>2</v>
      </c>
      <c r="F85" s="3">
        <v>6.8965517241379309E-2</v>
      </c>
      <c r="G85" s="3">
        <v>0.1357142857142857</v>
      </c>
      <c r="H85" s="3">
        <v>1.967857142857143</v>
      </c>
      <c r="I85" s="3">
        <v>0.44444444444444448</v>
      </c>
      <c r="J85" s="3">
        <v>-5.1434449987363969E-2</v>
      </c>
      <c r="K85" s="3">
        <v>0</v>
      </c>
      <c r="L85" s="3">
        <v>0</v>
      </c>
      <c r="M85" s="3">
        <v>0</v>
      </c>
      <c r="N85" s="3">
        <v>0.5</v>
      </c>
      <c r="O85" t="s">
        <v>102</v>
      </c>
    </row>
    <row r="86" spans="1:15">
      <c r="A86" t="s">
        <v>75</v>
      </c>
      <c r="B86" t="s">
        <v>60</v>
      </c>
      <c r="C86" t="s">
        <v>51</v>
      </c>
      <c r="D86" t="s">
        <v>57</v>
      </c>
      <c r="E86" s="2">
        <v>1</v>
      </c>
      <c r="F86" s="3">
        <v>3.4482758620689648E-2</v>
      </c>
      <c r="G86" s="3">
        <v>6.6666666666666666E-2</v>
      </c>
      <c r="H86" s="3">
        <v>1.9333333333333329</v>
      </c>
      <c r="I86" s="3">
        <v>0.5</v>
      </c>
      <c r="J86" s="3">
        <v>8.6258194917794281E-2</v>
      </c>
      <c r="K86" s="3">
        <v>0.1785714285714286</v>
      </c>
      <c r="L86" s="3">
        <v>4.1666666666666657E-2</v>
      </c>
      <c r="M86" s="3">
        <v>1</v>
      </c>
      <c r="N86" s="3">
        <v>0.32880558283484762</v>
      </c>
      <c r="O86" t="s">
        <v>102</v>
      </c>
    </row>
    <row r="87" spans="1:15">
      <c r="A87" t="s">
        <v>75</v>
      </c>
      <c r="B87" t="s">
        <v>62</v>
      </c>
      <c r="C87" t="s">
        <v>51</v>
      </c>
      <c r="D87" t="s">
        <v>52</v>
      </c>
      <c r="E87" s="2">
        <v>1</v>
      </c>
      <c r="F87" s="3">
        <v>3.4482758620689648E-2</v>
      </c>
      <c r="G87" s="3">
        <v>1</v>
      </c>
      <c r="H87" s="3">
        <v>29</v>
      </c>
      <c r="I87" s="3">
        <v>1</v>
      </c>
      <c r="J87" s="3">
        <v>0</v>
      </c>
      <c r="K87" s="3">
        <v>0</v>
      </c>
      <c r="L87" s="3">
        <v>0</v>
      </c>
      <c r="M87" s="3">
        <v>0</v>
      </c>
      <c r="N87" s="3">
        <v>0.5</v>
      </c>
      <c r="O87" t="s">
        <v>103</v>
      </c>
    </row>
    <row r="88" spans="1:15">
      <c r="A88" t="s">
        <v>75</v>
      </c>
      <c r="B88" t="s">
        <v>62</v>
      </c>
      <c r="C88" t="s">
        <v>51</v>
      </c>
      <c r="D88" t="s">
        <v>54</v>
      </c>
      <c r="E88" s="2">
        <v>5</v>
      </c>
      <c r="F88" s="3">
        <v>0.17241379310344829</v>
      </c>
      <c r="G88" s="3">
        <v>0.55666666666666664</v>
      </c>
      <c r="H88" s="3">
        <v>3.2286666666666659</v>
      </c>
      <c r="I88" s="3">
        <v>0.79166666666666674</v>
      </c>
      <c r="J88" s="3">
        <v>-8.6258194917794281E-2</v>
      </c>
      <c r="K88" s="3">
        <v>0</v>
      </c>
      <c r="L88" s="3">
        <v>0</v>
      </c>
      <c r="M88" s="3">
        <v>0</v>
      </c>
      <c r="N88" s="3">
        <v>0.44102945326261178</v>
      </c>
      <c r="O88" t="s">
        <v>103</v>
      </c>
    </row>
    <row r="89" spans="1:15">
      <c r="A89" t="s">
        <v>75</v>
      </c>
      <c r="B89" t="s">
        <v>62</v>
      </c>
      <c r="C89" t="s">
        <v>51</v>
      </c>
      <c r="D89" t="s">
        <v>55</v>
      </c>
      <c r="E89" s="2">
        <v>4</v>
      </c>
      <c r="F89" s="3">
        <v>0.13793103448275859</v>
      </c>
      <c r="G89" s="3">
        <v>0.81666666666666665</v>
      </c>
      <c r="H89" s="3">
        <v>5.9208333333333334</v>
      </c>
      <c r="I89" s="3">
        <v>0.96000000000000008</v>
      </c>
      <c r="J89" s="3">
        <v>0.70912420834233469</v>
      </c>
      <c r="K89" s="3">
        <v>0.86956521739130432</v>
      </c>
      <c r="L89" s="3">
        <v>0.5714285714285714</v>
      </c>
      <c r="M89" s="3">
        <v>1</v>
      </c>
      <c r="N89" s="3">
        <v>9.8578256072113082E-2</v>
      </c>
      <c r="O89" t="s">
        <v>103</v>
      </c>
    </row>
    <row r="90" spans="1:15">
      <c r="A90" t="s">
        <v>75</v>
      </c>
      <c r="B90" t="s">
        <v>62</v>
      </c>
      <c r="C90" t="s">
        <v>51</v>
      </c>
      <c r="D90" t="s">
        <v>56</v>
      </c>
      <c r="E90" s="2">
        <v>2</v>
      </c>
      <c r="F90" s="3">
        <v>6.8965517241379309E-2</v>
      </c>
      <c r="G90" s="3">
        <v>0.15476190476190479</v>
      </c>
      <c r="H90" s="3">
        <v>2.2440476190476191</v>
      </c>
      <c r="I90" s="3">
        <v>0.70370370370370372</v>
      </c>
      <c r="J90" s="3">
        <v>-5.1434449987363969E-2</v>
      </c>
      <c r="K90" s="3">
        <v>0</v>
      </c>
      <c r="L90" s="3">
        <v>0</v>
      </c>
      <c r="M90" s="3">
        <v>0</v>
      </c>
      <c r="N90" s="3">
        <v>0.5</v>
      </c>
      <c r="O90" t="s">
        <v>103</v>
      </c>
    </row>
    <row r="91" spans="1:15">
      <c r="A91" t="s">
        <v>75</v>
      </c>
      <c r="B91" t="s">
        <v>62</v>
      </c>
      <c r="C91" t="s">
        <v>51</v>
      </c>
      <c r="D91" t="s">
        <v>57</v>
      </c>
      <c r="E91" s="2">
        <v>1</v>
      </c>
      <c r="F91" s="3">
        <v>3.4482758620689648E-2</v>
      </c>
      <c r="G91" s="3">
        <v>7.6923076923076927E-2</v>
      </c>
      <c r="H91" s="3">
        <v>2.2307692307692308</v>
      </c>
      <c r="I91" s="3">
        <v>0.5714285714285714</v>
      </c>
      <c r="J91" s="3">
        <v>6.4194073876636934E-2</v>
      </c>
      <c r="K91" s="3">
        <v>0.16666666666666671</v>
      </c>
      <c r="L91" s="3">
        <v>3.8461538461538457E-2</v>
      </c>
      <c r="M91" s="3">
        <v>1</v>
      </c>
      <c r="N91" s="3">
        <v>3.4780047103837512E-3</v>
      </c>
      <c r="O91" t="s">
        <v>103</v>
      </c>
    </row>
    <row r="92" spans="1:15">
      <c r="A92" t="s">
        <v>75</v>
      </c>
      <c r="B92" t="s">
        <v>64</v>
      </c>
      <c r="C92" t="s">
        <v>51</v>
      </c>
      <c r="D92" t="s">
        <v>52</v>
      </c>
      <c r="E92" s="2">
        <v>1</v>
      </c>
      <c r="F92" s="3">
        <v>3.4482758620689648E-2</v>
      </c>
      <c r="G92" s="3">
        <v>0.5</v>
      </c>
      <c r="H92" s="3">
        <v>14.5</v>
      </c>
      <c r="I92" s="3">
        <v>0.9642857142857143</v>
      </c>
      <c r="J92" s="3">
        <v>0.55634864026418673</v>
      </c>
      <c r="K92" s="3">
        <v>0.7142857142857143</v>
      </c>
      <c r="L92" s="3">
        <v>0.33333333333333331</v>
      </c>
      <c r="M92" s="3">
        <v>1</v>
      </c>
      <c r="N92" s="3">
        <v>0.5</v>
      </c>
      <c r="O92" t="s">
        <v>104</v>
      </c>
    </row>
    <row r="93" spans="1:15">
      <c r="A93" t="s">
        <v>75</v>
      </c>
      <c r="B93" t="s">
        <v>64</v>
      </c>
      <c r="C93" t="s">
        <v>51</v>
      </c>
      <c r="D93" t="s">
        <v>54</v>
      </c>
      <c r="E93" s="2">
        <v>5</v>
      </c>
      <c r="F93" s="3">
        <v>0.17241379310344829</v>
      </c>
      <c r="G93" s="3">
        <v>0.495</v>
      </c>
      <c r="H93" s="3">
        <v>2.871</v>
      </c>
      <c r="I93" s="3">
        <v>0.78333333333333333</v>
      </c>
      <c r="J93" s="3">
        <v>-8.6258194917794281E-2</v>
      </c>
      <c r="K93" s="3">
        <v>0</v>
      </c>
      <c r="L93" s="3">
        <v>0</v>
      </c>
      <c r="M93" s="3">
        <v>0</v>
      </c>
      <c r="N93" s="3">
        <v>0.8144405361096464</v>
      </c>
      <c r="O93" t="s">
        <v>104</v>
      </c>
    </row>
    <row r="94" spans="1:15">
      <c r="A94" t="s">
        <v>75</v>
      </c>
      <c r="B94" t="s">
        <v>64</v>
      </c>
      <c r="C94" t="s">
        <v>51</v>
      </c>
      <c r="D94" t="s">
        <v>55</v>
      </c>
      <c r="E94" s="2">
        <v>4</v>
      </c>
      <c r="F94" s="3">
        <v>0.13793103448275859</v>
      </c>
      <c r="G94" s="3">
        <v>0.8041666666666667</v>
      </c>
      <c r="H94" s="3">
        <v>5.8302083333333332</v>
      </c>
      <c r="I94" s="3">
        <v>0.97</v>
      </c>
      <c r="J94" s="3">
        <v>0.59628479399994394</v>
      </c>
      <c r="K94" s="3">
        <v>0.8</v>
      </c>
      <c r="L94" s="3">
        <v>0.44444444444444442</v>
      </c>
      <c r="M94" s="3">
        <v>1</v>
      </c>
      <c r="N94" s="3">
        <v>0.21442495270889739</v>
      </c>
      <c r="O94" t="s">
        <v>104</v>
      </c>
    </row>
    <row r="95" spans="1:15">
      <c r="A95" t="s">
        <v>75</v>
      </c>
      <c r="B95" t="s">
        <v>64</v>
      </c>
      <c r="C95" t="s">
        <v>51</v>
      </c>
      <c r="D95" t="s">
        <v>56</v>
      </c>
      <c r="E95" s="2">
        <v>2</v>
      </c>
      <c r="F95" s="3">
        <v>6.8965517241379309E-2</v>
      </c>
      <c r="G95" s="3">
        <v>0.1166666666666667</v>
      </c>
      <c r="H95" s="3">
        <v>1.6916666666666671</v>
      </c>
      <c r="I95" s="3">
        <v>0.59259259259259267</v>
      </c>
      <c r="J95" s="3">
        <v>-0.1088662107903635</v>
      </c>
      <c r="K95" s="3">
        <v>0</v>
      </c>
      <c r="L95" s="3">
        <v>0</v>
      </c>
      <c r="M95" s="3">
        <v>0</v>
      </c>
      <c r="N95" s="3">
        <v>0.5</v>
      </c>
      <c r="O95" t="s">
        <v>104</v>
      </c>
    </row>
    <row r="96" spans="1:15">
      <c r="A96" t="s">
        <v>75</v>
      </c>
      <c r="B96" t="s">
        <v>64</v>
      </c>
      <c r="C96" t="s">
        <v>51</v>
      </c>
      <c r="D96" t="s">
        <v>57</v>
      </c>
      <c r="E96" s="2">
        <v>1</v>
      </c>
      <c r="F96" s="3">
        <v>3.4482758620689648E-2</v>
      </c>
      <c r="G96" s="3">
        <v>5.5555555555555552E-2</v>
      </c>
      <c r="H96" s="3">
        <v>1.6111111111111109</v>
      </c>
      <c r="I96" s="3">
        <v>0.3928571428571429</v>
      </c>
      <c r="J96" s="3">
        <v>0</v>
      </c>
      <c r="K96" s="3">
        <v>0</v>
      </c>
      <c r="L96" s="3">
        <v>0</v>
      </c>
      <c r="M96" s="3">
        <v>0</v>
      </c>
      <c r="N96" s="3">
        <v>0.91592771524759997</v>
      </c>
      <c r="O96" t="s">
        <v>104</v>
      </c>
    </row>
    <row r="97" spans="1:15">
      <c r="A97" t="s">
        <v>75</v>
      </c>
      <c r="B97" t="s">
        <v>66</v>
      </c>
      <c r="C97" t="s">
        <v>51</v>
      </c>
      <c r="D97" t="s">
        <v>52</v>
      </c>
      <c r="E97" s="2">
        <v>1</v>
      </c>
      <c r="F97" s="3">
        <v>3.4482758620689648E-2</v>
      </c>
      <c r="G97" s="3">
        <v>1</v>
      </c>
      <c r="H97" s="3">
        <v>29</v>
      </c>
      <c r="I97" s="3">
        <v>1</v>
      </c>
      <c r="J97" s="3">
        <v>0</v>
      </c>
      <c r="K97" s="3">
        <v>0</v>
      </c>
      <c r="L97" s="3">
        <v>0</v>
      </c>
      <c r="M97" s="3">
        <v>0</v>
      </c>
      <c r="N97" s="3">
        <v>0.5</v>
      </c>
      <c r="O97" t="s">
        <v>105</v>
      </c>
    </row>
    <row r="98" spans="1:15">
      <c r="A98" t="s">
        <v>75</v>
      </c>
      <c r="B98" t="s">
        <v>66</v>
      </c>
      <c r="C98" t="s">
        <v>51</v>
      </c>
      <c r="D98" t="s">
        <v>54</v>
      </c>
      <c r="E98" s="2">
        <v>5</v>
      </c>
      <c r="F98" s="3">
        <v>0.17241379310344829</v>
      </c>
      <c r="G98" s="3">
        <v>0.35720375106564362</v>
      </c>
      <c r="H98" s="3">
        <v>2.0717817561807328</v>
      </c>
      <c r="I98" s="3">
        <v>0.66666666666666674</v>
      </c>
      <c r="J98" s="3">
        <v>0.34689095308660522</v>
      </c>
      <c r="K98" s="3">
        <v>0.41666666666666669</v>
      </c>
      <c r="L98" s="3">
        <v>0.5</v>
      </c>
      <c r="M98" s="3">
        <v>0.4</v>
      </c>
      <c r="N98" s="3">
        <v>0.34325476572152602</v>
      </c>
      <c r="O98" t="s">
        <v>105</v>
      </c>
    </row>
    <row r="99" spans="1:15">
      <c r="A99" t="s">
        <v>75</v>
      </c>
      <c r="B99" t="s">
        <v>66</v>
      </c>
      <c r="C99" t="s">
        <v>51</v>
      </c>
      <c r="D99" t="s">
        <v>55</v>
      </c>
      <c r="E99" s="2">
        <v>4</v>
      </c>
      <c r="F99" s="3">
        <v>0.13793103448275859</v>
      </c>
      <c r="G99" s="3">
        <v>0.95</v>
      </c>
      <c r="H99" s="3">
        <v>6.8875000000000002</v>
      </c>
      <c r="I99" s="3">
        <v>0.99</v>
      </c>
      <c r="J99" s="3">
        <v>0.8763560920082657</v>
      </c>
      <c r="K99" s="3">
        <v>0.95238095238095233</v>
      </c>
      <c r="L99" s="3">
        <v>0.8</v>
      </c>
      <c r="M99" s="3">
        <v>1</v>
      </c>
      <c r="N99" s="3">
        <v>0.31005972614560012</v>
      </c>
      <c r="O99" t="s">
        <v>105</v>
      </c>
    </row>
    <row r="100" spans="1:15">
      <c r="A100" t="s">
        <v>75</v>
      </c>
      <c r="B100" t="s">
        <v>66</v>
      </c>
      <c r="C100" t="s">
        <v>51</v>
      </c>
      <c r="D100" t="s">
        <v>56</v>
      </c>
      <c r="E100" s="2">
        <v>2</v>
      </c>
      <c r="F100" s="3">
        <v>6.8965517241379309E-2</v>
      </c>
      <c r="G100" s="3">
        <v>0.1704545454545455</v>
      </c>
      <c r="H100" s="3">
        <v>2.4715909090909092</v>
      </c>
      <c r="I100" s="3">
        <v>0.57407407407407407</v>
      </c>
      <c r="J100" s="3">
        <v>0</v>
      </c>
      <c r="K100" s="3">
        <v>0</v>
      </c>
      <c r="L100" s="3">
        <v>0</v>
      </c>
      <c r="M100" s="3">
        <v>0</v>
      </c>
      <c r="N100" s="3">
        <v>0.5</v>
      </c>
      <c r="O100" t="s">
        <v>105</v>
      </c>
    </row>
    <row r="101" spans="1:15">
      <c r="A101" t="s">
        <v>75</v>
      </c>
      <c r="B101" t="s">
        <v>66</v>
      </c>
      <c r="C101" t="s">
        <v>51</v>
      </c>
      <c r="D101" t="s">
        <v>57</v>
      </c>
      <c r="E101" s="2">
        <v>1</v>
      </c>
      <c r="F101" s="3">
        <v>3.4482758620689648E-2</v>
      </c>
      <c r="G101" s="3">
        <v>0.1</v>
      </c>
      <c r="H101" s="3">
        <v>2.9</v>
      </c>
      <c r="I101" s="3">
        <v>0.6785714285714286</v>
      </c>
      <c r="J101" s="3">
        <v>0.17034628596731169</v>
      </c>
      <c r="K101" s="3">
        <v>0.25</v>
      </c>
      <c r="L101" s="3">
        <v>6.25E-2</v>
      </c>
      <c r="M101" s="3">
        <v>1</v>
      </c>
      <c r="N101" s="3">
        <v>0.17812875686138721</v>
      </c>
      <c r="O101" t="s">
        <v>105</v>
      </c>
    </row>
  </sheetData>
  <autoFilter ref="A1:O101" xr:uid="{00000000-0009-0000-0000-000003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0" customWidth="1"/>
    <col min="2" max="2" width="11" customWidth="1"/>
    <col min="3" max="10" width="20" customWidth="1"/>
    <col min="11" max="11" width="65" customWidth="1"/>
  </cols>
  <sheetData>
    <row r="1" spans="1:11">
      <c r="A1" s="1" t="s">
        <v>36</v>
      </c>
      <c r="B1" s="1" t="s">
        <v>37</v>
      </c>
      <c r="C1" s="1" t="s">
        <v>38</v>
      </c>
      <c r="D1" s="1" t="s">
        <v>42</v>
      </c>
      <c r="E1" s="1" t="s">
        <v>32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</row>
    <row r="2" spans="1:11">
      <c r="A2" t="s">
        <v>49</v>
      </c>
      <c r="B2" t="s">
        <v>50</v>
      </c>
      <c r="C2" t="s">
        <v>51</v>
      </c>
      <c r="D2" s="3">
        <v>0.22688455988455991</v>
      </c>
      <c r="E2" s="3">
        <v>2.612613347763348</v>
      </c>
      <c r="F2" s="3">
        <v>0.64206878306878301</v>
      </c>
      <c r="G2" s="3">
        <v>8.1741988772941809E-2</v>
      </c>
      <c r="H2" s="3">
        <v>0.17989417989417991</v>
      </c>
      <c r="I2" s="3">
        <v>0.1485714285714286</v>
      </c>
      <c r="J2" s="3">
        <v>0.19</v>
      </c>
      <c r="K2" t="s">
        <v>86</v>
      </c>
    </row>
    <row r="3" spans="1:11">
      <c r="A3" t="s">
        <v>49</v>
      </c>
      <c r="B3" t="s">
        <v>58</v>
      </c>
      <c r="C3" t="s">
        <v>51</v>
      </c>
      <c r="D3" s="3">
        <v>0.36607142857142849</v>
      </c>
      <c r="E3" s="3">
        <v>7.418303571428571</v>
      </c>
      <c r="F3" s="3">
        <v>0.80174338624338615</v>
      </c>
      <c r="G3" s="3">
        <v>0.2591863385322104</v>
      </c>
      <c r="H3" s="3">
        <v>0.43678160919540232</v>
      </c>
      <c r="I3" s="3">
        <v>0.20615384615384619</v>
      </c>
      <c r="J3" s="3">
        <v>0.75</v>
      </c>
      <c r="K3" t="s">
        <v>87</v>
      </c>
    </row>
    <row r="4" spans="1:11">
      <c r="A4" t="s">
        <v>49</v>
      </c>
      <c r="B4" t="s">
        <v>60</v>
      </c>
      <c r="C4" t="s">
        <v>51</v>
      </c>
      <c r="D4" s="3">
        <v>0.50004598541065604</v>
      </c>
      <c r="E4" s="3">
        <v>8.2197050907319458</v>
      </c>
      <c r="F4" s="3">
        <v>0.68974074074074077</v>
      </c>
      <c r="G4" s="3">
        <v>0.4329162866506161</v>
      </c>
      <c r="H4" s="3">
        <v>0.48244524354364171</v>
      </c>
      <c r="I4" s="3">
        <v>0.46666666666666667</v>
      </c>
      <c r="J4" s="3">
        <v>0.63</v>
      </c>
      <c r="K4" t="s">
        <v>88</v>
      </c>
    </row>
    <row r="5" spans="1:11">
      <c r="A5" t="s">
        <v>49</v>
      </c>
      <c r="B5" t="s">
        <v>62</v>
      </c>
      <c r="C5" t="s">
        <v>51</v>
      </c>
      <c r="D5" s="3">
        <v>0.45141273900864692</v>
      </c>
      <c r="E5" s="3">
        <v>8.0569326817683589</v>
      </c>
      <c r="F5" s="3">
        <v>0.72197354497354504</v>
      </c>
      <c r="G5" s="3">
        <v>5.0512114591910781E-2</v>
      </c>
      <c r="H5" s="3">
        <v>0.13636363636363641</v>
      </c>
      <c r="I5" s="3">
        <v>0.1</v>
      </c>
      <c r="J5" s="3">
        <v>0.15</v>
      </c>
      <c r="K5" t="s">
        <v>89</v>
      </c>
    </row>
    <row r="6" spans="1:11">
      <c r="A6" t="s">
        <v>49</v>
      </c>
      <c r="B6" t="s">
        <v>64</v>
      </c>
      <c r="C6" t="s">
        <v>51</v>
      </c>
      <c r="D6" s="3">
        <v>0.48091151044704689</v>
      </c>
      <c r="E6" s="3">
        <v>8.2535184857390718</v>
      </c>
      <c r="F6" s="3">
        <v>0.72716402116402112</v>
      </c>
      <c r="G6" s="3">
        <v>0.28251925728074301</v>
      </c>
      <c r="H6" s="3">
        <v>0.40476190476190482</v>
      </c>
      <c r="I6" s="3">
        <v>0.23333333333333331</v>
      </c>
      <c r="J6" s="3">
        <v>0.5</v>
      </c>
      <c r="K6" t="s">
        <v>90</v>
      </c>
    </row>
    <row r="7" spans="1:11">
      <c r="A7" t="s">
        <v>49</v>
      </c>
      <c r="B7" t="s">
        <v>66</v>
      </c>
      <c r="C7" t="s">
        <v>51</v>
      </c>
      <c r="D7" s="3">
        <v>0.31781216931216932</v>
      </c>
      <c r="E7" s="3">
        <v>4.7632576719576711</v>
      </c>
      <c r="F7" s="3">
        <v>0.69192063492063505</v>
      </c>
      <c r="G7" s="3">
        <v>7.3975326667964275E-2</v>
      </c>
      <c r="H7" s="3">
        <v>0.14285714285714279</v>
      </c>
      <c r="I7" s="3">
        <v>0.12</v>
      </c>
      <c r="J7" s="3">
        <v>0.15</v>
      </c>
      <c r="K7" t="s">
        <v>91</v>
      </c>
    </row>
    <row r="8" spans="1:11">
      <c r="A8" t="s">
        <v>68</v>
      </c>
      <c r="B8" t="s">
        <v>50</v>
      </c>
      <c r="C8" t="s">
        <v>51</v>
      </c>
      <c r="D8" s="3">
        <v>0.4523005921281783</v>
      </c>
      <c r="E8" s="3">
        <v>5.3367474747474741</v>
      </c>
      <c r="F8" s="3">
        <v>0.83546031746031757</v>
      </c>
      <c r="G8" s="3">
        <v>0.20701488644619331</v>
      </c>
      <c r="H8" s="3">
        <v>0.29391304347826092</v>
      </c>
      <c r="I8" s="3">
        <v>0.23428571428571429</v>
      </c>
      <c r="J8" s="3">
        <v>0.32</v>
      </c>
      <c r="K8" t="s">
        <v>92</v>
      </c>
    </row>
    <row r="9" spans="1:11">
      <c r="A9" t="s">
        <v>68</v>
      </c>
      <c r="B9" t="s">
        <v>58</v>
      </c>
      <c r="C9" t="s">
        <v>51</v>
      </c>
      <c r="D9" s="3">
        <v>9.412618135376756E-2</v>
      </c>
      <c r="E9" s="3">
        <v>1.0992948148148149</v>
      </c>
      <c r="F9" s="3">
        <v>0.53338624338624341</v>
      </c>
      <c r="G9" s="3">
        <v>2.0460144353286799E-2</v>
      </c>
      <c r="H9" s="3">
        <v>0.21639490332353201</v>
      </c>
      <c r="I9" s="3">
        <v>6.9629629629629625E-2</v>
      </c>
      <c r="J9" s="3">
        <v>0.55999999999999994</v>
      </c>
      <c r="K9" t="s">
        <v>93</v>
      </c>
    </row>
    <row r="10" spans="1:11">
      <c r="A10" t="s">
        <v>68</v>
      </c>
      <c r="B10" t="s">
        <v>60</v>
      </c>
      <c r="C10" t="s">
        <v>51</v>
      </c>
      <c r="D10" s="3">
        <v>0.52408953418027826</v>
      </c>
      <c r="E10" s="3">
        <v>7.1767982456140347</v>
      </c>
      <c r="F10" s="3">
        <v>0.84572486772486788</v>
      </c>
      <c r="G10" s="3">
        <v>0.1418248416684669</v>
      </c>
      <c r="H10" s="3">
        <v>0.2042160737812912</v>
      </c>
      <c r="I10" s="3">
        <v>0.1211822660098522</v>
      </c>
      <c r="J10" s="3">
        <v>0.4</v>
      </c>
      <c r="K10" t="s">
        <v>94</v>
      </c>
    </row>
    <row r="11" spans="1:11">
      <c r="A11" t="s">
        <v>68</v>
      </c>
      <c r="B11" t="s">
        <v>62</v>
      </c>
      <c r="C11" t="s">
        <v>51</v>
      </c>
      <c r="D11" s="3">
        <v>0.41281135531135532</v>
      </c>
      <c r="E11" s="3">
        <v>4.3806332417582414</v>
      </c>
      <c r="F11" s="3">
        <v>0.79533862433862434</v>
      </c>
      <c r="G11" s="3">
        <v>0.11440441681311291</v>
      </c>
      <c r="H11" s="3">
        <v>0.17391304347826089</v>
      </c>
      <c r="I11" s="3">
        <v>0.1142857142857143</v>
      </c>
      <c r="J11" s="3">
        <v>0.2</v>
      </c>
      <c r="K11" t="s">
        <v>95</v>
      </c>
    </row>
    <row r="12" spans="1:11">
      <c r="A12" t="s">
        <v>68</v>
      </c>
      <c r="B12" t="s">
        <v>64</v>
      </c>
      <c r="C12" t="s">
        <v>51</v>
      </c>
      <c r="D12" s="3">
        <v>0.41649999999999998</v>
      </c>
      <c r="E12" s="3">
        <v>4.3486305555555553</v>
      </c>
      <c r="F12" s="3">
        <v>0.79814285714285715</v>
      </c>
      <c r="G12" s="3">
        <v>0.26254829831734272</v>
      </c>
      <c r="H12" s="3">
        <v>0.42362539421362949</v>
      </c>
      <c r="I12" s="3">
        <v>0.205982905982906</v>
      </c>
      <c r="J12" s="3">
        <v>0.65999999999999992</v>
      </c>
      <c r="K12" t="s">
        <v>96</v>
      </c>
    </row>
    <row r="13" spans="1:11">
      <c r="A13" t="s">
        <v>68</v>
      </c>
      <c r="B13" t="s">
        <v>66</v>
      </c>
      <c r="C13" t="s">
        <v>51</v>
      </c>
      <c r="D13" s="3">
        <v>0.45069230769230761</v>
      </c>
      <c r="E13" s="3">
        <v>6.339771794871794</v>
      </c>
      <c r="F13" s="3">
        <v>0.79646560846560843</v>
      </c>
      <c r="G13" s="3">
        <v>0.25197124075384941</v>
      </c>
      <c r="H13" s="3">
        <v>0.3231077694235589</v>
      </c>
      <c r="I13" s="3">
        <v>0.25333333333333341</v>
      </c>
      <c r="J13" s="3">
        <v>0.48</v>
      </c>
      <c r="K13" t="s">
        <v>97</v>
      </c>
    </row>
    <row r="14" spans="1:11">
      <c r="A14" t="s">
        <v>75</v>
      </c>
      <c r="B14" t="s">
        <v>50</v>
      </c>
      <c r="C14" t="s">
        <v>51</v>
      </c>
      <c r="D14" s="3">
        <v>0.41452898550724637</v>
      </c>
      <c r="E14" s="3">
        <v>3.9955905797101452</v>
      </c>
      <c r="F14" s="3">
        <v>0.6901005291005291</v>
      </c>
      <c r="G14" s="3">
        <v>8.0204884148886837E-2</v>
      </c>
      <c r="H14" s="3">
        <v>0.16666666666666671</v>
      </c>
      <c r="I14" s="3">
        <v>0.1</v>
      </c>
      <c r="J14" s="3">
        <v>0.2</v>
      </c>
      <c r="K14" t="s">
        <v>98</v>
      </c>
    </row>
    <row r="15" spans="1:11">
      <c r="A15" t="s">
        <v>75</v>
      </c>
      <c r="B15" t="s">
        <v>58</v>
      </c>
      <c r="C15" t="s">
        <v>51</v>
      </c>
      <c r="D15" s="3">
        <v>0.43491534391534392</v>
      </c>
      <c r="E15" s="3">
        <v>7.6991240740740734</v>
      </c>
      <c r="F15" s="3">
        <v>0.6851640211640212</v>
      </c>
      <c r="G15" s="3">
        <v>0.33123167587849728</v>
      </c>
      <c r="H15" s="3">
        <v>0.4386363636363636</v>
      </c>
      <c r="I15" s="3">
        <v>0.35689655172413792</v>
      </c>
      <c r="J15" s="3">
        <v>0.64</v>
      </c>
      <c r="K15" t="s">
        <v>99</v>
      </c>
    </row>
    <row r="16" spans="1:11">
      <c r="A16" t="s">
        <v>75</v>
      </c>
      <c r="B16" t="s">
        <v>58</v>
      </c>
      <c r="C16" t="s">
        <v>78</v>
      </c>
      <c r="D16" s="3">
        <v>0.34378808446455511</v>
      </c>
      <c r="E16" s="3">
        <v>4.8250390271493213</v>
      </c>
      <c r="F16" s="3">
        <v>0.6294603174603175</v>
      </c>
      <c r="G16" s="3">
        <v>0.26635895819070737</v>
      </c>
      <c r="H16" s="3">
        <v>0.39084426040947778</v>
      </c>
      <c r="I16" s="3">
        <v>0.23809523809523811</v>
      </c>
      <c r="J16" s="3">
        <v>0.48</v>
      </c>
      <c r="K16" t="s">
        <v>100</v>
      </c>
    </row>
    <row r="17" spans="1:11">
      <c r="A17" t="s">
        <v>75</v>
      </c>
      <c r="B17" t="s">
        <v>58</v>
      </c>
      <c r="C17" t="s">
        <v>80</v>
      </c>
      <c r="D17" s="3">
        <v>0.50070747520976355</v>
      </c>
      <c r="E17" s="3">
        <v>8.1022377765064846</v>
      </c>
      <c r="F17" s="3">
        <v>0.62171428571428566</v>
      </c>
      <c r="G17" s="3">
        <v>0.31744058592946428</v>
      </c>
      <c r="H17" s="3">
        <v>0.42762744501874927</v>
      </c>
      <c r="I17" s="3">
        <v>0.35356321839080462</v>
      </c>
      <c r="J17" s="3">
        <v>0.64</v>
      </c>
      <c r="K17" t="s">
        <v>101</v>
      </c>
    </row>
    <row r="18" spans="1:11">
      <c r="A18" t="s">
        <v>75</v>
      </c>
      <c r="B18" t="s">
        <v>60</v>
      </c>
      <c r="C18" t="s">
        <v>51</v>
      </c>
      <c r="D18" s="3">
        <v>0.4199761904761905</v>
      </c>
      <c r="E18" s="3">
        <v>4.1667130952380953</v>
      </c>
      <c r="F18" s="3">
        <v>0.74465079365079367</v>
      </c>
      <c r="G18" s="3">
        <v>0.14878959065455299</v>
      </c>
      <c r="H18" s="3">
        <v>0.20962732919254659</v>
      </c>
      <c r="I18" s="3">
        <v>0.1226190476190476</v>
      </c>
      <c r="J18" s="3">
        <v>0.4</v>
      </c>
      <c r="K18" t="s">
        <v>102</v>
      </c>
    </row>
    <row r="19" spans="1:11">
      <c r="A19" t="s">
        <v>75</v>
      </c>
      <c r="B19" t="s">
        <v>62</v>
      </c>
      <c r="C19" t="s">
        <v>51</v>
      </c>
      <c r="D19" s="3">
        <v>0.52100366300366296</v>
      </c>
      <c r="E19" s="3">
        <v>8.5248633699633718</v>
      </c>
      <c r="F19" s="3">
        <v>0.8053597883597885</v>
      </c>
      <c r="G19" s="3">
        <v>0.12712512746276269</v>
      </c>
      <c r="H19" s="3">
        <v>0.20724637681159419</v>
      </c>
      <c r="I19" s="3">
        <v>0.121978021978022</v>
      </c>
      <c r="J19" s="3">
        <v>0.4</v>
      </c>
      <c r="K19" t="s">
        <v>103</v>
      </c>
    </row>
    <row r="20" spans="1:11">
      <c r="A20" t="s">
        <v>75</v>
      </c>
      <c r="B20" t="s">
        <v>64</v>
      </c>
      <c r="C20" t="s">
        <v>51</v>
      </c>
      <c r="D20" s="3">
        <v>0.39427777777777778</v>
      </c>
      <c r="E20" s="3">
        <v>5.3007972222222222</v>
      </c>
      <c r="F20" s="3">
        <v>0.7406137566137565</v>
      </c>
      <c r="G20" s="3">
        <v>0.1915018057111946</v>
      </c>
      <c r="H20" s="3">
        <v>0.30285714285714282</v>
      </c>
      <c r="I20" s="3">
        <v>0.1555555555555555</v>
      </c>
      <c r="J20" s="3">
        <v>0.4</v>
      </c>
      <c r="K20" t="s">
        <v>104</v>
      </c>
    </row>
    <row r="21" spans="1:11">
      <c r="A21" t="s">
        <v>75</v>
      </c>
      <c r="B21" t="s">
        <v>66</v>
      </c>
      <c r="C21" t="s">
        <v>51</v>
      </c>
      <c r="D21" s="3">
        <v>0.51553165930403788</v>
      </c>
      <c r="E21" s="3">
        <v>8.6661745330543276</v>
      </c>
      <c r="F21" s="3">
        <v>0.78186243386243393</v>
      </c>
      <c r="G21" s="3">
        <v>0.27871866621243652</v>
      </c>
      <c r="H21" s="3">
        <v>0.32380952380952382</v>
      </c>
      <c r="I21" s="3">
        <v>0.27250000000000002</v>
      </c>
      <c r="J21" s="3">
        <v>0.48</v>
      </c>
      <c r="K21" t="s">
        <v>105</v>
      </c>
    </row>
  </sheetData>
  <autoFilter ref="A1:K21" xr:uid="{00000000-0009-0000-0000-000004000000}"/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51"/>
  <sheetViews>
    <sheetView workbookViewId="0">
      <pane ySplit="1" topLeftCell="A2" activePane="bottomLeft" state="frozen"/>
      <selection pane="bottomLeft"/>
    </sheetView>
  </sheetViews>
  <sheetFormatPr defaultRowHeight="16.5"/>
  <cols>
    <col min="1" max="3" width="10" customWidth="1"/>
    <col min="4" max="4" width="20" customWidth="1"/>
    <col min="5" max="5" width="19" customWidth="1"/>
    <col min="6" max="6" width="10" customWidth="1"/>
    <col min="7" max="10" width="20" customWidth="1"/>
    <col min="11" max="11" width="21" customWidth="1"/>
    <col min="12" max="14" width="20" customWidth="1"/>
    <col min="15" max="15" width="23" customWidth="1"/>
    <col min="16" max="16" width="65" customWidth="1"/>
  </cols>
  <sheetData>
    <row r="1" spans="1:16">
      <c r="A1" s="1" t="s">
        <v>106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32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34</v>
      </c>
      <c r="P1" s="1" t="s">
        <v>48</v>
      </c>
    </row>
    <row r="2" spans="1:16">
      <c r="A2" t="s">
        <v>107</v>
      </c>
      <c r="B2" t="s">
        <v>49</v>
      </c>
      <c r="C2" t="s">
        <v>108</v>
      </c>
      <c r="D2" t="s">
        <v>51</v>
      </c>
      <c r="E2" t="s">
        <v>52</v>
      </c>
      <c r="F2" s="2">
        <v>1</v>
      </c>
      <c r="G2" s="3">
        <v>3.4482758620689648E-2</v>
      </c>
      <c r="H2" s="3">
        <v>1</v>
      </c>
      <c r="I2" s="3">
        <v>29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0.5</v>
      </c>
      <c r="P2" t="s">
        <v>109</v>
      </c>
    </row>
    <row r="3" spans="1:16">
      <c r="A3" t="s">
        <v>107</v>
      </c>
      <c r="B3" t="s">
        <v>49</v>
      </c>
      <c r="C3" t="s">
        <v>108</v>
      </c>
      <c r="D3" t="s">
        <v>51</v>
      </c>
      <c r="E3" t="s">
        <v>54</v>
      </c>
      <c r="F3" s="2">
        <v>5</v>
      </c>
      <c r="G3" s="3">
        <v>0.17241379310344829</v>
      </c>
      <c r="H3" s="3">
        <v>0.35259740259740258</v>
      </c>
      <c r="I3" s="3">
        <v>2.0450649350649348</v>
      </c>
      <c r="J3" s="3">
        <v>0.67500000000000004</v>
      </c>
      <c r="K3" s="3">
        <v>8.8453796267170315E-2</v>
      </c>
      <c r="L3" s="3">
        <v>0.34482758620689657</v>
      </c>
      <c r="M3" s="3">
        <v>0.22222222222222221</v>
      </c>
      <c r="N3" s="3">
        <v>0.4</v>
      </c>
      <c r="O3" s="3">
        <v>0.3056861244957188</v>
      </c>
      <c r="P3" t="s">
        <v>109</v>
      </c>
    </row>
    <row r="4" spans="1:16">
      <c r="A4" t="s">
        <v>107</v>
      </c>
      <c r="B4" t="s">
        <v>49</v>
      </c>
      <c r="C4" t="s">
        <v>108</v>
      </c>
      <c r="D4" t="s">
        <v>51</v>
      </c>
      <c r="E4" t="s">
        <v>55</v>
      </c>
      <c r="F4" s="2">
        <v>4</v>
      </c>
      <c r="G4" s="3">
        <v>0.13793103448275859</v>
      </c>
      <c r="H4" s="3">
        <v>0.52500000000000002</v>
      </c>
      <c r="I4" s="3">
        <v>3.8062499999999999</v>
      </c>
      <c r="J4" s="3">
        <v>0.90999999999999992</v>
      </c>
      <c r="K4" s="3">
        <v>0.61162352254743546</v>
      </c>
      <c r="L4" s="3">
        <v>0.7142857142857143</v>
      </c>
      <c r="M4" s="3">
        <v>0.6</v>
      </c>
      <c r="N4" s="3">
        <v>0.75</v>
      </c>
      <c r="O4" s="3">
        <v>0.4766102381130714</v>
      </c>
      <c r="P4" t="s">
        <v>109</v>
      </c>
    </row>
    <row r="5" spans="1:16">
      <c r="A5" t="s">
        <v>107</v>
      </c>
      <c r="B5" t="s">
        <v>49</v>
      </c>
      <c r="C5" t="s">
        <v>108</v>
      </c>
      <c r="D5" t="s">
        <v>51</v>
      </c>
      <c r="E5" t="s">
        <v>56</v>
      </c>
      <c r="F5" s="2">
        <v>2</v>
      </c>
      <c r="G5" s="3">
        <v>6.8965517241379309E-2</v>
      </c>
      <c r="H5" s="3">
        <v>7.6923076923076927E-2</v>
      </c>
      <c r="I5" s="3">
        <v>1.115384615384615</v>
      </c>
      <c r="J5" s="3">
        <v>0.33333333333333343</v>
      </c>
      <c r="K5" s="3">
        <v>-7.407407407407407E-2</v>
      </c>
      <c r="L5" s="3">
        <v>0</v>
      </c>
      <c r="M5" s="3">
        <v>0</v>
      </c>
      <c r="N5" s="3">
        <v>0</v>
      </c>
      <c r="O5" s="3">
        <v>0.5</v>
      </c>
      <c r="P5" t="s">
        <v>109</v>
      </c>
    </row>
    <row r="6" spans="1:16">
      <c r="A6" t="s">
        <v>107</v>
      </c>
      <c r="B6" t="s">
        <v>49</v>
      </c>
      <c r="C6" t="s">
        <v>108</v>
      </c>
      <c r="D6" t="s">
        <v>51</v>
      </c>
      <c r="E6" t="s">
        <v>57</v>
      </c>
      <c r="F6" s="2">
        <v>1</v>
      </c>
      <c r="G6" s="3">
        <v>3.4482758620689648E-2</v>
      </c>
      <c r="H6" s="3">
        <v>3.7037037037037028E-2</v>
      </c>
      <c r="I6" s="3">
        <v>1.074074074074074</v>
      </c>
      <c r="J6" s="3">
        <v>7.1428571428571397E-2</v>
      </c>
      <c r="K6" s="3">
        <v>-0.37000643495047741</v>
      </c>
      <c r="L6" s="3">
        <v>0</v>
      </c>
      <c r="M6" s="3">
        <v>0</v>
      </c>
      <c r="N6" s="3">
        <v>0</v>
      </c>
      <c r="O6" s="3">
        <v>5.6824754958217212E-2</v>
      </c>
      <c r="P6" t="s">
        <v>109</v>
      </c>
    </row>
    <row r="7" spans="1:16">
      <c r="A7" t="s">
        <v>107</v>
      </c>
      <c r="B7" t="s">
        <v>49</v>
      </c>
      <c r="C7" t="s">
        <v>110</v>
      </c>
      <c r="D7" t="s">
        <v>51</v>
      </c>
      <c r="E7" t="s">
        <v>52</v>
      </c>
      <c r="F7" s="2">
        <v>1</v>
      </c>
      <c r="G7" s="3">
        <v>3.4482758620689648E-2</v>
      </c>
      <c r="H7" s="3">
        <v>3.4482758620689648E-2</v>
      </c>
      <c r="I7" s="3">
        <v>1</v>
      </c>
      <c r="J7" s="3">
        <v>0.48214285714285721</v>
      </c>
      <c r="K7" s="3">
        <v>0</v>
      </c>
      <c r="L7" s="3">
        <v>0</v>
      </c>
      <c r="M7" s="3">
        <v>0</v>
      </c>
      <c r="N7" s="3">
        <v>0</v>
      </c>
      <c r="O7" s="3">
        <v>0.5</v>
      </c>
      <c r="P7" t="s">
        <v>111</v>
      </c>
    </row>
    <row r="8" spans="1:16">
      <c r="A8" t="s">
        <v>107</v>
      </c>
      <c r="B8" t="s">
        <v>49</v>
      </c>
      <c r="C8" t="s">
        <v>110</v>
      </c>
      <c r="D8" t="s">
        <v>51</v>
      </c>
      <c r="E8" t="s">
        <v>54</v>
      </c>
      <c r="F8" s="2">
        <v>5</v>
      </c>
      <c r="G8" s="3">
        <v>0.17241379310344829</v>
      </c>
      <c r="H8" s="3">
        <v>0.56114942528735634</v>
      </c>
      <c r="I8" s="3">
        <v>3.254666666666667</v>
      </c>
      <c r="J8" s="3">
        <v>0.73750000000000004</v>
      </c>
      <c r="K8" s="3">
        <v>0.12677313820927749</v>
      </c>
      <c r="L8" s="3">
        <v>0.35714285714285721</v>
      </c>
      <c r="M8" s="3">
        <v>0.25</v>
      </c>
      <c r="N8" s="3">
        <v>0.4</v>
      </c>
      <c r="O8" s="3">
        <v>0.1851849540129786</v>
      </c>
      <c r="P8" t="s">
        <v>111</v>
      </c>
    </row>
    <row r="9" spans="1:16">
      <c r="A9" t="s">
        <v>107</v>
      </c>
      <c r="B9" t="s">
        <v>49</v>
      </c>
      <c r="C9" t="s">
        <v>110</v>
      </c>
      <c r="D9" t="s">
        <v>51</v>
      </c>
      <c r="E9" t="s">
        <v>55</v>
      </c>
      <c r="F9" s="2">
        <v>4</v>
      </c>
      <c r="G9" s="3">
        <v>0.13793103448275859</v>
      </c>
      <c r="H9" s="3">
        <v>0.72198275862068961</v>
      </c>
      <c r="I9" s="3">
        <v>5.234375</v>
      </c>
      <c r="J9" s="3">
        <v>0.84499999999999997</v>
      </c>
      <c r="K9" s="3">
        <v>0.61162352254743546</v>
      </c>
      <c r="L9" s="3">
        <v>0.7142857142857143</v>
      </c>
      <c r="M9" s="3">
        <v>0.6</v>
      </c>
      <c r="N9" s="3">
        <v>0.75</v>
      </c>
      <c r="O9" s="3">
        <v>0.2025397598678024</v>
      </c>
      <c r="P9" t="s">
        <v>111</v>
      </c>
    </row>
    <row r="10" spans="1:16">
      <c r="A10" t="s">
        <v>107</v>
      </c>
      <c r="B10" t="s">
        <v>49</v>
      </c>
      <c r="C10" t="s">
        <v>110</v>
      </c>
      <c r="D10" t="s">
        <v>51</v>
      </c>
      <c r="E10" t="s">
        <v>56</v>
      </c>
      <c r="F10" s="2">
        <v>2</v>
      </c>
      <c r="G10" s="3">
        <v>6.8965517241379309E-2</v>
      </c>
      <c r="H10" s="3">
        <v>6.8965517241379309E-2</v>
      </c>
      <c r="I10" s="3">
        <v>1</v>
      </c>
      <c r="J10" s="3">
        <v>0.42592592592592587</v>
      </c>
      <c r="K10" s="3">
        <v>0</v>
      </c>
      <c r="L10" s="3">
        <v>0</v>
      </c>
      <c r="M10" s="3">
        <v>0</v>
      </c>
      <c r="N10" s="3">
        <v>0</v>
      </c>
      <c r="O10" s="3">
        <v>0.5</v>
      </c>
      <c r="P10" t="s">
        <v>111</v>
      </c>
    </row>
    <row r="11" spans="1:16">
      <c r="A11" t="s">
        <v>107</v>
      </c>
      <c r="B11" t="s">
        <v>49</v>
      </c>
      <c r="C11" t="s">
        <v>110</v>
      </c>
      <c r="D11" t="s">
        <v>51</v>
      </c>
      <c r="E11" t="s">
        <v>57</v>
      </c>
      <c r="F11" s="2">
        <v>1</v>
      </c>
      <c r="G11" s="3">
        <v>3.4482758620689648E-2</v>
      </c>
      <c r="H11" s="3">
        <v>3.4482758620689648E-2</v>
      </c>
      <c r="I11" s="3">
        <v>1</v>
      </c>
      <c r="J11" s="3">
        <v>0.3392857142857143</v>
      </c>
      <c r="K11" s="3">
        <v>0</v>
      </c>
      <c r="L11" s="3">
        <v>0.15151515151515149</v>
      </c>
      <c r="M11" s="3">
        <v>3.4482758620689648E-2</v>
      </c>
      <c r="N11" s="3">
        <v>1</v>
      </c>
      <c r="O11" s="3">
        <v>0</v>
      </c>
      <c r="P11" t="s">
        <v>111</v>
      </c>
    </row>
    <row r="12" spans="1:16">
      <c r="A12" t="s">
        <v>107</v>
      </c>
      <c r="B12" t="s">
        <v>49</v>
      </c>
      <c r="C12" t="s">
        <v>112</v>
      </c>
      <c r="D12" t="s">
        <v>51</v>
      </c>
      <c r="E12" t="s">
        <v>52</v>
      </c>
      <c r="F12" s="2">
        <v>1</v>
      </c>
      <c r="G12" s="3">
        <v>3.4482758620689648E-2</v>
      </c>
      <c r="H12" s="3">
        <v>5.2631578947368418E-2</v>
      </c>
      <c r="I12" s="3">
        <v>1.5263157894736841</v>
      </c>
      <c r="J12" s="3">
        <v>0.3571428571428571</v>
      </c>
      <c r="K12" s="3">
        <v>-6.4194073876636934E-2</v>
      </c>
      <c r="L12" s="3">
        <v>0</v>
      </c>
      <c r="M12" s="3">
        <v>0</v>
      </c>
      <c r="N12" s="3">
        <v>0</v>
      </c>
      <c r="O12" s="3">
        <v>0.5</v>
      </c>
      <c r="P12" t="s">
        <v>113</v>
      </c>
    </row>
    <row r="13" spans="1:16">
      <c r="A13" t="s">
        <v>107</v>
      </c>
      <c r="B13" t="s">
        <v>49</v>
      </c>
      <c r="C13" t="s">
        <v>112</v>
      </c>
      <c r="D13" t="s">
        <v>51</v>
      </c>
      <c r="E13" t="s">
        <v>54</v>
      </c>
      <c r="F13" s="2">
        <v>5</v>
      </c>
      <c r="G13" s="3">
        <v>0.17241379310344829</v>
      </c>
      <c r="H13" s="3">
        <v>0.19490683229813671</v>
      </c>
      <c r="I13" s="3">
        <v>1.130459627329192</v>
      </c>
      <c r="J13" s="3">
        <v>0.47499999999999998</v>
      </c>
      <c r="K13" s="3">
        <v>-0.13925166297400421</v>
      </c>
      <c r="L13" s="3">
        <v>0.27777777777777779</v>
      </c>
      <c r="M13" s="3">
        <v>0.125</v>
      </c>
      <c r="N13" s="3">
        <v>0.4</v>
      </c>
      <c r="O13" s="3">
        <v>0.42619699478036299</v>
      </c>
      <c r="P13" t="s">
        <v>113</v>
      </c>
    </row>
    <row r="14" spans="1:16">
      <c r="A14" t="s">
        <v>107</v>
      </c>
      <c r="B14" t="s">
        <v>49</v>
      </c>
      <c r="C14" t="s">
        <v>112</v>
      </c>
      <c r="D14" t="s">
        <v>51</v>
      </c>
      <c r="E14" t="s">
        <v>55</v>
      </c>
      <c r="F14" s="2">
        <v>4</v>
      </c>
      <c r="G14" s="3">
        <v>0.13793103448275859</v>
      </c>
      <c r="H14" s="3">
        <v>0.6</v>
      </c>
      <c r="I14" s="3">
        <v>4.3499999999999996</v>
      </c>
      <c r="J14" s="3">
        <v>0.9</v>
      </c>
      <c r="K14" s="3">
        <v>0.55136195008360878</v>
      </c>
      <c r="L14" s="3">
        <v>0.76923076923076927</v>
      </c>
      <c r="M14" s="3">
        <v>0.4</v>
      </c>
      <c r="N14" s="3">
        <v>1</v>
      </c>
      <c r="O14" s="3">
        <v>0.46691704808228601</v>
      </c>
      <c r="P14" t="s">
        <v>113</v>
      </c>
    </row>
    <row r="15" spans="1:16">
      <c r="A15" t="s">
        <v>107</v>
      </c>
      <c r="B15" t="s">
        <v>49</v>
      </c>
      <c r="C15" t="s">
        <v>112</v>
      </c>
      <c r="D15" t="s">
        <v>51</v>
      </c>
      <c r="E15" t="s">
        <v>56</v>
      </c>
      <c r="F15" s="2">
        <v>2</v>
      </c>
      <c r="G15" s="3">
        <v>6.8965517241379309E-2</v>
      </c>
      <c r="H15" s="3">
        <v>8.8461538461538466E-2</v>
      </c>
      <c r="I15" s="3">
        <v>1.282692307692308</v>
      </c>
      <c r="J15" s="3">
        <v>0.38888888888888901</v>
      </c>
      <c r="K15" s="3">
        <v>0</v>
      </c>
      <c r="L15" s="3">
        <v>0</v>
      </c>
      <c r="M15" s="3">
        <v>0</v>
      </c>
      <c r="N15" s="3">
        <v>0</v>
      </c>
      <c r="O15" s="3">
        <v>0.5</v>
      </c>
      <c r="P15" t="s">
        <v>113</v>
      </c>
    </row>
    <row r="16" spans="1:16">
      <c r="A16" t="s">
        <v>107</v>
      </c>
      <c r="B16" t="s">
        <v>49</v>
      </c>
      <c r="C16" t="s">
        <v>112</v>
      </c>
      <c r="D16" t="s">
        <v>51</v>
      </c>
      <c r="E16" t="s">
        <v>57</v>
      </c>
      <c r="F16" s="2">
        <v>1</v>
      </c>
      <c r="G16" s="3">
        <v>3.4482758620689648E-2</v>
      </c>
      <c r="H16" s="3">
        <v>4.1666666666666657E-2</v>
      </c>
      <c r="I16" s="3">
        <v>1.208333333333333</v>
      </c>
      <c r="J16" s="3">
        <v>0.1785714285714286</v>
      </c>
      <c r="K16" s="3">
        <v>-0.24174688920761411</v>
      </c>
      <c r="L16" s="3">
        <v>0</v>
      </c>
      <c r="M16" s="3">
        <v>0</v>
      </c>
      <c r="N16" s="3">
        <v>0</v>
      </c>
      <c r="O16" s="3">
        <v>0.46025855092286788</v>
      </c>
      <c r="P16" t="s">
        <v>113</v>
      </c>
    </row>
    <row r="17" spans="1:16">
      <c r="A17" t="s">
        <v>107</v>
      </c>
      <c r="B17" t="s">
        <v>49</v>
      </c>
      <c r="C17" t="s">
        <v>66</v>
      </c>
      <c r="D17" t="s">
        <v>51</v>
      </c>
      <c r="E17" t="s">
        <v>52</v>
      </c>
      <c r="F17" s="2">
        <v>1</v>
      </c>
      <c r="G17" s="3">
        <v>3.4482758620689648E-2</v>
      </c>
      <c r="H17" s="3">
        <v>7.6923076923076927E-2</v>
      </c>
      <c r="I17" s="3">
        <v>2.2307692307692308</v>
      </c>
      <c r="J17" s="3">
        <v>0.5714285714285714</v>
      </c>
      <c r="K17" s="3">
        <v>0</v>
      </c>
      <c r="L17" s="3">
        <v>0</v>
      </c>
      <c r="M17" s="3">
        <v>0</v>
      </c>
      <c r="N17" s="3">
        <v>0</v>
      </c>
      <c r="O17" s="3">
        <v>0.5</v>
      </c>
      <c r="P17" t="s">
        <v>114</v>
      </c>
    </row>
    <row r="18" spans="1:16">
      <c r="A18" t="s">
        <v>107</v>
      </c>
      <c r="B18" t="s">
        <v>49</v>
      </c>
      <c r="C18" t="s">
        <v>66</v>
      </c>
      <c r="D18" t="s">
        <v>51</v>
      </c>
      <c r="E18" t="s">
        <v>54</v>
      </c>
      <c r="F18" s="2">
        <v>5</v>
      </c>
      <c r="G18" s="3">
        <v>0.17241379310344829</v>
      </c>
      <c r="H18" s="3">
        <v>0.28208458208458209</v>
      </c>
      <c r="I18" s="3">
        <v>1.636090576090576</v>
      </c>
      <c r="J18" s="3">
        <v>0.6</v>
      </c>
      <c r="K18" s="3">
        <v>-7.7472473350114021E-2</v>
      </c>
      <c r="L18" s="3">
        <v>0.1785714285714286</v>
      </c>
      <c r="M18" s="3">
        <v>0.125</v>
      </c>
      <c r="N18" s="3">
        <v>0.2</v>
      </c>
      <c r="O18" s="3">
        <v>0.27239426803376382</v>
      </c>
      <c r="P18" t="s">
        <v>114</v>
      </c>
    </row>
    <row r="19" spans="1:16">
      <c r="A19" t="s">
        <v>107</v>
      </c>
      <c r="B19" t="s">
        <v>49</v>
      </c>
      <c r="C19" t="s">
        <v>66</v>
      </c>
      <c r="D19" t="s">
        <v>51</v>
      </c>
      <c r="E19" t="s">
        <v>55</v>
      </c>
      <c r="F19" s="2">
        <v>4</v>
      </c>
      <c r="G19" s="3">
        <v>0.13793103448275859</v>
      </c>
      <c r="H19" s="3">
        <v>0.45192307692307693</v>
      </c>
      <c r="I19" s="3">
        <v>3.2764423076923079</v>
      </c>
      <c r="J19" s="3">
        <v>0.85</v>
      </c>
      <c r="K19" s="3">
        <v>0.34689095308660522</v>
      </c>
      <c r="L19" s="3">
        <v>0.47619047619047622</v>
      </c>
      <c r="M19" s="3">
        <v>0.4</v>
      </c>
      <c r="N19" s="3">
        <v>0.5</v>
      </c>
      <c r="O19" s="3">
        <v>0.27774917457728188</v>
      </c>
      <c r="P19" t="s">
        <v>114</v>
      </c>
    </row>
    <row r="20" spans="1:16">
      <c r="A20" t="s">
        <v>107</v>
      </c>
      <c r="B20" t="s">
        <v>49</v>
      </c>
      <c r="C20" t="s">
        <v>66</v>
      </c>
      <c r="D20" t="s">
        <v>51</v>
      </c>
      <c r="E20" t="s">
        <v>56</v>
      </c>
      <c r="F20" s="2">
        <v>2</v>
      </c>
      <c r="G20" s="3">
        <v>6.8965517241379309E-2</v>
      </c>
      <c r="H20" s="3">
        <v>0.126984126984127</v>
      </c>
      <c r="I20" s="3">
        <v>1.8412698412698409</v>
      </c>
      <c r="J20" s="3">
        <v>0.59259259259259256</v>
      </c>
      <c r="K20" s="3">
        <v>0</v>
      </c>
      <c r="L20" s="3">
        <v>0</v>
      </c>
      <c r="M20" s="3">
        <v>0</v>
      </c>
      <c r="N20" s="3">
        <v>0</v>
      </c>
      <c r="O20" s="3">
        <v>0.5</v>
      </c>
      <c r="P20" t="s">
        <v>114</v>
      </c>
    </row>
    <row r="21" spans="1:16">
      <c r="A21" t="s">
        <v>107</v>
      </c>
      <c r="B21" t="s">
        <v>49</v>
      </c>
      <c r="C21" t="s">
        <v>66</v>
      </c>
      <c r="D21" t="s">
        <v>51</v>
      </c>
      <c r="E21" t="s">
        <v>57</v>
      </c>
      <c r="F21" s="2">
        <v>1</v>
      </c>
      <c r="G21" s="3">
        <v>3.4482758620689648E-2</v>
      </c>
      <c r="H21" s="3">
        <v>0.04</v>
      </c>
      <c r="I21" s="3">
        <v>1.1599999999999999</v>
      </c>
      <c r="J21" s="3">
        <v>0.1428571428571429</v>
      </c>
      <c r="K21" s="3">
        <v>-0.37000643495047741</v>
      </c>
      <c r="L21" s="3">
        <v>0</v>
      </c>
      <c r="M21" s="3">
        <v>0</v>
      </c>
      <c r="N21" s="3">
        <v>0</v>
      </c>
      <c r="O21" s="3">
        <v>9.3920896677291407E-2</v>
      </c>
      <c r="P21" t="s">
        <v>114</v>
      </c>
    </row>
    <row r="22" spans="1:16">
      <c r="A22" t="s">
        <v>107</v>
      </c>
      <c r="B22" t="s">
        <v>49</v>
      </c>
      <c r="C22" t="s">
        <v>115</v>
      </c>
      <c r="D22" t="s">
        <v>51</v>
      </c>
      <c r="E22" t="s">
        <v>52</v>
      </c>
      <c r="F22" s="2">
        <v>1</v>
      </c>
      <c r="G22" s="3">
        <v>3.4482758620689648E-2</v>
      </c>
      <c r="H22" s="3">
        <v>3.4482758620689648E-2</v>
      </c>
      <c r="I22" s="3">
        <v>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0.5</v>
      </c>
      <c r="P22" t="s">
        <v>116</v>
      </c>
    </row>
    <row r="23" spans="1:16">
      <c r="A23" t="s">
        <v>107</v>
      </c>
      <c r="B23" t="s">
        <v>49</v>
      </c>
      <c r="C23" t="s">
        <v>115</v>
      </c>
      <c r="D23" t="s">
        <v>51</v>
      </c>
      <c r="E23" t="s">
        <v>54</v>
      </c>
      <c r="F23" s="2">
        <v>5</v>
      </c>
      <c r="G23" s="3">
        <v>0.17241379310344829</v>
      </c>
      <c r="H23" s="3">
        <v>0.36084656084656092</v>
      </c>
      <c r="I23" s="3">
        <v>2.0929100529100531</v>
      </c>
      <c r="J23" s="3">
        <v>0.65833333333333333</v>
      </c>
      <c r="K23" s="3">
        <v>0.16919084232174361</v>
      </c>
      <c r="L23" s="3">
        <v>0.37037037037037029</v>
      </c>
      <c r="M23" s="3">
        <v>0.2857142857142857</v>
      </c>
      <c r="N23" s="3">
        <v>0.4</v>
      </c>
      <c r="O23" s="3">
        <v>0.13614095805874199</v>
      </c>
      <c r="P23" t="s">
        <v>116</v>
      </c>
    </row>
    <row r="24" spans="1:16">
      <c r="A24" t="s">
        <v>107</v>
      </c>
      <c r="B24" t="s">
        <v>49</v>
      </c>
      <c r="C24" t="s">
        <v>115</v>
      </c>
      <c r="D24" t="s">
        <v>51</v>
      </c>
      <c r="E24" t="s">
        <v>55</v>
      </c>
      <c r="F24" s="2">
        <v>4</v>
      </c>
      <c r="G24" s="3">
        <v>0.13793103448275859</v>
      </c>
      <c r="H24" s="3">
        <v>0.72916666666666663</v>
      </c>
      <c r="I24" s="3">
        <v>5.286458333333333</v>
      </c>
      <c r="J24" s="3">
        <v>0.94</v>
      </c>
      <c r="K24" s="3">
        <v>0.61162352254743546</v>
      </c>
      <c r="L24" s="3">
        <v>0.7142857142857143</v>
      </c>
      <c r="M24" s="3">
        <v>0.6</v>
      </c>
      <c r="N24" s="3">
        <v>0.75</v>
      </c>
      <c r="O24" s="3">
        <v>0.24049213131970201</v>
      </c>
      <c r="P24" t="s">
        <v>116</v>
      </c>
    </row>
    <row r="25" spans="1:16">
      <c r="A25" t="s">
        <v>107</v>
      </c>
      <c r="B25" t="s">
        <v>49</v>
      </c>
      <c r="C25" t="s">
        <v>115</v>
      </c>
      <c r="D25" t="s">
        <v>51</v>
      </c>
      <c r="E25" t="s">
        <v>56</v>
      </c>
      <c r="F25" s="2">
        <v>2</v>
      </c>
      <c r="G25" s="3">
        <v>6.8965517241379309E-2</v>
      </c>
      <c r="H25" s="3">
        <v>0.14215686274509801</v>
      </c>
      <c r="I25" s="3">
        <v>2.0612745098039209</v>
      </c>
      <c r="J25" s="3">
        <v>0.62962962962962965</v>
      </c>
      <c r="K25" s="3">
        <v>0</v>
      </c>
      <c r="L25" s="3">
        <v>0</v>
      </c>
      <c r="M25" s="3">
        <v>0</v>
      </c>
      <c r="N25" s="3">
        <v>0</v>
      </c>
      <c r="O25" s="3">
        <v>0.5</v>
      </c>
      <c r="P25" t="s">
        <v>116</v>
      </c>
    </row>
    <row r="26" spans="1:16">
      <c r="A26" t="s">
        <v>107</v>
      </c>
      <c r="B26" t="s">
        <v>49</v>
      </c>
      <c r="C26" t="s">
        <v>115</v>
      </c>
      <c r="D26" t="s">
        <v>51</v>
      </c>
      <c r="E26" t="s">
        <v>57</v>
      </c>
      <c r="F26" s="2">
        <v>1</v>
      </c>
      <c r="G26" s="3">
        <v>3.4482758620689648E-2</v>
      </c>
      <c r="H26" s="3">
        <v>0.33333333333333331</v>
      </c>
      <c r="I26" s="3">
        <v>9.6666666666666661</v>
      </c>
      <c r="J26" s="3">
        <v>0.92857142857142849</v>
      </c>
      <c r="K26" s="3">
        <v>0.47245559126153402</v>
      </c>
      <c r="L26" s="3">
        <v>0.625</v>
      </c>
      <c r="M26" s="3">
        <v>0.25</v>
      </c>
      <c r="N26" s="3">
        <v>1</v>
      </c>
      <c r="O26" s="3">
        <v>0.12532035921179729</v>
      </c>
      <c r="P26" t="s">
        <v>116</v>
      </c>
    </row>
    <row r="27" spans="1:16">
      <c r="A27" t="s">
        <v>107</v>
      </c>
      <c r="B27" t="s">
        <v>49</v>
      </c>
      <c r="C27" t="s">
        <v>117</v>
      </c>
      <c r="D27" t="s">
        <v>51</v>
      </c>
      <c r="E27" t="s">
        <v>52</v>
      </c>
      <c r="F27" s="2">
        <v>1</v>
      </c>
      <c r="G27" s="3">
        <v>3.4482758620689648E-2</v>
      </c>
      <c r="H27" s="3">
        <v>0.25</v>
      </c>
      <c r="I27" s="3">
        <v>7.25</v>
      </c>
      <c r="J27" s="3">
        <v>0.89285714285714279</v>
      </c>
      <c r="K27" s="3">
        <v>0</v>
      </c>
      <c r="L27" s="3">
        <v>0</v>
      </c>
      <c r="M27" s="3">
        <v>0</v>
      </c>
      <c r="N27" s="3">
        <v>0</v>
      </c>
      <c r="O27" s="3">
        <v>0.5</v>
      </c>
      <c r="P27" t="s">
        <v>118</v>
      </c>
    </row>
    <row r="28" spans="1:16">
      <c r="A28" t="s">
        <v>107</v>
      </c>
      <c r="B28" t="s">
        <v>49</v>
      </c>
      <c r="C28" t="s">
        <v>117</v>
      </c>
      <c r="D28" t="s">
        <v>51</v>
      </c>
      <c r="E28" t="s">
        <v>54</v>
      </c>
      <c r="F28" s="2">
        <v>5</v>
      </c>
      <c r="G28" s="3">
        <v>0.17241379310344829</v>
      </c>
      <c r="H28" s="3">
        <v>0.460952380952381</v>
      </c>
      <c r="I28" s="3">
        <v>2.6735238095238101</v>
      </c>
      <c r="J28" s="3">
        <v>0.83333333333333326</v>
      </c>
      <c r="K28" s="3">
        <v>0</v>
      </c>
      <c r="L28" s="3">
        <v>0</v>
      </c>
      <c r="M28" s="3">
        <v>0</v>
      </c>
      <c r="N28" s="3">
        <v>0</v>
      </c>
      <c r="O28" s="3">
        <v>0.95299364642881268</v>
      </c>
      <c r="P28" t="s">
        <v>118</v>
      </c>
    </row>
    <row r="29" spans="1:16">
      <c r="A29" t="s">
        <v>107</v>
      </c>
      <c r="B29" t="s">
        <v>49</v>
      </c>
      <c r="C29" t="s">
        <v>117</v>
      </c>
      <c r="D29" t="s">
        <v>51</v>
      </c>
      <c r="E29" t="s">
        <v>55</v>
      </c>
      <c r="F29" s="2">
        <v>4</v>
      </c>
      <c r="G29" s="3">
        <v>0.13793103448275859</v>
      </c>
      <c r="H29" s="3">
        <v>0.48525641025641031</v>
      </c>
      <c r="I29" s="3">
        <v>3.5181089743589742</v>
      </c>
      <c r="J29" s="3">
        <v>0.79999999999999993</v>
      </c>
      <c r="K29" s="3">
        <v>0.41403933560541251</v>
      </c>
      <c r="L29" s="3">
        <v>0.66666666666666663</v>
      </c>
      <c r="M29" s="3">
        <v>0.2857142857142857</v>
      </c>
      <c r="N29" s="3">
        <v>1</v>
      </c>
      <c r="O29" s="3">
        <v>1.3724142676453371E-2</v>
      </c>
      <c r="P29" t="s">
        <v>118</v>
      </c>
    </row>
    <row r="30" spans="1:16">
      <c r="A30" t="s">
        <v>107</v>
      </c>
      <c r="B30" t="s">
        <v>49</v>
      </c>
      <c r="C30" t="s">
        <v>117</v>
      </c>
      <c r="D30" t="s">
        <v>51</v>
      </c>
      <c r="E30" t="s">
        <v>56</v>
      </c>
      <c r="F30" s="2">
        <v>2</v>
      </c>
      <c r="G30" s="3">
        <v>6.8965517241379309E-2</v>
      </c>
      <c r="H30" s="3">
        <v>9.722222222222221E-2</v>
      </c>
      <c r="I30" s="3">
        <v>1.4097222222222221</v>
      </c>
      <c r="J30" s="3">
        <v>0.44444444444444448</v>
      </c>
      <c r="K30" s="3">
        <v>0</v>
      </c>
      <c r="L30" s="3">
        <v>0</v>
      </c>
      <c r="M30" s="3">
        <v>0</v>
      </c>
      <c r="N30" s="3">
        <v>0</v>
      </c>
      <c r="O30" s="3">
        <v>0.5</v>
      </c>
      <c r="P30" t="s">
        <v>118</v>
      </c>
    </row>
    <row r="31" spans="1:16">
      <c r="A31" t="s">
        <v>107</v>
      </c>
      <c r="B31" t="s">
        <v>49</v>
      </c>
      <c r="C31" t="s">
        <v>117</v>
      </c>
      <c r="D31" t="s">
        <v>51</v>
      </c>
      <c r="E31" t="s">
        <v>57</v>
      </c>
      <c r="F31" s="2">
        <v>1</v>
      </c>
      <c r="G31" s="3">
        <v>3.4482758620689648E-2</v>
      </c>
      <c r="H31" s="3">
        <v>3.4482758620689648E-2</v>
      </c>
      <c r="I31" s="3">
        <v>1</v>
      </c>
      <c r="J31" s="3">
        <v>0</v>
      </c>
      <c r="K31" s="3">
        <v>-0.19561519910898789</v>
      </c>
      <c r="L31" s="3">
        <v>0</v>
      </c>
      <c r="M31" s="3">
        <v>0</v>
      </c>
      <c r="N31" s="3">
        <v>0</v>
      </c>
      <c r="O31" s="3">
        <v>1.1633335185429109E-2</v>
      </c>
      <c r="P31" t="s">
        <v>118</v>
      </c>
    </row>
    <row r="32" spans="1:16">
      <c r="A32" t="s">
        <v>107</v>
      </c>
      <c r="B32" t="s">
        <v>68</v>
      </c>
      <c r="C32" t="s">
        <v>108</v>
      </c>
      <c r="D32" t="s">
        <v>51</v>
      </c>
      <c r="E32" t="s">
        <v>52</v>
      </c>
      <c r="F32" s="2">
        <v>1</v>
      </c>
      <c r="G32" s="3">
        <v>3.4482758620689648E-2</v>
      </c>
      <c r="H32" s="3">
        <v>1</v>
      </c>
      <c r="I32" s="3">
        <v>29</v>
      </c>
      <c r="J32" s="3">
        <v>1</v>
      </c>
      <c r="K32" s="3">
        <v>0.69436507482941356</v>
      </c>
      <c r="L32" s="3">
        <v>0.83333333333333337</v>
      </c>
      <c r="M32" s="3">
        <v>0.5</v>
      </c>
      <c r="N32" s="3">
        <v>1</v>
      </c>
      <c r="O32" s="3">
        <v>0.5</v>
      </c>
      <c r="P32" t="s">
        <v>119</v>
      </c>
    </row>
    <row r="33" spans="1:16">
      <c r="A33" t="s">
        <v>107</v>
      </c>
      <c r="B33" t="s">
        <v>68</v>
      </c>
      <c r="C33" t="s">
        <v>108</v>
      </c>
      <c r="D33" t="s">
        <v>51</v>
      </c>
      <c r="E33" t="s">
        <v>54</v>
      </c>
      <c r="F33" s="2">
        <v>5</v>
      </c>
      <c r="G33" s="3">
        <v>0.17241379310344829</v>
      </c>
      <c r="H33" s="3">
        <v>0.46876847290640389</v>
      </c>
      <c r="I33" s="3">
        <v>2.718857142857142</v>
      </c>
      <c r="J33" s="3">
        <v>0.73333333333333339</v>
      </c>
      <c r="K33" s="3">
        <v>0.23602939762497779</v>
      </c>
      <c r="L33" s="3">
        <v>0.22727272727272729</v>
      </c>
      <c r="M33" s="3">
        <v>0.5</v>
      </c>
      <c r="N33" s="3">
        <v>0.2</v>
      </c>
      <c r="O33" s="3">
        <v>0.68116187467396394</v>
      </c>
      <c r="P33" t="s">
        <v>119</v>
      </c>
    </row>
    <row r="34" spans="1:16">
      <c r="A34" t="s">
        <v>107</v>
      </c>
      <c r="B34" t="s">
        <v>68</v>
      </c>
      <c r="C34" t="s">
        <v>108</v>
      </c>
      <c r="D34" t="s">
        <v>51</v>
      </c>
      <c r="E34" t="s">
        <v>55</v>
      </c>
      <c r="F34" s="2">
        <v>4</v>
      </c>
      <c r="G34" s="3">
        <v>0.13793103448275859</v>
      </c>
      <c r="H34" s="3">
        <v>0.62202380952380953</v>
      </c>
      <c r="I34" s="3">
        <v>4.5096726190476204</v>
      </c>
      <c r="J34" s="3">
        <v>0.94</v>
      </c>
      <c r="K34" s="3">
        <v>0.70912420834233469</v>
      </c>
      <c r="L34" s="3">
        <v>0.86956521739130432</v>
      </c>
      <c r="M34" s="3">
        <v>0.5714285714285714</v>
      </c>
      <c r="N34" s="3">
        <v>1</v>
      </c>
      <c r="O34" s="3">
        <v>0.16091952799537421</v>
      </c>
      <c r="P34" t="s">
        <v>119</v>
      </c>
    </row>
    <row r="35" spans="1:16">
      <c r="A35" t="s">
        <v>107</v>
      </c>
      <c r="B35" t="s">
        <v>68</v>
      </c>
      <c r="C35" t="s">
        <v>108</v>
      </c>
      <c r="D35" t="s">
        <v>51</v>
      </c>
      <c r="E35" t="s">
        <v>56</v>
      </c>
      <c r="F35" s="2">
        <v>2</v>
      </c>
      <c r="G35" s="3">
        <v>6.8965517241379309E-2</v>
      </c>
      <c r="H35" s="3">
        <v>0.1339285714285714</v>
      </c>
      <c r="I35" s="3">
        <v>1.941964285714286</v>
      </c>
      <c r="J35" s="3">
        <v>0.62962962962962965</v>
      </c>
      <c r="K35" s="3">
        <v>-0.13900960937138321</v>
      </c>
      <c r="L35" s="3">
        <v>0</v>
      </c>
      <c r="M35" s="3">
        <v>0</v>
      </c>
      <c r="N35" s="3">
        <v>0</v>
      </c>
      <c r="O35" s="3">
        <v>0.5</v>
      </c>
      <c r="P35" t="s">
        <v>119</v>
      </c>
    </row>
    <row r="36" spans="1:16">
      <c r="A36" t="s">
        <v>107</v>
      </c>
      <c r="B36" t="s">
        <v>68</v>
      </c>
      <c r="C36" t="s">
        <v>108</v>
      </c>
      <c r="D36" t="s">
        <v>51</v>
      </c>
      <c r="E36" t="s">
        <v>57</v>
      </c>
      <c r="F36" s="2">
        <v>1</v>
      </c>
      <c r="G36" s="3">
        <v>3.4482758620689648E-2</v>
      </c>
      <c r="H36" s="3">
        <v>0.25</v>
      </c>
      <c r="I36" s="3">
        <v>7.25</v>
      </c>
      <c r="J36" s="3">
        <v>0.8928571428571429</v>
      </c>
      <c r="K36" s="3">
        <v>-6.4194073876636934E-2</v>
      </c>
      <c r="L36" s="3">
        <v>0</v>
      </c>
      <c r="M36" s="3">
        <v>0</v>
      </c>
      <c r="N36" s="3">
        <v>0</v>
      </c>
      <c r="O36" s="3">
        <v>0.21290933921460589</v>
      </c>
      <c r="P36" t="s">
        <v>119</v>
      </c>
    </row>
    <row r="37" spans="1:16">
      <c r="A37" t="s">
        <v>107</v>
      </c>
      <c r="B37" t="s">
        <v>68</v>
      </c>
      <c r="C37" t="s">
        <v>110</v>
      </c>
      <c r="D37" t="s">
        <v>51</v>
      </c>
      <c r="E37" t="s">
        <v>52</v>
      </c>
      <c r="F37" s="2">
        <v>1</v>
      </c>
      <c r="G37" s="3">
        <v>3.4482758620689648E-2</v>
      </c>
      <c r="H37" s="3">
        <v>1</v>
      </c>
      <c r="I37" s="3">
        <v>29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0.5</v>
      </c>
      <c r="P37" t="s">
        <v>120</v>
      </c>
    </row>
    <row r="38" spans="1:16">
      <c r="A38" t="s">
        <v>107</v>
      </c>
      <c r="B38" t="s">
        <v>68</v>
      </c>
      <c r="C38" t="s">
        <v>110</v>
      </c>
      <c r="D38" t="s">
        <v>51</v>
      </c>
      <c r="E38" t="s">
        <v>54</v>
      </c>
      <c r="F38" s="2">
        <v>5</v>
      </c>
      <c r="G38" s="3">
        <v>0.17241379310344829</v>
      </c>
      <c r="H38" s="3">
        <v>0.85285714285714276</v>
      </c>
      <c r="I38" s="3">
        <v>4.9465714285714277</v>
      </c>
      <c r="J38" s="3">
        <v>0.96666666666666667</v>
      </c>
      <c r="K38" s="3">
        <v>0.44445779894466358</v>
      </c>
      <c r="L38" s="3">
        <v>0.43478260869565222</v>
      </c>
      <c r="M38" s="3">
        <v>0.66666666666666663</v>
      </c>
      <c r="N38" s="3">
        <v>0.4</v>
      </c>
      <c r="O38" s="3">
        <v>0.35961611029723117</v>
      </c>
      <c r="P38" t="s">
        <v>120</v>
      </c>
    </row>
    <row r="39" spans="1:16">
      <c r="A39" t="s">
        <v>107</v>
      </c>
      <c r="B39" t="s">
        <v>68</v>
      </c>
      <c r="C39" t="s">
        <v>110</v>
      </c>
      <c r="D39" t="s">
        <v>51</v>
      </c>
      <c r="E39" t="s">
        <v>55</v>
      </c>
      <c r="F39" s="2">
        <v>4</v>
      </c>
      <c r="G39" s="3">
        <v>0.13793103448275859</v>
      </c>
      <c r="H39" s="3">
        <v>0.64583333333333326</v>
      </c>
      <c r="I39" s="3">
        <v>4.6822916666666661</v>
      </c>
      <c r="J39" s="3">
        <v>0.95499999999999996</v>
      </c>
      <c r="K39" s="3">
        <v>0.70912420834233469</v>
      </c>
      <c r="L39" s="3">
        <v>0.86956521739130432</v>
      </c>
      <c r="M39" s="3">
        <v>0.5714285714285714</v>
      </c>
      <c r="N39" s="3">
        <v>1</v>
      </c>
      <c r="O39" s="3">
        <v>0.40129183514573991</v>
      </c>
      <c r="P39" t="s">
        <v>120</v>
      </c>
    </row>
    <row r="40" spans="1:16">
      <c r="A40" t="s">
        <v>107</v>
      </c>
      <c r="B40" t="s">
        <v>68</v>
      </c>
      <c r="C40" t="s">
        <v>110</v>
      </c>
      <c r="D40" t="s">
        <v>51</v>
      </c>
      <c r="E40" t="s">
        <v>56</v>
      </c>
      <c r="F40" s="2">
        <v>2</v>
      </c>
      <c r="G40" s="3">
        <v>6.8965517241379309E-2</v>
      </c>
      <c r="H40" s="3">
        <v>6.8965517241379309E-2</v>
      </c>
      <c r="I40" s="3">
        <v>1</v>
      </c>
      <c r="J40" s="3">
        <v>0.42592592592592587</v>
      </c>
      <c r="K40" s="3">
        <v>0</v>
      </c>
      <c r="L40" s="3">
        <v>0</v>
      </c>
      <c r="M40" s="3">
        <v>0</v>
      </c>
      <c r="N40" s="3">
        <v>0</v>
      </c>
      <c r="O40" s="3">
        <v>0.5</v>
      </c>
      <c r="P40" t="s">
        <v>120</v>
      </c>
    </row>
    <row r="41" spans="1:16">
      <c r="A41" t="s">
        <v>107</v>
      </c>
      <c r="B41" t="s">
        <v>68</v>
      </c>
      <c r="C41" t="s">
        <v>110</v>
      </c>
      <c r="D41" t="s">
        <v>51</v>
      </c>
      <c r="E41" t="s">
        <v>57</v>
      </c>
      <c r="F41" s="2">
        <v>1</v>
      </c>
      <c r="G41" s="3">
        <v>3.4482758620689648E-2</v>
      </c>
      <c r="H41" s="3">
        <v>0.16666666666666671</v>
      </c>
      <c r="I41" s="3">
        <v>4.833333333333333</v>
      </c>
      <c r="J41" s="3">
        <v>0.8214285714285714</v>
      </c>
      <c r="K41" s="3">
        <v>0</v>
      </c>
      <c r="L41" s="3">
        <v>0.15151515151515149</v>
      </c>
      <c r="M41" s="3">
        <v>3.4482758620689648E-2</v>
      </c>
      <c r="N41" s="3">
        <v>1</v>
      </c>
      <c r="O41" s="3">
        <v>0</v>
      </c>
      <c r="P41" t="s">
        <v>120</v>
      </c>
    </row>
    <row r="42" spans="1:16">
      <c r="A42" t="s">
        <v>107</v>
      </c>
      <c r="B42" t="s">
        <v>68</v>
      </c>
      <c r="C42" t="s">
        <v>112</v>
      </c>
      <c r="D42" t="s">
        <v>51</v>
      </c>
      <c r="E42" t="s">
        <v>52</v>
      </c>
      <c r="F42" s="2">
        <v>1</v>
      </c>
      <c r="G42" s="3">
        <v>3.4482758620689648E-2</v>
      </c>
      <c r="H42" s="3">
        <v>9.0909090909090912E-2</v>
      </c>
      <c r="I42" s="3">
        <v>2.6363636363636371</v>
      </c>
      <c r="J42" s="3">
        <v>0.64285714285714279</v>
      </c>
      <c r="K42" s="3">
        <v>0</v>
      </c>
      <c r="L42" s="3">
        <v>0</v>
      </c>
      <c r="M42" s="3">
        <v>0</v>
      </c>
      <c r="N42" s="3">
        <v>0</v>
      </c>
      <c r="O42" s="3">
        <v>0.5</v>
      </c>
      <c r="P42" t="s">
        <v>121</v>
      </c>
    </row>
    <row r="43" spans="1:16">
      <c r="A43" t="s">
        <v>107</v>
      </c>
      <c r="B43" t="s">
        <v>68</v>
      </c>
      <c r="C43" t="s">
        <v>112</v>
      </c>
      <c r="D43" t="s">
        <v>51</v>
      </c>
      <c r="E43" t="s">
        <v>54</v>
      </c>
      <c r="F43" s="2">
        <v>5</v>
      </c>
      <c r="G43" s="3">
        <v>0.17241379310344829</v>
      </c>
      <c r="H43" s="3">
        <v>0.65238095238095228</v>
      </c>
      <c r="I43" s="3">
        <v>3.7838095238095231</v>
      </c>
      <c r="J43" s="3">
        <v>0.77500000000000002</v>
      </c>
      <c r="K43" s="3">
        <v>0.22786635759382501</v>
      </c>
      <c r="L43" s="3">
        <v>0.55555555555555558</v>
      </c>
      <c r="M43" s="3">
        <v>0.25</v>
      </c>
      <c r="N43" s="3">
        <v>0.8</v>
      </c>
      <c r="O43" s="3">
        <v>0.12293111178175779</v>
      </c>
      <c r="P43" t="s">
        <v>121</v>
      </c>
    </row>
    <row r="44" spans="1:16">
      <c r="A44" t="s">
        <v>107</v>
      </c>
      <c r="B44" t="s">
        <v>68</v>
      </c>
      <c r="C44" t="s">
        <v>112</v>
      </c>
      <c r="D44" t="s">
        <v>51</v>
      </c>
      <c r="E44" t="s">
        <v>55</v>
      </c>
      <c r="F44" s="2">
        <v>4</v>
      </c>
      <c r="G44" s="3">
        <v>0.13793103448275859</v>
      </c>
      <c r="H44" s="3">
        <v>0.51249999999999996</v>
      </c>
      <c r="I44" s="3">
        <v>3.7156250000000002</v>
      </c>
      <c r="J44" s="3">
        <v>0.78999999999999992</v>
      </c>
      <c r="K44" s="3">
        <v>0.2468853599393471</v>
      </c>
      <c r="L44" s="3">
        <v>0.54054054054054057</v>
      </c>
      <c r="M44" s="3">
        <v>0.19047619047619049</v>
      </c>
      <c r="N44" s="3">
        <v>1</v>
      </c>
      <c r="O44" s="3">
        <v>5.1572786818243399E-2</v>
      </c>
      <c r="P44" t="s">
        <v>121</v>
      </c>
    </row>
    <row r="45" spans="1:16">
      <c r="A45" t="s">
        <v>107</v>
      </c>
      <c r="B45" t="s">
        <v>68</v>
      </c>
      <c r="C45" t="s">
        <v>112</v>
      </c>
      <c r="D45" t="s">
        <v>51</v>
      </c>
      <c r="E45" t="s">
        <v>56</v>
      </c>
      <c r="F45" s="2">
        <v>2</v>
      </c>
      <c r="G45" s="3">
        <v>6.8965517241379309E-2</v>
      </c>
      <c r="H45" s="3">
        <v>0.29166666666666657</v>
      </c>
      <c r="I45" s="3">
        <v>4.2291666666666661</v>
      </c>
      <c r="J45" s="3">
        <v>0.87037037037037035</v>
      </c>
      <c r="K45" s="3">
        <v>-5.1434449987363969E-2</v>
      </c>
      <c r="L45" s="3">
        <v>0</v>
      </c>
      <c r="M45" s="3">
        <v>0</v>
      </c>
      <c r="N45" s="3">
        <v>0</v>
      </c>
      <c r="O45" s="3">
        <v>0.5</v>
      </c>
      <c r="P45" t="s">
        <v>121</v>
      </c>
    </row>
    <row r="46" spans="1:16">
      <c r="A46" t="s">
        <v>107</v>
      </c>
      <c r="B46" t="s">
        <v>68</v>
      </c>
      <c r="C46" t="s">
        <v>112</v>
      </c>
      <c r="D46" t="s">
        <v>51</v>
      </c>
      <c r="E46" t="s">
        <v>57</v>
      </c>
      <c r="F46" s="2">
        <v>1</v>
      </c>
      <c r="G46" s="3">
        <v>3.4482758620689648E-2</v>
      </c>
      <c r="H46" s="3">
        <v>6.6666666666666666E-2</v>
      </c>
      <c r="I46" s="3">
        <v>1.9333333333333329</v>
      </c>
      <c r="J46" s="3">
        <v>0.5</v>
      </c>
      <c r="K46" s="3">
        <v>-8.6258194917794281E-2</v>
      </c>
      <c r="L46" s="3">
        <v>0</v>
      </c>
      <c r="M46" s="3">
        <v>0</v>
      </c>
      <c r="N46" s="3">
        <v>0</v>
      </c>
      <c r="O46" s="3">
        <v>0.41039486929996882</v>
      </c>
      <c r="P46" t="s">
        <v>121</v>
      </c>
    </row>
    <row r="47" spans="1:16">
      <c r="A47" t="s">
        <v>107</v>
      </c>
      <c r="B47" t="s">
        <v>68</v>
      </c>
      <c r="C47" t="s">
        <v>66</v>
      </c>
      <c r="D47" t="s">
        <v>51</v>
      </c>
      <c r="E47" t="s">
        <v>52</v>
      </c>
      <c r="F47" s="2">
        <v>1</v>
      </c>
      <c r="G47" s="3">
        <v>3.4482758620689648E-2</v>
      </c>
      <c r="H47" s="3">
        <v>1</v>
      </c>
      <c r="I47" s="3">
        <v>29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0.5</v>
      </c>
      <c r="P47" t="s">
        <v>122</v>
      </c>
    </row>
    <row r="48" spans="1:16">
      <c r="A48" t="s">
        <v>107</v>
      </c>
      <c r="B48" t="s">
        <v>68</v>
      </c>
      <c r="C48" t="s">
        <v>66</v>
      </c>
      <c r="D48" t="s">
        <v>51</v>
      </c>
      <c r="E48" t="s">
        <v>54</v>
      </c>
      <c r="F48" s="2">
        <v>5</v>
      </c>
      <c r="G48" s="3">
        <v>0.17241379310344829</v>
      </c>
      <c r="H48" s="3">
        <v>0.72952380952380946</v>
      </c>
      <c r="I48" s="3">
        <v>4.231238095238095</v>
      </c>
      <c r="J48" s="3">
        <v>0.94166666666666665</v>
      </c>
      <c r="K48" s="3">
        <v>0.44445779894466358</v>
      </c>
      <c r="L48" s="3">
        <v>0.43478260869565222</v>
      </c>
      <c r="M48" s="3">
        <v>0.66666666666666663</v>
      </c>
      <c r="N48" s="3">
        <v>0.4</v>
      </c>
      <c r="O48" s="3">
        <v>0.46050763377620307</v>
      </c>
      <c r="P48" t="s">
        <v>122</v>
      </c>
    </row>
    <row r="49" spans="1:16">
      <c r="A49" t="s">
        <v>107</v>
      </c>
      <c r="B49" t="s">
        <v>68</v>
      </c>
      <c r="C49" t="s">
        <v>66</v>
      </c>
      <c r="D49" t="s">
        <v>51</v>
      </c>
      <c r="E49" t="s">
        <v>55</v>
      </c>
      <c r="F49" s="2">
        <v>4</v>
      </c>
      <c r="G49" s="3">
        <v>0.13793103448275859</v>
      </c>
      <c r="H49" s="3">
        <v>0.58452380952380945</v>
      </c>
      <c r="I49" s="3">
        <v>4.237797619047619</v>
      </c>
      <c r="J49" s="3">
        <v>0.93</v>
      </c>
      <c r="K49" s="3">
        <v>0.70912420834233469</v>
      </c>
      <c r="L49" s="3">
        <v>0.86956521739130432</v>
      </c>
      <c r="M49" s="3">
        <v>0.5714285714285714</v>
      </c>
      <c r="N49" s="3">
        <v>1</v>
      </c>
      <c r="O49" s="3">
        <v>0.28748948837150712</v>
      </c>
      <c r="P49" t="s">
        <v>122</v>
      </c>
    </row>
    <row r="50" spans="1:16">
      <c r="A50" t="s">
        <v>107</v>
      </c>
      <c r="B50" t="s">
        <v>68</v>
      </c>
      <c r="C50" t="s">
        <v>66</v>
      </c>
      <c r="D50" t="s">
        <v>51</v>
      </c>
      <c r="E50" t="s">
        <v>56</v>
      </c>
      <c r="F50" s="2">
        <v>2</v>
      </c>
      <c r="G50" s="3">
        <v>6.8965517241379309E-2</v>
      </c>
      <c r="H50" s="3">
        <v>8.9285714285714274E-2</v>
      </c>
      <c r="I50" s="3">
        <v>1.294642857142857</v>
      </c>
      <c r="J50" s="3">
        <v>0.44444444444444442</v>
      </c>
      <c r="K50" s="3">
        <v>0</v>
      </c>
      <c r="L50" s="3">
        <v>0</v>
      </c>
      <c r="M50" s="3">
        <v>0</v>
      </c>
      <c r="N50" s="3">
        <v>0</v>
      </c>
      <c r="O50" s="3">
        <v>0.5</v>
      </c>
      <c r="P50" t="s">
        <v>122</v>
      </c>
    </row>
    <row r="51" spans="1:16">
      <c r="A51" t="s">
        <v>107</v>
      </c>
      <c r="B51" t="s">
        <v>68</v>
      </c>
      <c r="C51" t="s">
        <v>66</v>
      </c>
      <c r="D51" t="s">
        <v>51</v>
      </c>
      <c r="E51" t="s">
        <v>57</v>
      </c>
      <c r="F51" s="2">
        <v>1</v>
      </c>
      <c r="G51" s="3">
        <v>3.4482758620689648E-2</v>
      </c>
      <c r="H51" s="3">
        <v>3.5714285714285712E-2</v>
      </c>
      <c r="I51" s="3">
        <v>1.035714285714286</v>
      </c>
      <c r="J51" s="3">
        <v>3.5714285714285698E-2</v>
      </c>
      <c r="K51" s="3">
        <v>-6.4194073876636934E-2</v>
      </c>
      <c r="L51" s="3">
        <v>0</v>
      </c>
      <c r="M51" s="3">
        <v>0</v>
      </c>
      <c r="N51" s="3">
        <v>0</v>
      </c>
      <c r="O51" s="3">
        <v>0.1800708618710152</v>
      </c>
      <c r="P51" t="s">
        <v>122</v>
      </c>
    </row>
    <row r="52" spans="1:16">
      <c r="A52" t="s">
        <v>107</v>
      </c>
      <c r="B52" t="s">
        <v>68</v>
      </c>
      <c r="C52" t="s">
        <v>115</v>
      </c>
      <c r="D52" t="s">
        <v>51</v>
      </c>
      <c r="E52" t="s">
        <v>52</v>
      </c>
      <c r="F52" s="2">
        <v>1</v>
      </c>
      <c r="G52" s="3">
        <v>3.4482758620689648E-2</v>
      </c>
      <c r="H52" s="3">
        <v>1</v>
      </c>
      <c r="I52" s="3">
        <v>29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0.5</v>
      </c>
      <c r="P52" t="s">
        <v>123</v>
      </c>
    </row>
    <row r="53" spans="1:16">
      <c r="A53" t="s">
        <v>107</v>
      </c>
      <c r="B53" t="s">
        <v>68</v>
      </c>
      <c r="C53" t="s">
        <v>115</v>
      </c>
      <c r="D53" t="s">
        <v>51</v>
      </c>
      <c r="E53" t="s">
        <v>54</v>
      </c>
      <c r="F53" s="2">
        <v>5</v>
      </c>
      <c r="G53" s="3">
        <v>0.17241379310344829</v>
      </c>
      <c r="H53" s="3">
        <v>0.49678571428571427</v>
      </c>
      <c r="I53" s="3">
        <v>2.881357142857143</v>
      </c>
      <c r="J53" s="3">
        <v>0.85833333333333339</v>
      </c>
      <c r="K53" s="3">
        <v>0</v>
      </c>
      <c r="L53" s="3">
        <v>0</v>
      </c>
      <c r="M53" s="3">
        <v>0</v>
      </c>
      <c r="N53" s="3">
        <v>0</v>
      </c>
      <c r="O53" s="3">
        <v>0.36839727812477241</v>
      </c>
      <c r="P53" t="s">
        <v>123</v>
      </c>
    </row>
    <row r="54" spans="1:16">
      <c r="A54" t="s">
        <v>107</v>
      </c>
      <c r="B54" t="s">
        <v>68</v>
      </c>
      <c r="C54" t="s">
        <v>115</v>
      </c>
      <c r="D54" t="s">
        <v>51</v>
      </c>
      <c r="E54" t="s">
        <v>55</v>
      </c>
      <c r="F54" s="2">
        <v>4</v>
      </c>
      <c r="G54" s="3">
        <v>0.13793103448275859</v>
      </c>
      <c r="H54" s="3">
        <v>0.64285714285714279</v>
      </c>
      <c r="I54" s="3">
        <v>4.6607142857142856</v>
      </c>
      <c r="J54" s="3">
        <v>0.92</v>
      </c>
      <c r="K54" s="3">
        <v>0.70912420834233469</v>
      </c>
      <c r="L54" s="3">
        <v>0.86956521739130432</v>
      </c>
      <c r="M54" s="3">
        <v>0.5714285714285714</v>
      </c>
      <c r="N54" s="3">
        <v>1</v>
      </c>
      <c r="O54" s="3">
        <v>0.14008663526859089</v>
      </c>
      <c r="P54" t="s">
        <v>123</v>
      </c>
    </row>
    <row r="55" spans="1:16">
      <c r="A55" t="s">
        <v>107</v>
      </c>
      <c r="B55" t="s">
        <v>68</v>
      </c>
      <c r="C55" t="s">
        <v>115</v>
      </c>
      <c r="D55" t="s">
        <v>51</v>
      </c>
      <c r="E55" t="s">
        <v>56</v>
      </c>
      <c r="F55" s="2">
        <v>2</v>
      </c>
      <c r="G55" s="3">
        <v>6.8965517241379309E-2</v>
      </c>
      <c r="H55" s="3">
        <v>0.1607142857142857</v>
      </c>
      <c r="I55" s="3">
        <v>2.3303571428571428</v>
      </c>
      <c r="J55" s="3">
        <v>0.46296296296296302</v>
      </c>
      <c r="K55" s="3">
        <v>0</v>
      </c>
      <c r="L55" s="3">
        <v>0</v>
      </c>
      <c r="M55" s="3">
        <v>0</v>
      </c>
      <c r="N55" s="3">
        <v>0</v>
      </c>
      <c r="O55" s="3">
        <v>0.5</v>
      </c>
      <c r="P55" t="s">
        <v>123</v>
      </c>
    </row>
    <row r="56" spans="1:16">
      <c r="A56" t="s">
        <v>107</v>
      </c>
      <c r="B56" t="s">
        <v>68</v>
      </c>
      <c r="C56" t="s">
        <v>115</v>
      </c>
      <c r="D56" t="s">
        <v>51</v>
      </c>
      <c r="E56" t="s">
        <v>57</v>
      </c>
      <c r="F56" s="2">
        <v>1</v>
      </c>
      <c r="G56" s="3">
        <v>3.4482758620689648E-2</v>
      </c>
      <c r="H56" s="3">
        <v>0.25</v>
      </c>
      <c r="I56" s="3">
        <v>7.25</v>
      </c>
      <c r="J56" s="3">
        <v>0.89285714285714279</v>
      </c>
      <c r="K56" s="3">
        <v>0.37000643495047741</v>
      </c>
      <c r="L56" s="3">
        <v>0.5</v>
      </c>
      <c r="M56" s="3">
        <v>0.16666666666666671</v>
      </c>
      <c r="N56" s="3">
        <v>1</v>
      </c>
      <c r="O56" s="3">
        <v>7.9250008102338051E-2</v>
      </c>
      <c r="P56" t="s">
        <v>123</v>
      </c>
    </row>
    <row r="57" spans="1:16">
      <c r="A57" t="s">
        <v>107</v>
      </c>
      <c r="B57" t="s">
        <v>68</v>
      </c>
      <c r="C57" t="s">
        <v>117</v>
      </c>
      <c r="D57" t="s">
        <v>51</v>
      </c>
      <c r="E57" t="s">
        <v>52</v>
      </c>
      <c r="F57" s="2">
        <v>1</v>
      </c>
      <c r="G57" s="3">
        <v>3.4482758620689648E-2</v>
      </c>
      <c r="H57" s="3">
        <v>0.33333333333333331</v>
      </c>
      <c r="I57" s="3">
        <v>9.6666666666666661</v>
      </c>
      <c r="J57" s="3">
        <v>0.9285714285714286</v>
      </c>
      <c r="K57" s="3">
        <v>0</v>
      </c>
      <c r="L57" s="3">
        <v>0</v>
      </c>
      <c r="M57" s="3">
        <v>0</v>
      </c>
      <c r="N57" s="3">
        <v>0</v>
      </c>
      <c r="O57" s="3">
        <v>0.5</v>
      </c>
      <c r="P57" t="s">
        <v>124</v>
      </c>
    </row>
    <row r="58" spans="1:16">
      <c r="A58" t="s">
        <v>107</v>
      </c>
      <c r="B58" t="s">
        <v>68</v>
      </c>
      <c r="C58" t="s">
        <v>117</v>
      </c>
      <c r="D58" t="s">
        <v>51</v>
      </c>
      <c r="E58" t="s">
        <v>54</v>
      </c>
      <c r="F58" s="2">
        <v>5</v>
      </c>
      <c r="G58" s="3">
        <v>0.17241379310344829</v>
      </c>
      <c r="H58" s="3">
        <v>0.56967787114845936</v>
      </c>
      <c r="I58" s="3">
        <v>3.3041316526610638</v>
      </c>
      <c r="J58" s="3">
        <v>0.71666666666666667</v>
      </c>
      <c r="K58" s="3">
        <v>0.44445779894466358</v>
      </c>
      <c r="L58" s="3">
        <v>0.43478260869565222</v>
      </c>
      <c r="M58" s="3">
        <v>0.66666666666666663</v>
      </c>
      <c r="N58" s="3">
        <v>0.4</v>
      </c>
      <c r="O58" s="3">
        <v>0.46754193097802271</v>
      </c>
      <c r="P58" t="s">
        <v>124</v>
      </c>
    </row>
    <row r="59" spans="1:16">
      <c r="A59" t="s">
        <v>107</v>
      </c>
      <c r="B59" t="s">
        <v>68</v>
      </c>
      <c r="C59" t="s">
        <v>117</v>
      </c>
      <c r="D59" t="s">
        <v>51</v>
      </c>
      <c r="E59" t="s">
        <v>55</v>
      </c>
      <c r="F59" s="2">
        <v>4</v>
      </c>
      <c r="G59" s="3">
        <v>0.13793103448275859</v>
      </c>
      <c r="H59" s="3">
        <v>0.81666666666666665</v>
      </c>
      <c r="I59" s="3">
        <v>5.9208333333333334</v>
      </c>
      <c r="J59" s="3">
        <v>0.96000000000000008</v>
      </c>
      <c r="K59" s="3">
        <v>0.70912420834233469</v>
      </c>
      <c r="L59" s="3">
        <v>0.86956521739130432</v>
      </c>
      <c r="M59" s="3">
        <v>0.5714285714285714</v>
      </c>
      <c r="N59" s="3">
        <v>1</v>
      </c>
      <c r="O59" s="3">
        <v>3.0676650921042371E-2</v>
      </c>
      <c r="P59" t="s">
        <v>124</v>
      </c>
    </row>
    <row r="60" spans="1:16">
      <c r="A60" t="s">
        <v>107</v>
      </c>
      <c r="B60" t="s">
        <v>68</v>
      </c>
      <c r="C60" t="s">
        <v>117</v>
      </c>
      <c r="D60" t="s">
        <v>51</v>
      </c>
      <c r="E60" t="s">
        <v>56</v>
      </c>
      <c r="F60" s="2">
        <v>2</v>
      </c>
      <c r="G60" s="3">
        <v>6.8965517241379309E-2</v>
      </c>
      <c r="H60" s="3">
        <v>0.1114285714285714</v>
      </c>
      <c r="I60" s="3">
        <v>1.6157142857142861</v>
      </c>
      <c r="J60" s="3">
        <v>0.46296296296296302</v>
      </c>
      <c r="K60" s="3">
        <v>-7.407407407407407E-2</v>
      </c>
      <c r="L60" s="3">
        <v>0</v>
      </c>
      <c r="M60" s="3">
        <v>0</v>
      </c>
      <c r="N60" s="3">
        <v>0</v>
      </c>
      <c r="O60" s="3">
        <v>0.5</v>
      </c>
      <c r="P60" t="s">
        <v>124</v>
      </c>
    </row>
    <row r="61" spans="1:16">
      <c r="A61" t="s">
        <v>107</v>
      </c>
      <c r="B61" t="s">
        <v>68</v>
      </c>
      <c r="C61" t="s">
        <v>117</v>
      </c>
      <c r="D61" t="s">
        <v>51</v>
      </c>
      <c r="E61" t="s">
        <v>57</v>
      </c>
      <c r="F61" s="2">
        <v>1</v>
      </c>
      <c r="G61" s="3">
        <v>3.4482758620689648E-2</v>
      </c>
      <c r="H61" s="3">
        <v>0.05</v>
      </c>
      <c r="I61" s="3">
        <v>1.45</v>
      </c>
      <c r="J61" s="3">
        <v>0.3214285714285714</v>
      </c>
      <c r="K61" s="3">
        <v>0</v>
      </c>
      <c r="L61" s="3">
        <v>0</v>
      </c>
      <c r="M61" s="3">
        <v>0</v>
      </c>
      <c r="N61" s="3">
        <v>0</v>
      </c>
      <c r="O61" s="3">
        <v>0.51213369869706638</v>
      </c>
      <c r="P61" t="s">
        <v>124</v>
      </c>
    </row>
    <row r="62" spans="1:16">
      <c r="A62" t="s">
        <v>107</v>
      </c>
      <c r="B62" t="s">
        <v>75</v>
      </c>
      <c r="C62" t="s">
        <v>108</v>
      </c>
      <c r="D62" t="s">
        <v>51</v>
      </c>
      <c r="E62" t="s">
        <v>52</v>
      </c>
      <c r="F62" s="2">
        <v>1</v>
      </c>
      <c r="G62" s="3">
        <v>3.4482758620689648E-2</v>
      </c>
      <c r="H62" s="3">
        <v>1</v>
      </c>
      <c r="I62" s="3">
        <v>29</v>
      </c>
      <c r="J62" s="3">
        <v>1</v>
      </c>
      <c r="K62" s="3">
        <v>1</v>
      </c>
      <c r="L62" s="3">
        <v>1</v>
      </c>
      <c r="M62" s="3">
        <v>1</v>
      </c>
      <c r="N62" s="3">
        <v>1</v>
      </c>
      <c r="O62" s="3">
        <v>0.5</v>
      </c>
      <c r="P62" t="s">
        <v>125</v>
      </c>
    </row>
    <row r="63" spans="1:16">
      <c r="A63" t="s">
        <v>107</v>
      </c>
      <c r="B63" t="s">
        <v>75</v>
      </c>
      <c r="C63" t="s">
        <v>108</v>
      </c>
      <c r="D63" t="s">
        <v>51</v>
      </c>
      <c r="E63" t="s">
        <v>54</v>
      </c>
      <c r="F63" s="2">
        <v>5</v>
      </c>
      <c r="G63" s="3">
        <v>0.17241379310344829</v>
      </c>
      <c r="H63" s="3">
        <v>0.66876847290640395</v>
      </c>
      <c r="I63" s="3">
        <v>3.878857142857143</v>
      </c>
      <c r="J63" s="3">
        <v>0.75833333333333341</v>
      </c>
      <c r="K63" s="3">
        <v>0.44445779894466358</v>
      </c>
      <c r="L63" s="3">
        <v>0.43478260869565222</v>
      </c>
      <c r="M63" s="3">
        <v>0.66666666666666663</v>
      </c>
      <c r="N63" s="3">
        <v>0.4</v>
      </c>
      <c r="O63" s="3">
        <v>0.55107516952030744</v>
      </c>
      <c r="P63" t="s">
        <v>125</v>
      </c>
    </row>
    <row r="64" spans="1:16">
      <c r="A64" t="s">
        <v>107</v>
      </c>
      <c r="B64" t="s">
        <v>75</v>
      </c>
      <c r="C64" t="s">
        <v>108</v>
      </c>
      <c r="D64" t="s">
        <v>51</v>
      </c>
      <c r="E64" t="s">
        <v>55</v>
      </c>
      <c r="F64" s="2">
        <v>4</v>
      </c>
      <c r="G64" s="3">
        <v>0.13793103448275859</v>
      </c>
      <c r="H64" s="3">
        <v>0.48214285714285721</v>
      </c>
      <c r="I64" s="3">
        <v>3.495535714285714</v>
      </c>
      <c r="J64" s="3">
        <v>0.89</v>
      </c>
      <c r="K64" s="3">
        <v>0.59628479399994394</v>
      </c>
      <c r="L64" s="3">
        <v>0.8</v>
      </c>
      <c r="M64" s="3">
        <v>0.44444444444444442</v>
      </c>
      <c r="N64" s="3">
        <v>1</v>
      </c>
      <c r="O64" s="3">
        <v>0.27858355859181561</v>
      </c>
      <c r="P64" t="s">
        <v>125</v>
      </c>
    </row>
    <row r="65" spans="1:16">
      <c r="A65" t="s">
        <v>107</v>
      </c>
      <c r="B65" t="s">
        <v>75</v>
      </c>
      <c r="C65" t="s">
        <v>108</v>
      </c>
      <c r="D65" t="s">
        <v>51</v>
      </c>
      <c r="E65" t="s">
        <v>56</v>
      </c>
      <c r="F65" s="2">
        <v>2</v>
      </c>
      <c r="G65" s="3">
        <v>6.8965517241379309E-2</v>
      </c>
      <c r="H65" s="3">
        <v>0.1130952380952381</v>
      </c>
      <c r="I65" s="3">
        <v>1.6398809523809521</v>
      </c>
      <c r="J65" s="3">
        <v>0.57407407407407407</v>
      </c>
      <c r="K65" s="3">
        <v>-5.1434449987363969E-2</v>
      </c>
      <c r="L65" s="3">
        <v>0</v>
      </c>
      <c r="M65" s="3">
        <v>0</v>
      </c>
      <c r="N65" s="3">
        <v>0</v>
      </c>
      <c r="O65" s="3">
        <v>0.5</v>
      </c>
      <c r="P65" t="s">
        <v>125</v>
      </c>
    </row>
    <row r="66" spans="1:16">
      <c r="A66" t="s">
        <v>107</v>
      </c>
      <c r="B66" t="s">
        <v>75</v>
      </c>
      <c r="C66" t="s">
        <v>108</v>
      </c>
      <c r="D66" t="s">
        <v>51</v>
      </c>
      <c r="E66" t="s">
        <v>57</v>
      </c>
      <c r="F66" s="2">
        <v>1</v>
      </c>
      <c r="G66" s="3">
        <v>3.4482758620689648E-2</v>
      </c>
      <c r="H66" s="3">
        <v>5.8823529411764712E-2</v>
      </c>
      <c r="I66" s="3">
        <v>1.705882352941176</v>
      </c>
      <c r="J66" s="3">
        <v>0.4285714285714286</v>
      </c>
      <c r="K66" s="3">
        <v>-5.1434449987363969E-2</v>
      </c>
      <c r="L66" s="3">
        <v>0</v>
      </c>
      <c r="M66" s="3">
        <v>0</v>
      </c>
      <c r="N66" s="3">
        <v>0</v>
      </c>
      <c r="O66" s="3">
        <v>0.44402774324862182</v>
      </c>
      <c r="P66" t="s">
        <v>125</v>
      </c>
    </row>
    <row r="67" spans="1:16">
      <c r="A67" t="s">
        <v>107</v>
      </c>
      <c r="B67" t="s">
        <v>75</v>
      </c>
      <c r="C67" t="s">
        <v>110</v>
      </c>
      <c r="D67" t="s">
        <v>51</v>
      </c>
      <c r="E67" t="s">
        <v>52</v>
      </c>
      <c r="F67" s="2">
        <v>1</v>
      </c>
      <c r="G67" s="3">
        <v>3.4482758620689648E-2</v>
      </c>
      <c r="H67" s="3">
        <v>0.5</v>
      </c>
      <c r="I67" s="3">
        <v>14.5</v>
      </c>
      <c r="J67" s="3">
        <v>0.9642857142857143</v>
      </c>
      <c r="K67" s="3">
        <v>0</v>
      </c>
      <c r="L67" s="3">
        <v>0</v>
      </c>
      <c r="M67" s="3">
        <v>0</v>
      </c>
      <c r="N67" s="3">
        <v>0</v>
      </c>
      <c r="O67" s="3">
        <v>0.5</v>
      </c>
      <c r="P67" t="s">
        <v>126</v>
      </c>
    </row>
    <row r="68" spans="1:16">
      <c r="A68" t="s">
        <v>107</v>
      </c>
      <c r="B68" t="s">
        <v>75</v>
      </c>
      <c r="C68" t="s">
        <v>110</v>
      </c>
      <c r="D68" t="s">
        <v>51</v>
      </c>
      <c r="E68" t="s">
        <v>54</v>
      </c>
      <c r="F68" s="2">
        <v>5</v>
      </c>
      <c r="G68" s="3">
        <v>0.17241379310344829</v>
      </c>
      <c r="H68" s="3">
        <v>0.9028571428571428</v>
      </c>
      <c r="I68" s="3">
        <v>5.2365714285714278</v>
      </c>
      <c r="J68" s="3">
        <v>0.97500000000000009</v>
      </c>
      <c r="K68" s="3">
        <v>0.73950997288745191</v>
      </c>
      <c r="L68" s="3">
        <v>0.8928571428571429</v>
      </c>
      <c r="M68" s="3">
        <v>0.625</v>
      </c>
      <c r="N68" s="3">
        <v>1</v>
      </c>
      <c r="O68" s="3">
        <v>0.19301013055296129</v>
      </c>
      <c r="P68" t="s">
        <v>126</v>
      </c>
    </row>
    <row r="69" spans="1:16">
      <c r="A69" t="s">
        <v>107</v>
      </c>
      <c r="B69" t="s">
        <v>75</v>
      </c>
      <c r="C69" t="s">
        <v>110</v>
      </c>
      <c r="D69" t="s">
        <v>51</v>
      </c>
      <c r="E69" t="s">
        <v>55</v>
      </c>
      <c r="F69" s="2">
        <v>4</v>
      </c>
      <c r="G69" s="3">
        <v>0.13793103448275859</v>
      </c>
      <c r="H69" s="3">
        <v>0.56666666666666665</v>
      </c>
      <c r="I69" s="3">
        <v>4.1083333333333334</v>
      </c>
      <c r="J69" s="3">
        <v>0.93499999999999994</v>
      </c>
      <c r="K69" s="3">
        <v>0.70912420834233469</v>
      </c>
      <c r="L69" s="3">
        <v>0.86956521739130432</v>
      </c>
      <c r="M69" s="3">
        <v>0.5714285714285714</v>
      </c>
      <c r="N69" s="3">
        <v>1</v>
      </c>
      <c r="O69" s="3">
        <v>0.2496287123517916</v>
      </c>
      <c r="P69" t="s">
        <v>126</v>
      </c>
    </row>
    <row r="70" spans="1:16">
      <c r="A70" t="s">
        <v>107</v>
      </c>
      <c r="B70" t="s">
        <v>75</v>
      </c>
      <c r="C70" t="s">
        <v>110</v>
      </c>
      <c r="D70" t="s">
        <v>51</v>
      </c>
      <c r="E70" t="s">
        <v>56</v>
      </c>
      <c r="F70" s="2">
        <v>2</v>
      </c>
      <c r="G70" s="3">
        <v>6.8965517241379309E-2</v>
      </c>
      <c r="H70" s="3">
        <v>6.8965517241379309E-2</v>
      </c>
      <c r="I70" s="3">
        <v>1</v>
      </c>
      <c r="J70" s="3">
        <v>0.42592592592592587</v>
      </c>
      <c r="K70" s="3">
        <v>0</v>
      </c>
      <c r="L70" s="3">
        <v>0</v>
      </c>
      <c r="M70" s="3">
        <v>0</v>
      </c>
      <c r="N70" s="3">
        <v>0</v>
      </c>
      <c r="O70" s="3">
        <v>0.5</v>
      </c>
      <c r="P70" t="s">
        <v>126</v>
      </c>
    </row>
    <row r="71" spans="1:16">
      <c r="A71" t="s">
        <v>107</v>
      </c>
      <c r="B71" t="s">
        <v>75</v>
      </c>
      <c r="C71" t="s">
        <v>110</v>
      </c>
      <c r="D71" t="s">
        <v>51</v>
      </c>
      <c r="E71" t="s">
        <v>57</v>
      </c>
      <c r="F71" s="2">
        <v>1</v>
      </c>
      <c r="G71" s="3">
        <v>3.4482758620689648E-2</v>
      </c>
      <c r="H71" s="3">
        <v>3.4482758620689648E-2</v>
      </c>
      <c r="I71" s="3">
        <v>1</v>
      </c>
      <c r="J71" s="3">
        <v>0.39285714285714279</v>
      </c>
      <c r="K71" s="3">
        <v>0</v>
      </c>
      <c r="L71" s="3">
        <v>0.15151515151515149</v>
      </c>
      <c r="M71" s="3">
        <v>3.4482758620689648E-2</v>
      </c>
      <c r="N71" s="3">
        <v>1</v>
      </c>
      <c r="O71" s="3">
        <v>0</v>
      </c>
      <c r="P71" t="s">
        <v>126</v>
      </c>
    </row>
    <row r="72" spans="1:16">
      <c r="A72" t="s">
        <v>107</v>
      </c>
      <c r="B72" t="s">
        <v>75</v>
      </c>
      <c r="C72" t="s">
        <v>112</v>
      </c>
      <c r="D72" t="s">
        <v>51</v>
      </c>
      <c r="E72" t="s">
        <v>52</v>
      </c>
      <c r="F72" s="2">
        <v>1</v>
      </c>
      <c r="G72" s="3">
        <v>3.4482758620689648E-2</v>
      </c>
      <c r="H72" s="3">
        <v>5.8823529411764712E-2</v>
      </c>
      <c r="I72" s="3">
        <v>1.705882352941176</v>
      </c>
      <c r="J72" s="3">
        <v>0.4285714285714286</v>
      </c>
      <c r="K72" s="3">
        <v>-8.6258194917794281E-2</v>
      </c>
      <c r="L72" s="3">
        <v>0</v>
      </c>
      <c r="M72" s="3">
        <v>0</v>
      </c>
      <c r="N72" s="3">
        <v>0</v>
      </c>
      <c r="O72" s="3">
        <v>0.5</v>
      </c>
      <c r="P72" t="s">
        <v>127</v>
      </c>
    </row>
    <row r="73" spans="1:16">
      <c r="A73" t="s">
        <v>107</v>
      </c>
      <c r="B73" t="s">
        <v>75</v>
      </c>
      <c r="C73" t="s">
        <v>112</v>
      </c>
      <c r="D73" t="s">
        <v>51</v>
      </c>
      <c r="E73" t="s">
        <v>54</v>
      </c>
      <c r="F73" s="2">
        <v>5</v>
      </c>
      <c r="G73" s="3">
        <v>0.17241379310344829</v>
      </c>
      <c r="H73" s="3">
        <v>0.37103174603174599</v>
      </c>
      <c r="I73" s="3">
        <v>2.1519841269841269</v>
      </c>
      <c r="J73" s="3">
        <v>0.7416666666666667</v>
      </c>
      <c r="K73" s="3">
        <v>0.48309381038223792</v>
      </c>
      <c r="L73" s="3">
        <v>0.68965517241379315</v>
      </c>
      <c r="M73" s="3">
        <v>0.44444444444444442</v>
      </c>
      <c r="N73" s="3">
        <v>0.8</v>
      </c>
      <c r="O73" s="3">
        <v>0.29489696039800661</v>
      </c>
      <c r="P73" t="s">
        <v>127</v>
      </c>
    </row>
    <row r="74" spans="1:16">
      <c r="A74" t="s">
        <v>107</v>
      </c>
      <c r="B74" t="s">
        <v>75</v>
      </c>
      <c r="C74" t="s">
        <v>112</v>
      </c>
      <c r="D74" t="s">
        <v>51</v>
      </c>
      <c r="E74" t="s">
        <v>55</v>
      </c>
      <c r="F74" s="2">
        <v>4</v>
      </c>
      <c r="G74" s="3">
        <v>0.13793103448275859</v>
      </c>
      <c r="H74" s="3">
        <v>0.47619047619047622</v>
      </c>
      <c r="I74" s="3">
        <v>3.4523809523809521</v>
      </c>
      <c r="J74" s="3">
        <v>0.9</v>
      </c>
      <c r="K74" s="3">
        <v>0.64807406984078608</v>
      </c>
      <c r="L74" s="3">
        <v>0.83333333333333337</v>
      </c>
      <c r="M74" s="3">
        <v>0.5</v>
      </c>
      <c r="N74" s="3">
        <v>1</v>
      </c>
      <c r="O74" s="3">
        <v>0.46625907603570083</v>
      </c>
      <c r="P74" t="s">
        <v>127</v>
      </c>
    </row>
    <row r="75" spans="1:16">
      <c r="A75" t="s">
        <v>107</v>
      </c>
      <c r="B75" t="s">
        <v>75</v>
      </c>
      <c r="C75" t="s">
        <v>112</v>
      </c>
      <c r="D75" t="s">
        <v>51</v>
      </c>
      <c r="E75" t="s">
        <v>56</v>
      </c>
      <c r="F75" s="2">
        <v>2</v>
      </c>
      <c r="G75" s="3">
        <v>6.8965517241379309E-2</v>
      </c>
      <c r="H75" s="3">
        <v>7.6315789473684212E-2</v>
      </c>
      <c r="I75" s="3">
        <v>1.1065789473684211</v>
      </c>
      <c r="J75" s="3">
        <v>0.33333333333333343</v>
      </c>
      <c r="K75" s="3">
        <v>-7.407407407407407E-2</v>
      </c>
      <c r="L75" s="3">
        <v>0</v>
      </c>
      <c r="M75" s="3">
        <v>0</v>
      </c>
      <c r="N75" s="3">
        <v>0</v>
      </c>
      <c r="O75" s="3">
        <v>0.5</v>
      </c>
      <c r="P75" t="s">
        <v>127</v>
      </c>
    </row>
    <row r="76" spans="1:16">
      <c r="A76" t="s">
        <v>107</v>
      </c>
      <c r="B76" t="s">
        <v>75</v>
      </c>
      <c r="C76" t="s">
        <v>112</v>
      </c>
      <c r="D76" t="s">
        <v>51</v>
      </c>
      <c r="E76" t="s">
        <v>57</v>
      </c>
      <c r="F76" s="2">
        <v>1</v>
      </c>
      <c r="G76" s="3">
        <v>3.4482758620689648E-2</v>
      </c>
      <c r="H76" s="3">
        <v>7.6923076923076927E-2</v>
      </c>
      <c r="I76" s="3">
        <v>2.2307692307692308</v>
      </c>
      <c r="J76" s="3">
        <v>0.5714285714285714</v>
      </c>
      <c r="K76" s="3">
        <v>0.20965696734438369</v>
      </c>
      <c r="L76" s="3">
        <v>0.29411764705882348</v>
      </c>
      <c r="M76" s="3">
        <v>7.6923076923076927E-2</v>
      </c>
      <c r="N76" s="3">
        <v>1</v>
      </c>
      <c r="O76" s="3">
        <v>0.40093050594789098</v>
      </c>
      <c r="P76" t="s">
        <v>127</v>
      </c>
    </row>
    <row r="77" spans="1:16">
      <c r="A77" t="s">
        <v>107</v>
      </c>
      <c r="B77" t="s">
        <v>75</v>
      </c>
      <c r="C77" t="s">
        <v>66</v>
      </c>
      <c r="D77" t="s">
        <v>51</v>
      </c>
      <c r="E77" t="s">
        <v>52</v>
      </c>
      <c r="F77" s="2">
        <v>1</v>
      </c>
      <c r="G77" s="3">
        <v>3.4482758620689648E-2</v>
      </c>
      <c r="H77" s="3">
        <v>1</v>
      </c>
      <c r="I77" s="3">
        <v>29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0.5</v>
      </c>
      <c r="P77" t="s">
        <v>128</v>
      </c>
    </row>
    <row r="78" spans="1:16">
      <c r="A78" t="s">
        <v>107</v>
      </c>
      <c r="B78" t="s">
        <v>75</v>
      </c>
      <c r="C78" t="s">
        <v>66</v>
      </c>
      <c r="D78" t="s">
        <v>51</v>
      </c>
      <c r="E78" t="s">
        <v>54</v>
      </c>
      <c r="F78" s="2">
        <v>5</v>
      </c>
      <c r="G78" s="3">
        <v>0.17241379310344829</v>
      </c>
      <c r="H78" s="3">
        <v>0.71166666666666667</v>
      </c>
      <c r="I78" s="3">
        <v>4.1276666666666664</v>
      </c>
      <c r="J78" s="3">
        <v>0.93333333333333335</v>
      </c>
      <c r="K78" s="3">
        <v>0.41403933560541262</v>
      </c>
      <c r="L78" s="3">
        <v>0.23809523809523811</v>
      </c>
      <c r="M78" s="3">
        <v>1</v>
      </c>
      <c r="N78" s="3">
        <v>0.2</v>
      </c>
      <c r="O78" s="3">
        <v>0.54644129720827728</v>
      </c>
      <c r="P78" t="s">
        <v>128</v>
      </c>
    </row>
    <row r="79" spans="1:16">
      <c r="A79" t="s">
        <v>107</v>
      </c>
      <c r="B79" t="s">
        <v>75</v>
      </c>
      <c r="C79" t="s">
        <v>66</v>
      </c>
      <c r="D79" t="s">
        <v>51</v>
      </c>
      <c r="E79" t="s">
        <v>55</v>
      </c>
      <c r="F79" s="2">
        <v>4</v>
      </c>
      <c r="G79" s="3">
        <v>0.13793103448275859</v>
      </c>
      <c r="H79" s="3">
        <v>0.60833333333333328</v>
      </c>
      <c r="I79" s="3">
        <v>4.4104166666666664</v>
      </c>
      <c r="J79" s="3">
        <v>0.94000000000000006</v>
      </c>
      <c r="K79" s="3">
        <v>0.64807406984078608</v>
      </c>
      <c r="L79" s="3">
        <v>0.83333333333333337</v>
      </c>
      <c r="M79" s="3">
        <v>0.5</v>
      </c>
      <c r="N79" s="3">
        <v>1</v>
      </c>
      <c r="O79" s="3">
        <v>0.2418004500308909</v>
      </c>
      <c r="P79" t="s">
        <v>128</v>
      </c>
    </row>
    <row r="80" spans="1:16">
      <c r="A80" t="s">
        <v>107</v>
      </c>
      <c r="B80" t="s">
        <v>75</v>
      </c>
      <c r="C80" t="s">
        <v>66</v>
      </c>
      <c r="D80" t="s">
        <v>51</v>
      </c>
      <c r="E80" t="s">
        <v>56</v>
      </c>
      <c r="F80" s="2">
        <v>2</v>
      </c>
      <c r="G80" s="3">
        <v>6.8965517241379309E-2</v>
      </c>
      <c r="H80" s="3">
        <v>0.17261904761904759</v>
      </c>
      <c r="I80" s="3">
        <v>2.5029761904761911</v>
      </c>
      <c r="J80" s="3">
        <v>0.59259259259259256</v>
      </c>
      <c r="K80" s="3">
        <v>0</v>
      </c>
      <c r="L80" s="3">
        <v>0</v>
      </c>
      <c r="M80" s="3">
        <v>0</v>
      </c>
      <c r="N80" s="3">
        <v>0</v>
      </c>
      <c r="O80" s="3">
        <v>0.5</v>
      </c>
      <c r="P80" t="s">
        <v>128</v>
      </c>
    </row>
    <row r="81" spans="1:16">
      <c r="A81" t="s">
        <v>107</v>
      </c>
      <c r="B81" t="s">
        <v>75</v>
      </c>
      <c r="C81" t="s">
        <v>66</v>
      </c>
      <c r="D81" t="s">
        <v>51</v>
      </c>
      <c r="E81" t="s">
        <v>57</v>
      </c>
      <c r="F81" s="2">
        <v>1</v>
      </c>
      <c r="G81" s="3">
        <v>3.4482758620689648E-2</v>
      </c>
      <c r="H81" s="3">
        <v>3.7037037037037028E-2</v>
      </c>
      <c r="I81" s="3">
        <v>1.074074074074074</v>
      </c>
      <c r="J81" s="3">
        <v>7.1428571428571397E-2</v>
      </c>
      <c r="K81" s="3">
        <v>-6.4194073876636934E-2</v>
      </c>
      <c r="L81" s="3">
        <v>0</v>
      </c>
      <c r="M81" s="3">
        <v>0</v>
      </c>
      <c r="N81" s="3">
        <v>0</v>
      </c>
      <c r="O81" s="3">
        <v>0.17523989883634339</v>
      </c>
      <c r="P81" t="s">
        <v>128</v>
      </c>
    </row>
    <row r="82" spans="1:16">
      <c r="A82" t="s">
        <v>107</v>
      </c>
      <c r="B82" t="s">
        <v>75</v>
      </c>
      <c r="C82" t="s">
        <v>115</v>
      </c>
      <c r="D82" t="s">
        <v>51</v>
      </c>
      <c r="E82" t="s">
        <v>52</v>
      </c>
      <c r="F82" s="2">
        <v>1</v>
      </c>
      <c r="G82" s="3">
        <v>3.4482758620689648E-2</v>
      </c>
      <c r="H82" s="3">
        <v>1</v>
      </c>
      <c r="I82" s="3">
        <v>29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0.5</v>
      </c>
      <c r="P82" t="s">
        <v>129</v>
      </c>
    </row>
    <row r="83" spans="1:16">
      <c r="A83" t="s">
        <v>107</v>
      </c>
      <c r="B83" t="s">
        <v>75</v>
      </c>
      <c r="C83" t="s">
        <v>115</v>
      </c>
      <c r="D83" t="s">
        <v>51</v>
      </c>
      <c r="E83" t="s">
        <v>54</v>
      </c>
      <c r="F83" s="2">
        <v>5</v>
      </c>
      <c r="G83" s="3">
        <v>0.17241379310344829</v>
      </c>
      <c r="H83" s="3">
        <v>0.66011904761904772</v>
      </c>
      <c r="I83" s="3">
        <v>3.8286904761904759</v>
      </c>
      <c r="J83" s="3">
        <v>0.89166666666666672</v>
      </c>
      <c r="K83" s="3">
        <v>0.25746432527221857</v>
      </c>
      <c r="L83" s="3">
        <v>0.59523809523809523</v>
      </c>
      <c r="M83" s="3">
        <v>0.22727272727272729</v>
      </c>
      <c r="N83" s="3">
        <v>1</v>
      </c>
      <c r="O83" s="3">
        <v>8.126702357234579E-2</v>
      </c>
      <c r="P83" t="s">
        <v>129</v>
      </c>
    </row>
    <row r="84" spans="1:16">
      <c r="A84" t="s">
        <v>107</v>
      </c>
      <c r="B84" t="s">
        <v>75</v>
      </c>
      <c r="C84" t="s">
        <v>115</v>
      </c>
      <c r="D84" t="s">
        <v>51</v>
      </c>
      <c r="E84" t="s">
        <v>55</v>
      </c>
      <c r="F84" s="2">
        <v>4</v>
      </c>
      <c r="G84" s="3">
        <v>0.13793103448275859</v>
      </c>
      <c r="H84" s="3">
        <v>0.58452380952380945</v>
      </c>
      <c r="I84" s="3">
        <v>4.237797619047619</v>
      </c>
      <c r="J84" s="3">
        <v>0.92999999999999994</v>
      </c>
      <c r="K84" s="3">
        <v>0.70912420834233469</v>
      </c>
      <c r="L84" s="3">
        <v>0.86956521739130432</v>
      </c>
      <c r="M84" s="3">
        <v>0.5714285714285714</v>
      </c>
      <c r="N84" s="3">
        <v>1</v>
      </c>
      <c r="O84" s="3">
        <v>0.16369026335607231</v>
      </c>
      <c r="P84" t="s">
        <v>129</v>
      </c>
    </row>
    <row r="85" spans="1:16">
      <c r="A85" t="s">
        <v>107</v>
      </c>
      <c r="B85" t="s">
        <v>75</v>
      </c>
      <c r="C85" t="s">
        <v>115</v>
      </c>
      <c r="D85" t="s">
        <v>51</v>
      </c>
      <c r="E85" t="s">
        <v>56</v>
      </c>
      <c r="F85" s="2">
        <v>2</v>
      </c>
      <c r="G85" s="3">
        <v>6.8965517241379309E-2</v>
      </c>
      <c r="H85" s="3">
        <v>5.7037037037037039E-2</v>
      </c>
      <c r="I85" s="3">
        <v>0.82703703703703713</v>
      </c>
      <c r="J85" s="3">
        <v>9.2592592592592615E-2</v>
      </c>
      <c r="K85" s="3">
        <v>0</v>
      </c>
      <c r="L85" s="3">
        <v>0</v>
      </c>
      <c r="M85" s="3">
        <v>0</v>
      </c>
      <c r="N85" s="3">
        <v>0</v>
      </c>
      <c r="O85" s="3">
        <v>0.5</v>
      </c>
      <c r="P85" t="s">
        <v>129</v>
      </c>
    </row>
    <row r="86" spans="1:16">
      <c r="A86" t="s">
        <v>107</v>
      </c>
      <c r="B86" t="s">
        <v>75</v>
      </c>
      <c r="C86" t="s">
        <v>115</v>
      </c>
      <c r="D86" t="s">
        <v>51</v>
      </c>
      <c r="E86" t="s">
        <v>57</v>
      </c>
      <c r="F86" s="2">
        <v>1</v>
      </c>
      <c r="G86" s="3">
        <v>3.4482758620689648E-2</v>
      </c>
      <c r="H86" s="3">
        <v>1</v>
      </c>
      <c r="I86" s="3">
        <v>29</v>
      </c>
      <c r="J86" s="3">
        <v>1</v>
      </c>
      <c r="K86" s="3">
        <v>6.4194073876636934E-2</v>
      </c>
      <c r="L86" s="3">
        <v>0.16666666666666671</v>
      </c>
      <c r="M86" s="3">
        <v>3.8461538461538457E-2</v>
      </c>
      <c r="N86" s="3">
        <v>1</v>
      </c>
      <c r="O86" s="3">
        <v>7.138077605901462E-2</v>
      </c>
      <c r="P86" t="s">
        <v>129</v>
      </c>
    </row>
    <row r="87" spans="1:16">
      <c r="A87" t="s">
        <v>107</v>
      </c>
      <c r="B87" t="s">
        <v>75</v>
      </c>
      <c r="C87" t="s">
        <v>117</v>
      </c>
      <c r="D87" t="s">
        <v>51</v>
      </c>
      <c r="E87" t="s">
        <v>52</v>
      </c>
      <c r="F87" s="2">
        <v>1</v>
      </c>
      <c r="G87" s="3">
        <v>3.4482758620689648E-2</v>
      </c>
      <c r="H87" s="3">
        <v>0.16666666666666671</v>
      </c>
      <c r="I87" s="3">
        <v>4.833333333333333</v>
      </c>
      <c r="J87" s="3">
        <v>0.8214285714285714</v>
      </c>
      <c r="K87" s="3">
        <v>0</v>
      </c>
      <c r="L87" s="3">
        <v>0</v>
      </c>
      <c r="M87" s="3">
        <v>0</v>
      </c>
      <c r="N87" s="3">
        <v>0</v>
      </c>
      <c r="O87" s="3">
        <v>0.5</v>
      </c>
      <c r="P87" t="s">
        <v>130</v>
      </c>
    </row>
    <row r="88" spans="1:16">
      <c r="A88" t="s">
        <v>107</v>
      </c>
      <c r="B88" t="s">
        <v>75</v>
      </c>
      <c r="C88" t="s">
        <v>117</v>
      </c>
      <c r="D88" t="s">
        <v>51</v>
      </c>
      <c r="E88" t="s">
        <v>54</v>
      </c>
      <c r="F88" s="2">
        <v>5</v>
      </c>
      <c r="G88" s="3">
        <v>0.17241379310344829</v>
      </c>
      <c r="H88" s="3">
        <v>0.58477443609022561</v>
      </c>
      <c r="I88" s="3">
        <v>3.3916917293233082</v>
      </c>
      <c r="J88" s="3">
        <v>0.7583333333333333</v>
      </c>
      <c r="K88" s="3">
        <v>0.59628479399994394</v>
      </c>
      <c r="L88" s="3">
        <v>0.45454545454545447</v>
      </c>
      <c r="M88" s="3">
        <v>1</v>
      </c>
      <c r="N88" s="3">
        <v>0.4</v>
      </c>
      <c r="O88" s="3">
        <v>0.67327548921407787</v>
      </c>
      <c r="P88" t="s">
        <v>130</v>
      </c>
    </row>
    <row r="89" spans="1:16">
      <c r="A89" t="s">
        <v>107</v>
      </c>
      <c r="B89" t="s">
        <v>75</v>
      </c>
      <c r="C89" t="s">
        <v>117</v>
      </c>
      <c r="D89" t="s">
        <v>51</v>
      </c>
      <c r="E89" t="s">
        <v>55</v>
      </c>
      <c r="F89" s="2">
        <v>4</v>
      </c>
      <c r="G89" s="3">
        <v>0.13793103448275859</v>
      </c>
      <c r="H89" s="3">
        <v>0.88749999999999996</v>
      </c>
      <c r="I89" s="3">
        <v>6.4343750000000002</v>
      </c>
      <c r="J89" s="3">
        <v>0.98</v>
      </c>
      <c r="K89" s="3">
        <v>0.70912420834233469</v>
      </c>
      <c r="L89" s="3">
        <v>0.86956521739130432</v>
      </c>
      <c r="M89" s="3">
        <v>0.5714285714285714</v>
      </c>
      <c r="N89" s="3">
        <v>1</v>
      </c>
      <c r="O89" s="3">
        <v>2.9685483792020149E-2</v>
      </c>
      <c r="P89" t="s">
        <v>130</v>
      </c>
    </row>
    <row r="90" spans="1:16">
      <c r="A90" t="s">
        <v>107</v>
      </c>
      <c r="B90" t="s">
        <v>75</v>
      </c>
      <c r="C90" t="s">
        <v>117</v>
      </c>
      <c r="D90" t="s">
        <v>51</v>
      </c>
      <c r="E90" t="s">
        <v>56</v>
      </c>
      <c r="F90" s="2">
        <v>2</v>
      </c>
      <c r="G90" s="3">
        <v>6.8965517241379309E-2</v>
      </c>
      <c r="H90" s="3">
        <v>9.8214285714285712E-2</v>
      </c>
      <c r="I90" s="3">
        <v>1.424107142857143</v>
      </c>
      <c r="J90" s="3">
        <v>0.38888888888888901</v>
      </c>
      <c r="K90" s="3">
        <v>-5.1434449987363969E-2</v>
      </c>
      <c r="L90" s="3">
        <v>0</v>
      </c>
      <c r="M90" s="3">
        <v>0</v>
      </c>
      <c r="N90" s="3">
        <v>0</v>
      </c>
      <c r="O90" s="3">
        <v>0.5</v>
      </c>
      <c r="P90" t="s">
        <v>130</v>
      </c>
    </row>
    <row r="91" spans="1:16">
      <c r="A91" t="s">
        <v>107</v>
      </c>
      <c r="B91" t="s">
        <v>75</v>
      </c>
      <c r="C91" t="s">
        <v>117</v>
      </c>
      <c r="D91" t="s">
        <v>51</v>
      </c>
      <c r="E91" t="s">
        <v>57</v>
      </c>
      <c r="F91" s="2">
        <v>1</v>
      </c>
      <c r="G91" s="3">
        <v>3.4482758620689648E-2</v>
      </c>
      <c r="H91" s="3">
        <v>4.7619047619047623E-2</v>
      </c>
      <c r="I91" s="3">
        <v>1.3809523809523809</v>
      </c>
      <c r="J91" s="3">
        <v>0.2857142857142857</v>
      </c>
      <c r="K91" s="3">
        <v>-3.5714285714285712E-2</v>
      </c>
      <c r="L91" s="3">
        <v>0</v>
      </c>
      <c r="M91" s="3">
        <v>0</v>
      </c>
      <c r="N91" s="3">
        <v>0</v>
      </c>
      <c r="O91" s="3">
        <v>0.21254141309003749</v>
      </c>
      <c r="P91" t="s">
        <v>130</v>
      </c>
    </row>
    <row r="92" spans="1:16">
      <c r="A92" t="s">
        <v>131</v>
      </c>
      <c r="B92" t="s">
        <v>49</v>
      </c>
      <c r="C92" t="s">
        <v>108</v>
      </c>
      <c r="D92" t="s">
        <v>51</v>
      </c>
      <c r="E92" t="s">
        <v>52</v>
      </c>
      <c r="F92" s="2">
        <v>1</v>
      </c>
      <c r="G92" s="3">
        <v>3.4482758620689648E-2</v>
      </c>
      <c r="H92" s="3">
        <v>0.33333333333333331</v>
      </c>
      <c r="I92" s="3">
        <v>9.6666666666666661</v>
      </c>
      <c r="J92" s="3">
        <v>0.9285714285714286</v>
      </c>
      <c r="K92" s="3">
        <v>-3.5714285714285712E-2</v>
      </c>
      <c r="L92" s="3">
        <v>0</v>
      </c>
      <c r="M92" s="3">
        <v>0</v>
      </c>
      <c r="N92" s="3">
        <v>0</v>
      </c>
      <c r="O92" s="3">
        <v>0.5</v>
      </c>
      <c r="P92" t="s">
        <v>132</v>
      </c>
    </row>
    <row r="93" spans="1:16">
      <c r="A93" t="s">
        <v>131</v>
      </c>
      <c r="B93" t="s">
        <v>49</v>
      </c>
      <c r="C93" t="s">
        <v>108</v>
      </c>
      <c r="D93" t="s">
        <v>51</v>
      </c>
      <c r="E93" t="s">
        <v>54</v>
      </c>
      <c r="F93" s="2">
        <v>5</v>
      </c>
      <c r="G93" s="3">
        <v>0.17241379310344829</v>
      </c>
      <c r="H93" s="3">
        <v>0.21343073593073589</v>
      </c>
      <c r="I93" s="3">
        <v>1.237898268398268</v>
      </c>
      <c r="J93" s="3">
        <v>0.53333333333333333</v>
      </c>
      <c r="K93" s="3">
        <v>-0.20833333333333329</v>
      </c>
      <c r="L93" s="3">
        <v>0</v>
      </c>
      <c r="M93" s="3">
        <v>0</v>
      </c>
      <c r="N93" s="3">
        <v>0</v>
      </c>
      <c r="O93" s="3">
        <v>0.47340903820731323</v>
      </c>
      <c r="P93" t="s">
        <v>132</v>
      </c>
    </row>
    <row r="94" spans="1:16">
      <c r="A94" t="s">
        <v>131</v>
      </c>
      <c r="B94" t="s">
        <v>49</v>
      </c>
      <c r="C94" t="s">
        <v>108</v>
      </c>
      <c r="D94" t="s">
        <v>51</v>
      </c>
      <c r="E94" t="s">
        <v>55</v>
      </c>
      <c r="F94" s="2">
        <v>4</v>
      </c>
      <c r="G94" s="3">
        <v>0.13793103448275859</v>
      </c>
      <c r="H94" s="3">
        <v>0.48333333333333328</v>
      </c>
      <c r="I94" s="3">
        <v>3.5041666666666669</v>
      </c>
      <c r="J94" s="3">
        <v>0.89999999999999991</v>
      </c>
      <c r="K94" s="3">
        <v>0.61162352254743546</v>
      </c>
      <c r="L94" s="3">
        <v>0.7142857142857143</v>
      </c>
      <c r="M94" s="3">
        <v>0.6</v>
      </c>
      <c r="N94" s="3">
        <v>0.75</v>
      </c>
      <c r="O94" s="3">
        <v>0.4854718682109912</v>
      </c>
      <c r="P94" t="s">
        <v>132</v>
      </c>
    </row>
    <row r="95" spans="1:16">
      <c r="A95" t="s">
        <v>131</v>
      </c>
      <c r="B95" t="s">
        <v>49</v>
      </c>
      <c r="C95" t="s">
        <v>108</v>
      </c>
      <c r="D95" t="s">
        <v>51</v>
      </c>
      <c r="E95" t="s">
        <v>56</v>
      </c>
      <c r="F95" s="2">
        <v>2</v>
      </c>
      <c r="G95" s="3">
        <v>6.8965517241379309E-2</v>
      </c>
      <c r="H95" s="3">
        <v>9.1666666666666674E-2</v>
      </c>
      <c r="I95" s="3">
        <v>1.3291666666666671</v>
      </c>
      <c r="J95" s="3">
        <v>0.42592592592592587</v>
      </c>
      <c r="K95" s="3">
        <v>-5.1434449987363969E-2</v>
      </c>
      <c r="L95" s="3">
        <v>0</v>
      </c>
      <c r="M95" s="3">
        <v>0</v>
      </c>
      <c r="N95" s="3">
        <v>0</v>
      </c>
      <c r="O95" s="3">
        <v>0.5</v>
      </c>
      <c r="P95" t="s">
        <v>132</v>
      </c>
    </row>
    <row r="96" spans="1:16">
      <c r="A96" t="s">
        <v>131</v>
      </c>
      <c r="B96" t="s">
        <v>49</v>
      </c>
      <c r="C96" t="s">
        <v>108</v>
      </c>
      <c r="D96" t="s">
        <v>51</v>
      </c>
      <c r="E96" t="s">
        <v>57</v>
      </c>
      <c r="F96" s="2">
        <v>1</v>
      </c>
      <c r="G96" s="3">
        <v>3.4482758620689648E-2</v>
      </c>
      <c r="H96" s="3">
        <v>3.8461538461538457E-2</v>
      </c>
      <c r="I96" s="3">
        <v>1.115384615384615</v>
      </c>
      <c r="J96" s="3">
        <v>0.1071428571428571</v>
      </c>
      <c r="K96" s="3">
        <v>-0.22493385271060931</v>
      </c>
      <c r="L96" s="3">
        <v>0</v>
      </c>
      <c r="M96" s="3">
        <v>0</v>
      </c>
      <c r="N96" s="3">
        <v>0</v>
      </c>
      <c r="O96" s="3">
        <v>0.2039396323948108</v>
      </c>
      <c r="P96" t="s">
        <v>132</v>
      </c>
    </row>
    <row r="97" spans="1:16">
      <c r="A97" t="s">
        <v>131</v>
      </c>
      <c r="B97" t="s">
        <v>49</v>
      </c>
      <c r="C97" t="s">
        <v>110</v>
      </c>
      <c r="D97" t="s">
        <v>51</v>
      </c>
      <c r="E97" t="s">
        <v>52</v>
      </c>
      <c r="F97" s="2">
        <v>1</v>
      </c>
      <c r="G97" s="3">
        <v>3.4482758620689648E-2</v>
      </c>
      <c r="H97" s="3">
        <v>0.33333333333333331</v>
      </c>
      <c r="I97" s="3">
        <v>9.6666666666666661</v>
      </c>
      <c r="J97" s="3">
        <v>0.9285714285714286</v>
      </c>
      <c r="K97" s="3">
        <v>0</v>
      </c>
      <c r="L97" s="3">
        <v>0</v>
      </c>
      <c r="M97" s="3">
        <v>0</v>
      </c>
      <c r="N97" s="3">
        <v>0</v>
      </c>
      <c r="O97" s="3">
        <v>0.5</v>
      </c>
      <c r="P97" t="s">
        <v>133</v>
      </c>
    </row>
    <row r="98" spans="1:16">
      <c r="A98" t="s">
        <v>131</v>
      </c>
      <c r="B98" t="s">
        <v>49</v>
      </c>
      <c r="C98" t="s">
        <v>110</v>
      </c>
      <c r="D98" t="s">
        <v>51</v>
      </c>
      <c r="E98" t="s">
        <v>54</v>
      </c>
      <c r="F98" s="2">
        <v>5</v>
      </c>
      <c r="G98" s="3">
        <v>0.17241379310344829</v>
      </c>
      <c r="H98" s="3">
        <v>0.18793103448275869</v>
      </c>
      <c r="I98" s="3">
        <v>1.0900000000000001</v>
      </c>
      <c r="J98" s="3">
        <v>0.40833333333333333</v>
      </c>
      <c r="K98" s="3">
        <v>-0.1088662107903635</v>
      </c>
      <c r="L98" s="3">
        <v>0.17241379310344829</v>
      </c>
      <c r="M98" s="3">
        <v>0.1111111111111111</v>
      </c>
      <c r="N98" s="3">
        <v>0.2</v>
      </c>
      <c r="O98" s="3">
        <v>0.19460939195294741</v>
      </c>
      <c r="P98" t="s">
        <v>133</v>
      </c>
    </row>
    <row r="99" spans="1:16">
      <c r="A99" t="s">
        <v>131</v>
      </c>
      <c r="B99" t="s">
        <v>49</v>
      </c>
      <c r="C99" t="s">
        <v>110</v>
      </c>
      <c r="D99" t="s">
        <v>51</v>
      </c>
      <c r="E99" t="s">
        <v>55</v>
      </c>
      <c r="F99" s="2">
        <v>4</v>
      </c>
      <c r="G99" s="3">
        <v>0.13793103448275859</v>
      </c>
      <c r="H99" s="3">
        <v>0.53448275862068972</v>
      </c>
      <c r="I99" s="3">
        <v>3.875</v>
      </c>
      <c r="J99" s="3">
        <v>0.77500000000000002</v>
      </c>
      <c r="K99" s="3">
        <v>0.34689095308660522</v>
      </c>
      <c r="L99" s="3">
        <v>0.47619047619047622</v>
      </c>
      <c r="M99" s="3">
        <v>0.4</v>
      </c>
      <c r="N99" s="3">
        <v>0.5</v>
      </c>
      <c r="O99" s="3">
        <v>0.25939487026981339</v>
      </c>
      <c r="P99" t="s">
        <v>133</v>
      </c>
    </row>
    <row r="100" spans="1:16">
      <c r="A100" t="s">
        <v>131</v>
      </c>
      <c r="B100" t="s">
        <v>49</v>
      </c>
      <c r="C100" t="s">
        <v>110</v>
      </c>
      <c r="D100" t="s">
        <v>51</v>
      </c>
      <c r="E100" t="s">
        <v>56</v>
      </c>
      <c r="F100" s="2">
        <v>2</v>
      </c>
      <c r="G100" s="3">
        <v>6.8965517241379309E-2</v>
      </c>
      <c r="H100" s="3">
        <v>6.8965517241379309E-2</v>
      </c>
      <c r="I100" s="3">
        <v>1</v>
      </c>
      <c r="J100" s="3">
        <v>0.35185185185185192</v>
      </c>
      <c r="K100" s="3">
        <v>0</v>
      </c>
      <c r="L100" s="3">
        <v>0</v>
      </c>
      <c r="M100" s="3">
        <v>0</v>
      </c>
      <c r="N100" s="3">
        <v>0</v>
      </c>
      <c r="O100" s="3">
        <v>0.5</v>
      </c>
      <c r="P100" t="s">
        <v>133</v>
      </c>
    </row>
    <row r="101" spans="1:16">
      <c r="A101" t="s">
        <v>131</v>
      </c>
      <c r="B101" t="s">
        <v>49</v>
      </c>
      <c r="C101" t="s">
        <v>110</v>
      </c>
      <c r="D101" t="s">
        <v>51</v>
      </c>
      <c r="E101" t="s">
        <v>57</v>
      </c>
      <c r="F101" s="2">
        <v>1</v>
      </c>
      <c r="G101" s="3">
        <v>3.4482758620689648E-2</v>
      </c>
      <c r="H101" s="3">
        <v>3.4482758620689648E-2</v>
      </c>
      <c r="I101" s="3">
        <v>1</v>
      </c>
      <c r="J101" s="3">
        <v>0.3035714285714286</v>
      </c>
      <c r="K101" s="3">
        <v>0</v>
      </c>
      <c r="L101" s="3">
        <v>0.15151515151515149</v>
      </c>
      <c r="M101" s="3">
        <v>3.4482758620689648E-2</v>
      </c>
      <c r="N101" s="3">
        <v>1</v>
      </c>
      <c r="O101" s="3">
        <v>0</v>
      </c>
      <c r="P101" t="s">
        <v>133</v>
      </c>
    </row>
    <row r="102" spans="1:16">
      <c r="A102" t="s">
        <v>131</v>
      </c>
      <c r="B102" t="s">
        <v>49</v>
      </c>
      <c r="C102" t="s">
        <v>112</v>
      </c>
      <c r="D102" t="s">
        <v>51</v>
      </c>
      <c r="E102" t="s">
        <v>52</v>
      </c>
      <c r="F102" s="2">
        <v>1</v>
      </c>
      <c r="G102" s="3">
        <v>3.4482758620689648E-2</v>
      </c>
      <c r="H102" s="3">
        <v>5.5555555555555552E-2</v>
      </c>
      <c r="I102" s="3">
        <v>1.6111111111111109</v>
      </c>
      <c r="J102" s="3">
        <v>0.3928571428571429</v>
      </c>
      <c r="K102" s="3">
        <v>-5.1434449987363969E-2</v>
      </c>
      <c r="L102" s="3">
        <v>0</v>
      </c>
      <c r="M102" s="3">
        <v>0</v>
      </c>
      <c r="N102" s="3">
        <v>0</v>
      </c>
      <c r="O102" s="3">
        <v>0.5</v>
      </c>
      <c r="P102" t="s">
        <v>134</v>
      </c>
    </row>
    <row r="103" spans="1:16">
      <c r="A103" t="s">
        <v>131</v>
      </c>
      <c r="B103" t="s">
        <v>49</v>
      </c>
      <c r="C103" t="s">
        <v>112</v>
      </c>
      <c r="D103" t="s">
        <v>51</v>
      </c>
      <c r="E103" t="s">
        <v>54</v>
      </c>
      <c r="F103" s="2">
        <v>5</v>
      </c>
      <c r="G103" s="3">
        <v>0.17241379310344829</v>
      </c>
      <c r="H103" s="3">
        <v>0.36543859649122801</v>
      </c>
      <c r="I103" s="3">
        <v>2.1195438596491218</v>
      </c>
      <c r="J103" s="3">
        <v>0.6333333333333333</v>
      </c>
      <c r="K103" s="3">
        <v>0.27500000000000002</v>
      </c>
      <c r="L103" s="3">
        <v>0.4</v>
      </c>
      <c r="M103" s="3">
        <v>0.4</v>
      </c>
      <c r="N103" s="3">
        <v>0.4</v>
      </c>
      <c r="O103" s="3">
        <v>0.39539004857337179</v>
      </c>
      <c r="P103" t="s">
        <v>134</v>
      </c>
    </row>
    <row r="104" spans="1:16">
      <c r="A104" t="s">
        <v>131</v>
      </c>
      <c r="B104" t="s">
        <v>49</v>
      </c>
      <c r="C104" t="s">
        <v>112</v>
      </c>
      <c r="D104" t="s">
        <v>51</v>
      </c>
      <c r="E104" t="s">
        <v>55</v>
      </c>
      <c r="F104" s="2">
        <v>4</v>
      </c>
      <c r="G104" s="3">
        <v>0.13793103448275859</v>
      </c>
      <c r="H104" s="3">
        <v>0.26278409090909088</v>
      </c>
      <c r="I104" s="3">
        <v>1.9051846590909089</v>
      </c>
      <c r="J104" s="3">
        <v>0.59000000000000008</v>
      </c>
      <c r="K104" s="3">
        <v>-5.2174919474995099E-2</v>
      </c>
      <c r="L104" s="3">
        <v>0.2</v>
      </c>
      <c r="M104" s="3">
        <v>0.1111111111111111</v>
      </c>
      <c r="N104" s="3">
        <v>0.25</v>
      </c>
      <c r="O104" s="3">
        <v>0.42489850034956839</v>
      </c>
      <c r="P104" t="s">
        <v>134</v>
      </c>
    </row>
    <row r="105" spans="1:16">
      <c r="A105" t="s">
        <v>131</v>
      </c>
      <c r="B105" t="s">
        <v>49</v>
      </c>
      <c r="C105" t="s">
        <v>112</v>
      </c>
      <c r="D105" t="s">
        <v>51</v>
      </c>
      <c r="E105" t="s">
        <v>56</v>
      </c>
      <c r="F105" s="2">
        <v>2</v>
      </c>
      <c r="G105" s="3">
        <v>6.8965517241379309E-2</v>
      </c>
      <c r="H105" s="3">
        <v>0.1114285714285714</v>
      </c>
      <c r="I105" s="3">
        <v>1.6157142857142861</v>
      </c>
      <c r="J105" s="3">
        <v>0.46296296296296302</v>
      </c>
      <c r="K105" s="3">
        <v>0</v>
      </c>
      <c r="L105" s="3">
        <v>0</v>
      </c>
      <c r="M105" s="3">
        <v>0</v>
      </c>
      <c r="N105" s="3">
        <v>0</v>
      </c>
      <c r="O105" s="3">
        <v>0.5</v>
      </c>
      <c r="P105" t="s">
        <v>134</v>
      </c>
    </row>
    <row r="106" spans="1:16">
      <c r="A106" t="s">
        <v>131</v>
      </c>
      <c r="B106" t="s">
        <v>49</v>
      </c>
      <c r="C106" t="s">
        <v>112</v>
      </c>
      <c r="D106" t="s">
        <v>51</v>
      </c>
      <c r="E106" t="s">
        <v>57</v>
      </c>
      <c r="F106" s="2">
        <v>1</v>
      </c>
      <c r="G106" s="3">
        <v>3.4482758620689648E-2</v>
      </c>
      <c r="H106" s="3">
        <v>3.8461538461538457E-2</v>
      </c>
      <c r="I106" s="3">
        <v>1.115384615384615</v>
      </c>
      <c r="J106" s="3">
        <v>0.1071428571428571</v>
      </c>
      <c r="K106" s="3">
        <v>-0.1477342100713197</v>
      </c>
      <c r="L106" s="3">
        <v>0</v>
      </c>
      <c r="M106" s="3">
        <v>0</v>
      </c>
      <c r="N106" s="3">
        <v>0</v>
      </c>
      <c r="O106" s="3">
        <v>0.42538250295176949</v>
      </c>
      <c r="P106" t="s">
        <v>134</v>
      </c>
    </row>
    <row r="107" spans="1:16">
      <c r="A107" t="s">
        <v>131</v>
      </c>
      <c r="B107" t="s">
        <v>49</v>
      </c>
      <c r="C107" t="s">
        <v>66</v>
      </c>
      <c r="D107" t="s">
        <v>51</v>
      </c>
      <c r="E107" t="s">
        <v>52</v>
      </c>
      <c r="F107" s="2">
        <v>1</v>
      </c>
      <c r="G107" s="3">
        <v>3.4482758620689648E-2</v>
      </c>
      <c r="H107" s="3">
        <v>8.3333333333333329E-2</v>
      </c>
      <c r="I107" s="3">
        <v>2.416666666666667</v>
      </c>
      <c r="J107" s="3">
        <v>0.60714285714285721</v>
      </c>
      <c r="K107" s="3">
        <v>0</v>
      </c>
      <c r="L107" s="3">
        <v>0</v>
      </c>
      <c r="M107" s="3">
        <v>0</v>
      </c>
      <c r="N107" s="3">
        <v>0</v>
      </c>
      <c r="O107" s="3">
        <v>0.5</v>
      </c>
      <c r="P107" t="s">
        <v>135</v>
      </c>
    </row>
    <row r="108" spans="1:16">
      <c r="A108" t="s">
        <v>131</v>
      </c>
      <c r="B108" t="s">
        <v>49</v>
      </c>
      <c r="C108" t="s">
        <v>66</v>
      </c>
      <c r="D108" t="s">
        <v>51</v>
      </c>
      <c r="E108" t="s">
        <v>54</v>
      </c>
      <c r="F108" s="2">
        <v>5</v>
      </c>
      <c r="G108" s="3">
        <v>0.17241379310344829</v>
      </c>
      <c r="H108" s="3">
        <v>0.15884115884115879</v>
      </c>
      <c r="I108" s="3">
        <v>0.92127872127872124</v>
      </c>
      <c r="J108" s="3">
        <v>0.3833333333333333</v>
      </c>
      <c r="K108" s="3">
        <v>-0.18257418583505541</v>
      </c>
      <c r="L108" s="3">
        <v>0</v>
      </c>
      <c r="M108" s="3">
        <v>0</v>
      </c>
      <c r="N108" s="3">
        <v>0</v>
      </c>
      <c r="O108" s="3">
        <v>0.39040209195035902</v>
      </c>
      <c r="P108" t="s">
        <v>135</v>
      </c>
    </row>
    <row r="109" spans="1:16">
      <c r="A109" t="s">
        <v>131</v>
      </c>
      <c r="B109" t="s">
        <v>49</v>
      </c>
      <c r="C109" t="s">
        <v>66</v>
      </c>
      <c r="D109" t="s">
        <v>51</v>
      </c>
      <c r="E109" t="s">
        <v>55</v>
      </c>
      <c r="F109" s="2">
        <v>4</v>
      </c>
      <c r="G109" s="3">
        <v>0.13793103448275859</v>
      </c>
      <c r="H109" s="3">
        <v>0.3575757575757576</v>
      </c>
      <c r="I109" s="3">
        <v>2.5924242424242432</v>
      </c>
      <c r="J109" s="3">
        <v>0.82</v>
      </c>
      <c r="K109" s="3">
        <v>0.28942722045797448</v>
      </c>
      <c r="L109" s="3">
        <v>0.45454545454545447</v>
      </c>
      <c r="M109" s="3">
        <v>0.33333333333333331</v>
      </c>
      <c r="N109" s="3">
        <v>0.5</v>
      </c>
      <c r="O109" s="3">
        <v>0.30005613445233809</v>
      </c>
      <c r="P109" t="s">
        <v>135</v>
      </c>
    </row>
    <row r="110" spans="1:16">
      <c r="A110" t="s">
        <v>131</v>
      </c>
      <c r="B110" t="s">
        <v>49</v>
      </c>
      <c r="C110" t="s">
        <v>66</v>
      </c>
      <c r="D110" t="s">
        <v>51</v>
      </c>
      <c r="E110" t="s">
        <v>56</v>
      </c>
      <c r="F110" s="2">
        <v>2</v>
      </c>
      <c r="G110" s="3">
        <v>6.8965517241379309E-2</v>
      </c>
      <c r="H110" s="3">
        <v>0.1166666666666667</v>
      </c>
      <c r="I110" s="3">
        <v>1.6916666666666671</v>
      </c>
      <c r="J110" s="3">
        <v>0.59259259259259267</v>
      </c>
      <c r="K110" s="3">
        <v>0</v>
      </c>
      <c r="L110" s="3">
        <v>0</v>
      </c>
      <c r="M110" s="3">
        <v>0</v>
      </c>
      <c r="N110" s="3">
        <v>0</v>
      </c>
      <c r="O110" s="3">
        <v>0.5</v>
      </c>
      <c r="P110" t="s">
        <v>135</v>
      </c>
    </row>
    <row r="111" spans="1:16">
      <c r="A111" t="s">
        <v>131</v>
      </c>
      <c r="B111" t="s">
        <v>49</v>
      </c>
      <c r="C111" t="s">
        <v>66</v>
      </c>
      <c r="D111" t="s">
        <v>51</v>
      </c>
      <c r="E111" t="s">
        <v>57</v>
      </c>
      <c r="F111" s="2">
        <v>1</v>
      </c>
      <c r="G111" s="3">
        <v>3.4482758620689648E-2</v>
      </c>
      <c r="H111" s="3">
        <v>3.5714285714285712E-2</v>
      </c>
      <c r="I111" s="3">
        <v>1.035714285714286</v>
      </c>
      <c r="J111" s="3">
        <v>3.5714285714285698E-2</v>
      </c>
      <c r="K111" s="3">
        <v>-0.30618621784789718</v>
      </c>
      <c r="L111" s="3">
        <v>0</v>
      </c>
      <c r="M111" s="3">
        <v>0</v>
      </c>
      <c r="N111" s="3">
        <v>0</v>
      </c>
      <c r="O111" s="3">
        <v>0.1116457093650977</v>
      </c>
      <c r="P111" t="s">
        <v>135</v>
      </c>
    </row>
    <row r="112" spans="1:16">
      <c r="A112" t="s">
        <v>131</v>
      </c>
      <c r="B112" t="s">
        <v>49</v>
      </c>
      <c r="C112" t="s">
        <v>115</v>
      </c>
      <c r="D112" t="s">
        <v>51</v>
      </c>
      <c r="E112" t="s">
        <v>52</v>
      </c>
      <c r="F112" s="2">
        <v>1</v>
      </c>
      <c r="G112" s="3">
        <v>3.4482758620689648E-2</v>
      </c>
      <c r="H112" s="3">
        <v>3.7037037037037028E-2</v>
      </c>
      <c r="I112" s="3">
        <v>1.074074074074074</v>
      </c>
      <c r="J112" s="3">
        <v>7.1428571428571397E-2</v>
      </c>
      <c r="K112" s="3">
        <v>0</v>
      </c>
      <c r="L112" s="3">
        <v>0</v>
      </c>
      <c r="M112" s="3">
        <v>0</v>
      </c>
      <c r="N112" s="3">
        <v>0</v>
      </c>
      <c r="O112" s="3">
        <v>0.5</v>
      </c>
      <c r="P112" t="s">
        <v>136</v>
      </c>
    </row>
    <row r="113" spans="1:16">
      <c r="A113" t="s">
        <v>131</v>
      </c>
      <c r="B113" t="s">
        <v>49</v>
      </c>
      <c r="C113" t="s">
        <v>115</v>
      </c>
      <c r="D113" t="s">
        <v>51</v>
      </c>
      <c r="E113" t="s">
        <v>54</v>
      </c>
      <c r="F113" s="2">
        <v>5</v>
      </c>
      <c r="G113" s="3">
        <v>0.17241379310344829</v>
      </c>
      <c r="H113" s="3">
        <v>0.1769228627123364</v>
      </c>
      <c r="I113" s="3">
        <v>1.0261526037315509</v>
      </c>
      <c r="J113" s="3">
        <v>0.3833333333333333</v>
      </c>
      <c r="K113" s="3">
        <v>3.3333333333333333E-2</v>
      </c>
      <c r="L113" s="3">
        <v>0.2</v>
      </c>
      <c r="M113" s="3">
        <v>0.2</v>
      </c>
      <c r="N113" s="3">
        <v>0.2</v>
      </c>
      <c r="O113" s="3">
        <v>0.1788235810588964</v>
      </c>
      <c r="P113" t="s">
        <v>136</v>
      </c>
    </row>
    <row r="114" spans="1:16">
      <c r="A114" t="s">
        <v>131</v>
      </c>
      <c r="B114" t="s">
        <v>49</v>
      </c>
      <c r="C114" t="s">
        <v>115</v>
      </c>
      <c r="D114" t="s">
        <v>51</v>
      </c>
      <c r="E114" t="s">
        <v>55</v>
      </c>
      <c r="F114" s="2">
        <v>4</v>
      </c>
      <c r="G114" s="3">
        <v>0.13793103448275859</v>
      </c>
      <c r="H114" s="3">
        <v>0.51111111111111107</v>
      </c>
      <c r="I114" s="3">
        <v>3.7055555555555548</v>
      </c>
      <c r="J114" s="3">
        <v>0.90000000000000013</v>
      </c>
      <c r="K114" s="3">
        <v>0.47543554877497429</v>
      </c>
      <c r="L114" s="3">
        <v>0.65217391304347827</v>
      </c>
      <c r="M114" s="3">
        <v>0.42857142857142849</v>
      </c>
      <c r="N114" s="3">
        <v>0.75</v>
      </c>
      <c r="O114" s="3">
        <v>0.20622896579866701</v>
      </c>
      <c r="P114" t="s">
        <v>136</v>
      </c>
    </row>
    <row r="115" spans="1:16">
      <c r="A115" t="s">
        <v>131</v>
      </c>
      <c r="B115" t="s">
        <v>49</v>
      </c>
      <c r="C115" t="s">
        <v>115</v>
      </c>
      <c r="D115" t="s">
        <v>51</v>
      </c>
      <c r="E115" t="s">
        <v>56</v>
      </c>
      <c r="F115" s="2">
        <v>2</v>
      </c>
      <c r="G115" s="3">
        <v>6.8965517241379309E-2</v>
      </c>
      <c r="H115" s="3">
        <v>0.17499999999999999</v>
      </c>
      <c r="I115" s="3">
        <v>2.5375000000000001</v>
      </c>
      <c r="J115" s="3">
        <v>0.61111111111111116</v>
      </c>
      <c r="K115" s="3">
        <v>0</v>
      </c>
      <c r="L115" s="3">
        <v>0</v>
      </c>
      <c r="M115" s="3">
        <v>0</v>
      </c>
      <c r="N115" s="3">
        <v>0</v>
      </c>
      <c r="O115" s="3">
        <v>0.5</v>
      </c>
      <c r="P115" t="s">
        <v>136</v>
      </c>
    </row>
    <row r="116" spans="1:16">
      <c r="A116" t="s">
        <v>131</v>
      </c>
      <c r="B116" t="s">
        <v>49</v>
      </c>
      <c r="C116" t="s">
        <v>115</v>
      </c>
      <c r="D116" t="s">
        <v>51</v>
      </c>
      <c r="E116" t="s">
        <v>57</v>
      </c>
      <c r="F116" s="2">
        <v>1</v>
      </c>
      <c r="G116" s="3">
        <v>3.4482758620689648E-2</v>
      </c>
      <c r="H116" s="3">
        <v>1</v>
      </c>
      <c r="I116" s="3">
        <v>29</v>
      </c>
      <c r="J116" s="3">
        <v>1</v>
      </c>
      <c r="K116" s="3">
        <v>0.18257418583505541</v>
      </c>
      <c r="L116" s="3">
        <v>0.26315789473684209</v>
      </c>
      <c r="M116" s="3">
        <v>6.6666666666666666E-2</v>
      </c>
      <c r="N116" s="3">
        <v>1</v>
      </c>
      <c r="O116" s="3">
        <v>8.224308094032752E-2</v>
      </c>
      <c r="P116" t="s">
        <v>136</v>
      </c>
    </row>
    <row r="117" spans="1:16">
      <c r="A117" t="s">
        <v>131</v>
      </c>
      <c r="B117" t="s">
        <v>49</v>
      </c>
      <c r="C117" t="s">
        <v>117</v>
      </c>
      <c r="D117" t="s">
        <v>51</v>
      </c>
      <c r="E117" t="s">
        <v>52</v>
      </c>
      <c r="F117" s="2">
        <v>1</v>
      </c>
      <c r="G117" s="3">
        <v>3.4482758620689648E-2</v>
      </c>
      <c r="H117" s="3">
        <v>0.33333333333333331</v>
      </c>
      <c r="I117" s="3">
        <v>9.6666666666666661</v>
      </c>
      <c r="J117" s="3">
        <v>0.9285714285714286</v>
      </c>
      <c r="K117" s="3">
        <v>0</v>
      </c>
      <c r="L117" s="3">
        <v>0</v>
      </c>
      <c r="M117" s="3">
        <v>0</v>
      </c>
      <c r="N117" s="3">
        <v>0</v>
      </c>
      <c r="O117" s="3">
        <v>0.5</v>
      </c>
      <c r="P117" t="s">
        <v>137</v>
      </c>
    </row>
    <row r="118" spans="1:16">
      <c r="A118" t="s">
        <v>131</v>
      </c>
      <c r="B118" t="s">
        <v>49</v>
      </c>
      <c r="C118" t="s">
        <v>117</v>
      </c>
      <c r="D118" t="s">
        <v>51</v>
      </c>
      <c r="E118" t="s">
        <v>54</v>
      </c>
      <c r="F118" s="2">
        <v>5</v>
      </c>
      <c r="G118" s="3">
        <v>0.17241379310344829</v>
      </c>
      <c r="H118" s="3">
        <v>0.1771428571428571</v>
      </c>
      <c r="I118" s="3">
        <v>1.0274285714285709</v>
      </c>
      <c r="J118" s="3">
        <v>0.41666666666666657</v>
      </c>
      <c r="K118" s="3">
        <v>-0.18257418583505541</v>
      </c>
      <c r="L118" s="3">
        <v>0</v>
      </c>
      <c r="M118" s="3">
        <v>0</v>
      </c>
      <c r="N118" s="3">
        <v>0</v>
      </c>
      <c r="O118" s="3">
        <v>0.62783071028527315</v>
      </c>
      <c r="P118" t="s">
        <v>137</v>
      </c>
    </row>
    <row r="119" spans="1:16">
      <c r="A119" t="s">
        <v>131</v>
      </c>
      <c r="B119" t="s">
        <v>49</v>
      </c>
      <c r="C119" t="s">
        <v>117</v>
      </c>
      <c r="D119" t="s">
        <v>51</v>
      </c>
      <c r="E119" t="s">
        <v>55</v>
      </c>
      <c r="F119" s="2">
        <v>4</v>
      </c>
      <c r="G119" s="3">
        <v>0.13793103448275859</v>
      </c>
      <c r="H119" s="3">
        <v>0.40165755297334238</v>
      </c>
      <c r="I119" s="3">
        <v>2.912017259056733</v>
      </c>
      <c r="J119" s="3">
        <v>0.65499999999999992</v>
      </c>
      <c r="K119" s="3">
        <v>-5.2174919474995099E-2</v>
      </c>
      <c r="L119" s="3">
        <v>0.2</v>
      </c>
      <c r="M119" s="3">
        <v>0.1111111111111111</v>
      </c>
      <c r="N119" s="3">
        <v>0.25</v>
      </c>
      <c r="O119" s="3">
        <v>5.2078439910807281E-2</v>
      </c>
      <c r="P119" t="s">
        <v>137</v>
      </c>
    </row>
    <row r="120" spans="1:16">
      <c r="A120" t="s">
        <v>131</v>
      </c>
      <c r="B120" t="s">
        <v>49</v>
      </c>
      <c r="C120" t="s">
        <v>117</v>
      </c>
      <c r="D120" t="s">
        <v>51</v>
      </c>
      <c r="E120" t="s">
        <v>56</v>
      </c>
      <c r="F120" s="2">
        <v>2</v>
      </c>
      <c r="G120" s="3">
        <v>6.8965517241379309E-2</v>
      </c>
      <c r="H120" s="3">
        <v>8.3333333333333343E-2</v>
      </c>
      <c r="I120" s="3">
        <v>1.208333333333333</v>
      </c>
      <c r="J120" s="3">
        <v>0.40740740740740738</v>
      </c>
      <c r="K120" s="3">
        <v>0</v>
      </c>
      <c r="L120" s="3">
        <v>0</v>
      </c>
      <c r="M120" s="3">
        <v>0</v>
      </c>
      <c r="N120" s="3">
        <v>0</v>
      </c>
      <c r="O120" s="3">
        <v>0.5</v>
      </c>
      <c r="P120" t="s">
        <v>137</v>
      </c>
    </row>
    <row r="121" spans="1:16">
      <c r="A121" t="s">
        <v>131</v>
      </c>
      <c r="B121" t="s">
        <v>49</v>
      </c>
      <c r="C121" t="s">
        <v>117</v>
      </c>
      <c r="D121" t="s">
        <v>51</v>
      </c>
      <c r="E121" t="s">
        <v>57</v>
      </c>
      <c r="F121" s="2">
        <v>1</v>
      </c>
      <c r="G121" s="3">
        <v>3.4482758620689648E-2</v>
      </c>
      <c r="H121" s="3">
        <v>3.7037037037037028E-2</v>
      </c>
      <c r="I121" s="3">
        <v>1.074074074074074</v>
      </c>
      <c r="J121" s="3">
        <v>7.1428571428571397E-2</v>
      </c>
      <c r="K121" s="3">
        <v>5.1434449987363969E-2</v>
      </c>
      <c r="L121" s="3">
        <v>0.16129032258064521</v>
      </c>
      <c r="M121" s="3">
        <v>3.7037037037037028E-2</v>
      </c>
      <c r="N121" s="3">
        <v>1</v>
      </c>
      <c r="O121" s="3">
        <v>3.5935172692980219E-3</v>
      </c>
      <c r="P121" t="s">
        <v>137</v>
      </c>
    </row>
    <row r="122" spans="1:16">
      <c r="A122" t="s">
        <v>131</v>
      </c>
      <c r="B122" t="s">
        <v>68</v>
      </c>
      <c r="C122" t="s">
        <v>108</v>
      </c>
      <c r="D122" t="s">
        <v>51</v>
      </c>
      <c r="E122" t="s">
        <v>52</v>
      </c>
      <c r="F122" s="2">
        <v>1</v>
      </c>
      <c r="G122" s="3">
        <v>3.4482758620689648E-2</v>
      </c>
      <c r="H122" s="3">
        <v>1</v>
      </c>
      <c r="I122" s="3">
        <v>29</v>
      </c>
      <c r="J122" s="3">
        <v>1</v>
      </c>
      <c r="K122" s="3">
        <v>0.47245559126153402</v>
      </c>
      <c r="L122" s="3">
        <v>0.625</v>
      </c>
      <c r="M122" s="3">
        <v>0.25</v>
      </c>
      <c r="N122" s="3">
        <v>1</v>
      </c>
      <c r="O122" s="3">
        <v>0.5</v>
      </c>
      <c r="P122" t="s">
        <v>138</v>
      </c>
    </row>
    <row r="123" spans="1:16">
      <c r="A123" t="s">
        <v>131</v>
      </c>
      <c r="B123" t="s">
        <v>68</v>
      </c>
      <c r="C123" t="s">
        <v>108</v>
      </c>
      <c r="D123" t="s">
        <v>51</v>
      </c>
      <c r="E123" t="s">
        <v>54</v>
      </c>
      <c r="F123" s="2">
        <v>5</v>
      </c>
      <c r="G123" s="3">
        <v>0.17241379310344829</v>
      </c>
      <c r="H123" s="3">
        <v>0.51571428571428579</v>
      </c>
      <c r="I123" s="3">
        <v>2.991142857142858</v>
      </c>
      <c r="J123" s="3">
        <v>0.72500000000000009</v>
      </c>
      <c r="K123" s="3">
        <v>0.1447071903540765</v>
      </c>
      <c r="L123" s="3">
        <v>0.21739130434782611</v>
      </c>
      <c r="M123" s="3">
        <v>0.33333333333333331</v>
      </c>
      <c r="N123" s="3">
        <v>0.2</v>
      </c>
      <c r="O123" s="3">
        <v>0.74043318571884809</v>
      </c>
      <c r="P123" t="s">
        <v>138</v>
      </c>
    </row>
    <row r="124" spans="1:16">
      <c r="A124" t="s">
        <v>131</v>
      </c>
      <c r="B124" t="s">
        <v>68</v>
      </c>
      <c r="C124" t="s">
        <v>108</v>
      </c>
      <c r="D124" t="s">
        <v>51</v>
      </c>
      <c r="E124" t="s">
        <v>55</v>
      </c>
      <c r="F124" s="2">
        <v>4</v>
      </c>
      <c r="G124" s="3">
        <v>0.13793103448275859</v>
      </c>
      <c r="H124" s="3">
        <v>0.8041666666666667</v>
      </c>
      <c r="I124" s="3">
        <v>5.8302083333333332</v>
      </c>
      <c r="J124" s="3">
        <v>0.97</v>
      </c>
      <c r="K124" s="3">
        <v>0.78315600829804877</v>
      </c>
      <c r="L124" s="3">
        <v>0.90909090909090906</v>
      </c>
      <c r="M124" s="3">
        <v>0.66666666666666663</v>
      </c>
      <c r="N124" s="3">
        <v>1</v>
      </c>
      <c r="O124" s="3">
        <v>4.2577433227923678E-2</v>
      </c>
      <c r="P124" t="s">
        <v>138</v>
      </c>
    </row>
    <row r="125" spans="1:16">
      <c r="A125" t="s">
        <v>131</v>
      </c>
      <c r="B125" t="s">
        <v>68</v>
      </c>
      <c r="C125" t="s">
        <v>108</v>
      </c>
      <c r="D125" t="s">
        <v>51</v>
      </c>
      <c r="E125" t="s">
        <v>56</v>
      </c>
      <c r="F125" s="2">
        <v>2</v>
      </c>
      <c r="G125" s="3">
        <v>6.8965517241379309E-2</v>
      </c>
      <c r="H125" s="3">
        <v>0.21590909090909091</v>
      </c>
      <c r="I125" s="3">
        <v>3.1306818181818179</v>
      </c>
      <c r="J125" s="3">
        <v>0.7777777777777779</v>
      </c>
      <c r="K125" s="3">
        <v>-9.2450032704204849E-2</v>
      </c>
      <c r="L125" s="3">
        <v>0</v>
      </c>
      <c r="M125" s="3">
        <v>0</v>
      </c>
      <c r="N125" s="3">
        <v>0</v>
      </c>
      <c r="O125" s="3">
        <v>0.5</v>
      </c>
      <c r="P125" t="s">
        <v>138</v>
      </c>
    </row>
    <row r="126" spans="1:16">
      <c r="A126" t="s">
        <v>131</v>
      </c>
      <c r="B126" t="s">
        <v>68</v>
      </c>
      <c r="C126" t="s">
        <v>108</v>
      </c>
      <c r="D126" t="s">
        <v>51</v>
      </c>
      <c r="E126" t="s">
        <v>57</v>
      </c>
      <c r="F126" s="2">
        <v>1</v>
      </c>
      <c r="G126" s="3">
        <v>3.4482758620689648E-2</v>
      </c>
      <c r="H126" s="3">
        <v>0.5</v>
      </c>
      <c r="I126" s="3">
        <v>14.5</v>
      </c>
      <c r="J126" s="3">
        <v>0.9642857142857143</v>
      </c>
      <c r="K126" s="3">
        <v>0.30618621784789718</v>
      </c>
      <c r="L126" s="3">
        <v>0.41666666666666669</v>
      </c>
      <c r="M126" s="3">
        <v>0.125</v>
      </c>
      <c r="N126" s="3">
        <v>1</v>
      </c>
      <c r="O126" s="3">
        <v>2.3104384841874191E-2</v>
      </c>
      <c r="P126" t="s">
        <v>138</v>
      </c>
    </row>
    <row r="127" spans="1:16">
      <c r="A127" t="s">
        <v>131</v>
      </c>
      <c r="B127" t="s">
        <v>68</v>
      </c>
      <c r="C127" t="s">
        <v>110</v>
      </c>
      <c r="D127" t="s">
        <v>51</v>
      </c>
      <c r="E127" t="s">
        <v>52</v>
      </c>
      <c r="F127" s="2">
        <v>1</v>
      </c>
      <c r="G127" s="3">
        <v>3.4482758620689648E-2</v>
      </c>
      <c r="H127" s="3">
        <v>0.5</v>
      </c>
      <c r="I127" s="3">
        <v>14.5</v>
      </c>
      <c r="J127" s="3">
        <v>0.9642857142857143</v>
      </c>
      <c r="K127" s="3">
        <v>0</v>
      </c>
      <c r="L127" s="3">
        <v>0</v>
      </c>
      <c r="M127" s="3">
        <v>0</v>
      </c>
      <c r="N127" s="3">
        <v>0</v>
      </c>
      <c r="O127" s="3">
        <v>0.5</v>
      </c>
      <c r="P127" t="s">
        <v>139</v>
      </c>
    </row>
    <row r="128" spans="1:16">
      <c r="A128" t="s">
        <v>131</v>
      </c>
      <c r="B128" t="s">
        <v>68</v>
      </c>
      <c r="C128" t="s">
        <v>110</v>
      </c>
      <c r="D128" t="s">
        <v>51</v>
      </c>
      <c r="E128" t="s">
        <v>54</v>
      </c>
      <c r="F128" s="2">
        <v>5</v>
      </c>
      <c r="G128" s="3">
        <v>0.17241379310344829</v>
      </c>
      <c r="H128" s="3">
        <v>1</v>
      </c>
      <c r="I128" s="3">
        <v>5.8</v>
      </c>
      <c r="J128" s="3">
        <v>1</v>
      </c>
      <c r="K128" s="3">
        <v>0</v>
      </c>
      <c r="L128" s="3">
        <v>0</v>
      </c>
      <c r="M128" s="3">
        <v>0</v>
      </c>
      <c r="N128" s="3">
        <v>0</v>
      </c>
      <c r="O128" s="3">
        <v>0.42198536750300703</v>
      </c>
      <c r="P128" t="s">
        <v>139</v>
      </c>
    </row>
    <row r="129" spans="1:16">
      <c r="A129" t="s">
        <v>131</v>
      </c>
      <c r="B129" t="s">
        <v>68</v>
      </c>
      <c r="C129" t="s">
        <v>110</v>
      </c>
      <c r="D129" t="s">
        <v>51</v>
      </c>
      <c r="E129" t="s">
        <v>55</v>
      </c>
      <c r="F129" s="2">
        <v>4</v>
      </c>
      <c r="G129" s="3">
        <v>0.13793103448275859</v>
      </c>
      <c r="H129" s="3">
        <v>0.88749999999999996</v>
      </c>
      <c r="I129" s="3">
        <v>6.4343750000000002</v>
      </c>
      <c r="J129" s="3">
        <v>0.98</v>
      </c>
      <c r="K129" s="3">
        <v>0.8763560920082657</v>
      </c>
      <c r="L129" s="3">
        <v>0.95238095238095233</v>
      </c>
      <c r="M129" s="3">
        <v>0.8</v>
      </c>
      <c r="N129" s="3">
        <v>1</v>
      </c>
      <c r="O129" s="3">
        <v>0.39173499399011469</v>
      </c>
      <c r="P129" t="s">
        <v>139</v>
      </c>
    </row>
    <row r="130" spans="1:16">
      <c r="A130" t="s">
        <v>131</v>
      </c>
      <c r="B130" t="s">
        <v>68</v>
      </c>
      <c r="C130" t="s">
        <v>110</v>
      </c>
      <c r="D130" t="s">
        <v>51</v>
      </c>
      <c r="E130" t="s">
        <v>56</v>
      </c>
      <c r="F130" s="2">
        <v>2</v>
      </c>
      <c r="G130" s="3">
        <v>6.8965517241379309E-2</v>
      </c>
      <c r="H130" s="3">
        <v>6.8965517241379309E-2</v>
      </c>
      <c r="I130" s="3">
        <v>1</v>
      </c>
      <c r="J130" s="3">
        <v>0.44444444444444442</v>
      </c>
      <c r="K130" s="3">
        <v>0</v>
      </c>
      <c r="L130" s="3">
        <v>0</v>
      </c>
      <c r="M130" s="3">
        <v>0</v>
      </c>
      <c r="N130" s="3">
        <v>0</v>
      </c>
      <c r="O130" s="3">
        <v>0.5</v>
      </c>
      <c r="P130" t="s">
        <v>139</v>
      </c>
    </row>
    <row r="131" spans="1:16">
      <c r="A131" t="s">
        <v>131</v>
      </c>
      <c r="B131" t="s">
        <v>68</v>
      </c>
      <c r="C131" t="s">
        <v>110</v>
      </c>
      <c r="D131" t="s">
        <v>51</v>
      </c>
      <c r="E131" t="s">
        <v>57</v>
      </c>
      <c r="F131" s="2">
        <v>1</v>
      </c>
      <c r="G131" s="3">
        <v>3.4482758620689648E-2</v>
      </c>
      <c r="H131" s="3">
        <v>1</v>
      </c>
      <c r="I131" s="3">
        <v>29</v>
      </c>
      <c r="J131" s="3">
        <v>1</v>
      </c>
      <c r="K131" s="3">
        <v>1</v>
      </c>
      <c r="L131" s="3">
        <v>1</v>
      </c>
      <c r="M131" s="3">
        <v>1</v>
      </c>
      <c r="N131" s="3">
        <v>1</v>
      </c>
      <c r="O131" s="3">
        <v>0.19756182797371061</v>
      </c>
      <c r="P131" t="s">
        <v>139</v>
      </c>
    </row>
    <row r="132" spans="1:16">
      <c r="A132" t="s">
        <v>131</v>
      </c>
      <c r="B132" t="s">
        <v>68</v>
      </c>
      <c r="C132" t="s">
        <v>112</v>
      </c>
      <c r="D132" t="s">
        <v>51</v>
      </c>
      <c r="E132" t="s">
        <v>52</v>
      </c>
      <c r="F132" s="2">
        <v>1</v>
      </c>
      <c r="G132" s="3">
        <v>3.4482758620689648E-2</v>
      </c>
      <c r="H132" s="3">
        <v>4.1666666666666657E-2</v>
      </c>
      <c r="I132" s="3">
        <v>1.208333333333333</v>
      </c>
      <c r="J132" s="3">
        <v>0.1785714285714286</v>
      </c>
      <c r="K132" s="3">
        <v>-0.17034628596731169</v>
      </c>
      <c r="L132" s="3">
        <v>0</v>
      </c>
      <c r="M132" s="3">
        <v>0</v>
      </c>
      <c r="N132" s="3">
        <v>0</v>
      </c>
      <c r="O132" s="3">
        <v>0.5</v>
      </c>
      <c r="P132" t="s">
        <v>140</v>
      </c>
    </row>
    <row r="133" spans="1:16">
      <c r="A133" t="s">
        <v>131</v>
      </c>
      <c r="B133" t="s">
        <v>68</v>
      </c>
      <c r="C133" t="s">
        <v>112</v>
      </c>
      <c r="D133" t="s">
        <v>51</v>
      </c>
      <c r="E133" t="s">
        <v>54</v>
      </c>
      <c r="F133" s="2">
        <v>5</v>
      </c>
      <c r="G133" s="3">
        <v>0.17241379310344829</v>
      </c>
      <c r="H133" s="3">
        <v>0.26883116883116881</v>
      </c>
      <c r="I133" s="3">
        <v>1.5592207792207791</v>
      </c>
      <c r="J133" s="3">
        <v>0.65833333333333344</v>
      </c>
      <c r="K133" s="3">
        <v>0.35791699479543948</v>
      </c>
      <c r="L133" s="3">
        <v>0.625</v>
      </c>
      <c r="M133" s="3">
        <v>0.33333333333333331</v>
      </c>
      <c r="N133" s="3">
        <v>0.8</v>
      </c>
      <c r="O133" s="3">
        <v>0.65576966772909462</v>
      </c>
      <c r="P133" t="s">
        <v>140</v>
      </c>
    </row>
    <row r="134" spans="1:16">
      <c r="A134" t="s">
        <v>131</v>
      </c>
      <c r="B134" t="s">
        <v>68</v>
      </c>
      <c r="C134" t="s">
        <v>112</v>
      </c>
      <c r="D134" t="s">
        <v>51</v>
      </c>
      <c r="E134" t="s">
        <v>55</v>
      </c>
      <c r="F134" s="2">
        <v>4</v>
      </c>
      <c r="G134" s="3">
        <v>0.13793103448275859</v>
      </c>
      <c r="H134" s="3">
        <v>0.11197377501725329</v>
      </c>
      <c r="I134" s="3">
        <v>0.81180986887508633</v>
      </c>
      <c r="J134" s="3">
        <v>0.24</v>
      </c>
      <c r="K134" s="3">
        <v>-0.2468853599393471</v>
      </c>
      <c r="L134" s="3">
        <v>0</v>
      </c>
      <c r="M134" s="3">
        <v>0</v>
      </c>
      <c r="N134" s="3">
        <v>0</v>
      </c>
      <c r="O134" s="3">
        <v>0.97860905650837504</v>
      </c>
      <c r="P134" t="s">
        <v>140</v>
      </c>
    </row>
    <row r="135" spans="1:16">
      <c r="A135" t="s">
        <v>131</v>
      </c>
      <c r="B135" t="s">
        <v>68</v>
      </c>
      <c r="C135" t="s">
        <v>112</v>
      </c>
      <c r="D135" t="s">
        <v>51</v>
      </c>
      <c r="E135" t="s">
        <v>56</v>
      </c>
      <c r="F135" s="2">
        <v>2</v>
      </c>
      <c r="G135" s="3">
        <v>6.8965517241379309E-2</v>
      </c>
      <c r="H135" s="3">
        <v>0.10096153846153851</v>
      </c>
      <c r="I135" s="3">
        <v>1.4639423076923079</v>
      </c>
      <c r="J135" s="3">
        <v>0.42592592592592587</v>
      </c>
      <c r="K135" s="3">
        <v>-0.28577380332470409</v>
      </c>
      <c r="L135" s="3">
        <v>0.15151515151515149</v>
      </c>
      <c r="M135" s="3">
        <v>0.04</v>
      </c>
      <c r="N135" s="3">
        <v>0.5</v>
      </c>
      <c r="O135" s="3">
        <v>0.5</v>
      </c>
      <c r="P135" t="s">
        <v>140</v>
      </c>
    </row>
    <row r="136" spans="1:16">
      <c r="A136" t="s">
        <v>131</v>
      </c>
      <c r="B136" t="s">
        <v>68</v>
      </c>
      <c r="C136" t="s">
        <v>112</v>
      </c>
      <c r="D136" t="s">
        <v>51</v>
      </c>
      <c r="E136" t="s">
        <v>57</v>
      </c>
      <c r="F136" s="2">
        <v>1</v>
      </c>
      <c r="G136" s="3">
        <v>3.4482758620689648E-2</v>
      </c>
      <c r="H136" s="3">
        <v>7.1428571428571425E-2</v>
      </c>
      <c r="I136" s="3">
        <v>2.0714285714285712</v>
      </c>
      <c r="J136" s="3">
        <v>0.5357142857142857</v>
      </c>
      <c r="K136" s="3">
        <v>0.12677313820927749</v>
      </c>
      <c r="L136" s="3">
        <v>0.20833333333333329</v>
      </c>
      <c r="M136" s="3">
        <v>0.05</v>
      </c>
      <c r="N136" s="3">
        <v>1</v>
      </c>
      <c r="O136" s="3">
        <v>0.34362562339628427</v>
      </c>
      <c r="P136" t="s">
        <v>140</v>
      </c>
    </row>
    <row r="137" spans="1:16">
      <c r="A137" t="s">
        <v>131</v>
      </c>
      <c r="B137" t="s">
        <v>68</v>
      </c>
      <c r="C137" t="s">
        <v>66</v>
      </c>
      <c r="D137" t="s">
        <v>51</v>
      </c>
      <c r="E137" t="s">
        <v>52</v>
      </c>
      <c r="F137" s="2">
        <v>1</v>
      </c>
      <c r="G137" s="3">
        <v>3.4482758620689648E-2</v>
      </c>
      <c r="H137" s="3">
        <v>1</v>
      </c>
      <c r="I137" s="3">
        <v>29</v>
      </c>
      <c r="J137" s="3">
        <v>1</v>
      </c>
      <c r="K137" s="3">
        <v>0</v>
      </c>
      <c r="L137" s="3">
        <v>0</v>
      </c>
      <c r="M137" s="3">
        <v>0</v>
      </c>
      <c r="N137" s="3">
        <v>0</v>
      </c>
      <c r="O137" s="3">
        <v>0.5</v>
      </c>
      <c r="P137" t="s">
        <v>141</v>
      </c>
    </row>
    <row r="138" spans="1:16">
      <c r="A138" t="s">
        <v>131</v>
      </c>
      <c r="B138" t="s">
        <v>68</v>
      </c>
      <c r="C138" t="s">
        <v>66</v>
      </c>
      <c r="D138" t="s">
        <v>51</v>
      </c>
      <c r="E138" t="s">
        <v>54</v>
      </c>
      <c r="F138" s="2">
        <v>5</v>
      </c>
      <c r="G138" s="3">
        <v>0.17241379310344829</v>
      </c>
      <c r="H138" s="3">
        <v>0.78619047619047611</v>
      </c>
      <c r="I138" s="3">
        <v>4.559904761904761</v>
      </c>
      <c r="J138" s="3">
        <v>0.95833333333333326</v>
      </c>
      <c r="K138" s="3">
        <v>0.23602939762497779</v>
      </c>
      <c r="L138" s="3">
        <v>0.22727272727272729</v>
      </c>
      <c r="M138" s="3">
        <v>0.5</v>
      </c>
      <c r="N138" s="3">
        <v>0.2</v>
      </c>
      <c r="O138" s="3">
        <v>0.40687806652244668</v>
      </c>
      <c r="P138" t="s">
        <v>141</v>
      </c>
    </row>
    <row r="139" spans="1:16">
      <c r="A139" t="s">
        <v>131</v>
      </c>
      <c r="B139" t="s">
        <v>68</v>
      </c>
      <c r="C139" t="s">
        <v>66</v>
      </c>
      <c r="D139" t="s">
        <v>51</v>
      </c>
      <c r="E139" t="s">
        <v>55</v>
      </c>
      <c r="F139" s="2">
        <v>4</v>
      </c>
      <c r="G139" s="3">
        <v>0.13793103448275859</v>
      </c>
      <c r="H139" s="3">
        <v>0.91666666666666663</v>
      </c>
      <c r="I139" s="3">
        <v>6.645833333333333</v>
      </c>
      <c r="J139" s="3">
        <v>0.98</v>
      </c>
      <c r="K139" s="3">
        <v>0.70912420834233469</v>
      </c>
      <c r="L139" s="3">
        <v>0.86956521739130432</v>
      </c>
      <c r="M139" s="3">
        <v>0.5714285714285714</v>
      </c>
      <c r="N139" s="3">
        <v>1</v>
      </c>
      <c r="O139" s="3">
        <v>0.23607900489367831</v>
      </c>
      <c r="P139" t="s">
        <v>141</v>
      </c>
    </row>
    <row r="140" spans="1:16">
      <c r="A140" t="s">
        <v>131</v>
      </c>
      <c r="B140" t="s">
        <v>68</v>
      </c>
      <c r="C140" t="s">
        <v>66</v>
      </c>
      <c r="D140" t="s">
        <v>51</v>
      </c>
      <c r="E140" t="s">
        <v>56</v>
      </c>
      <c r="F140" s="2">
        <v>2</v>
      </c>
      <c r="G140" s="3">
        <v>6.8965517241379309E-2</v>
      </c>
      <c r="H140" s="3">
        <v>0.30882352941176472</v>
      </c>
      <c r="I140" s="3">
        <v>4.4779411764705888</v>
      </c>
      <c r="J140" s="3">
        <v>0.70370370370370372</v>
      </c>
      <c r="K140" s="3">
        <v>-5.1434449987363969E-2</v>
      </c>
      <c r="L140" s="3">
        <v>0</v>
      </c>
      <c r="M140" s="3">
        <v>0</v>
      </c>
      <c r="N140" s="3">
        <v>0</v>
      </c>
      <c r="O140" s="3">
        <v>0.5</v>
      </c>
      <c r="P140" t="s">
        <v>141</v>
      </c>
    </row>
    <row r="141" spans="1:16">
      <c r="A141" t="s">
        <v>131</v>
      </c>
      <c r="B141" t="s">
        <v>68</v>
      </c>
      <c r="C141" t="s">
        <v>66</v>
      </c>
      <c r="D141" t="s">
        <v>51</v>
      </c>
      <c r="E141" t="s">
        <v>57</v>
      </c>
      <c r="F141" s="2">
        <v>1</v>
      </c>
      <c r="G141" s="3">
        <v>3.4482758620689648E-2</v>
      </c>
      <c r="H141" s="3">
        <v>0.5</v>
      </c>
      <c r="I141" s="3">
        <v>14.5</v>
      </c>
      <c r="J141" s="3">
        <v>0.9642857142857143</v>
      </c>
      <c r="K141" s="3">
        <v>0.41403933560541262</v>
      </c>
      <c r="L141" s="3">
        <v>0.55555555555555558</v>
      </c>
      <c r="M141" s="3">
        <v>0.2</v>
      </c>
      <c r="N141" s="3">
        <v>1</v>
      </c>
      <c r="O141" s="3">
        <v>0.16613437911787099</v>
      </c>
      <c r="P141" t="s">
        <v>141</v>
      </c>
    </row>
    <row r="142" spans="1:16">
      <c r="A142" t="s">
        <v>131</v>
      </c>
      <c r="B142" t="s">
        <v>68</v>
      </c>
      <c r="C142" t="s">
        <v>115</v>
      </c>
      <c r="D142" t="s">
        <v>51</v>
      </c>
      <c r="E142" t="s">
        <v>52</v>
      </c>
      <c r="F142" s="2">
        <v>1</v>
      </c>
      <c r="G142" s="3">
        <v>3.4482758620689648E-2</v>
      </c>
      <c r="H142" s="3">
        <v>3.4482758620689648E-2</v>
      </c>
      <c r="I142" s="3">
        <v>1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0.5</v>
      </c>
      <c r="P142" t="s">
        <v>142</v>
      </c>
    </row>
    <row r="143" spans="1:16">
      <c r="A143" t="s">
        <v>131</v>
      </c>
      <c r="B143" t="s">
        <v>68</v>
      </c>
      <c r="C143" t="s">
        <v>115</v>
      </c>
      <c r="D143" t="s">
        <v>51</v>
      </c>
      <c r="E143" t="s">
        <v>54</v>
      </c>
      <c r="F143" s="2">
        <v>5</v>
      </c>
      <c r="G143" s="3">
        <v>0.17241379310344829</v>
      </c>
      <c r="H143" s="3">
        <v>0.87142857142857144</v>
      </c>
      <c r="I143" s="3">
        <v>5.0542857142857143</v>
      </c>
      <c r="J143" s="3">
        <v>0.95416666666666661</v>
      </c>
      <c r="K143" s="3">
        <v>0</v>
      </c>
      <c r="L143" s="3">
        <v>0</v>
      </c>
      <c r="M143" s="3">
        <v>0</v>
      </c>
      <c r="N143" s="3">
        <v>0</v>
      </c>
      <c r="O143" s="3">
        <v>0.33400077233899728</v>
      </c>
      <c r="P143" t="s">
        <v>142</v>
      </c>
    </row>
    <row r="144" spans="1:16">
      <c r="A144" t="s">
        <v>131</v>
      </c>
      <c r="B144" t="s">
        <v>68</v>
      </c>
      <c r="C144" t="s">
        <v>115</v>
      </c>
      <c r="D144" t="s">
        <v>51</v>
      </c>
      <c r="E144" t="s">
        <v>55</v>
      </c>
      <c r="F144" s="2">
        <v>4</v>
      </c>
      <c r="G144" s="3">
        <v>0.13793103448275859</v>
      </c>
      <c r="H144" s="3">
        <v>1</v>
      </c>
      <c r="I144" s="3">
        <v>7.25</v>
      </c>
      <c r="J144" s="3">
        <v>1</v>
      </c>
      <c r="K144" s="3">
        <v>0.8763560920082657</v>
      </c>
      <c r="L144" s="3">
        <v>0.95238095238095233</v>
      </c>
      <c r="M144" s="3">
        <v>0.8</v>
      </c>
      <c r="N144" s="3">
        <v>1</v>
      </c>
      <c r="O144" s="3">
        <v>8.872880882392481E-2</v>
      </c>
      <c r="P144" t="s">
        <v>142</v>
      </c>
    </row>
    <row r="145" spans="1:16">
      <c r="A145" t="s">
        <v>131</v>
      </c>
      <c r="B145" t="s">
        <v>68</v>
      </c>
      <c r="C145" t="s">
        <v>115</v>
      </c>
      <c r="D145" t="s">
        <v>51</v>
      </c>
      <c r="E145" t="s">
        <v>56</v>
      </c>
      <c r="F145" s="2">
        <v>2</v>
      </c>
      <c r="G145" s="3">
        <v>6.8965517241379309E-2</v>
      </c>
      <c r="H145" s="3">
        <v>0.29166666666666669</v>
      </c>
      <c r="I145" s="3">
        <v>4.229166666666667</v>
      </c>
      <c r="J145" s="3">
        <v>0.57407407407407407</v>
      </c>
      <c r="K145" s="3">
        <v>0</v>
      </c>
      <c r="L145" s="3">
        <v>0</v>
      </c>
      <c r="M145" s="3">
        <v>0</v>
      </c>
      <c r="N145" s="3">
        <v>0</v>
      </c>
      <c r="O145" s="3">
        <v>0.5</v>
      </c>
      <c r="P145" t="s">
        <v>142</v>
      </c>
    </row>
    <row r="146" spans="1:16">
      <c r="A146" t="s">
        <v>131</v>
      </c>
      <c r="B146" t="s">
        <v>68</v>
      </c>
      <c r="C146" t="s">
        <v>115</v>
      </c>
      <c r="D146" t="s">
        <v>51</v>
      </c>
      <c r="E146" t="s">
        <v>57</v>
      </c>
      <c r="F146" s="2">
        <v>1</v>
      </c>
      <c r="G146" s="3">
        <v>3.4482758620689648E-2</v>
      </c>
      <c r="H146" s="3">
        <v>1</v>
      </c>
      <c r="I146" s="3">
        <v>29</v>
      </c>
      <c r="J146" s="3">
        <v>1</v>
      </c>
      <c r="K146" s="3">
        <v>0.33502969713024489</v>
      </c>
      <c r="L146" s="3">
        <v>0.45454545454545447</v>
      </c>
      <c r="M146" s="3">
        <v>0.14285714285714279</v>
      </c>
      <c r="N146" s="3">
        <v>1</v>
      </c>
      <c r="O146" s="3">
        <v>7.7262986827465588E-2</v>
      </c>
      <c r="P146" t="s">
        <v>142</v>
      </c>
    </row>
    <row r="147" spans="1:16">
      <c r="A147" t="s">
        <v>131</v>
      </c>
      <c r="B147" t="s">
        <v>68</v>
      </c>
      <c r="C147" t="s">
        <v>117</v>
      </c>
      <c r="D147" t="s">
        <v>51</v>
      </c>
      <c r="E147" t="s">
        <v>52</v>
      </c>
      <c r="F147" s="2">
        <v>1</v>
      </c>
      <c r="G147" s="3">
        <v>3.4482758620689648E-2</v>
      </c>
      <c r="H147" s="3">
        <v>0.5</v>
      </c>
      <c r="I147" s="3">
        <v>14.5</v>
      </c>
      <c r="J147" s="3">
        <v>0.9642857142857143</v>
      </c>
      <c r="K147" s="3">
        <v>0</v>
      </c>
      <c r="L147" s="3">
        <v>0</v>
      </c>
      <c r="M147" s="3">
        <v>0</v>
      </c>
      <c r="N147" s="3">
        <v>0</v>
      </c>
      <c r="O147" s="3">
        <v>0.5</v>
      </c>
      <c r="P147" t="s">
        <v>143</v>
      </c>
    </row>
    <row r="148" spans="1:16">
      <c r="A148" t="s">
        <v>131</v>
      </c>
      <c r="B148" t="s">
        <v>68</v>
      </c>
      <c r="C148" t="s">
        <v>117</v>
      </c>
      <c r="D148" t="s">
        <v>51</v>
      </c>
      <c r="E148" t="s">
        <v>54</v>
      </c>
      <c r="F148" s="2">
        <v>5</v>
      </c>
      <c r="G148" s="3">
        <v>0.17241379310344829</v>
      </c>
      <c r="H148" s="3">
        <v>0.52476190476190476</v>
      </c>
      <c r="I148" s="3">
        <v>3.043619047619047</v>
      </c>
      <c r="J148" s="3">
        <v>0.75</v>
      </c>
      <c r="K148" s="3">
        <v>0.33101874976866902</v>
      </c>
      <c r="L148" s="3">
        <v>0.5357142857142857</v>
      </c>
      <c r="M148" s="3">
        <v>0.375</v>
      </c>
      <c r="N148" s="3">
        <v>0.6</v>
      </c>
      <c r="O148" s="3">
        <v>2.5064203106054121E-2</v>
      </c>
      <c r="P148" t="s">
        <v>143</v>
      </c>
    </row>
    <row r="149" spans="1:16">
      <c r="A149" t="s">
        <v>131</v>
      </c>
      <c r="B149" t="s">
        <v>68</v>
      </c>
      <c r="C149" t="s">
        <v>117</v>
      </c>
      <c r="D149" t="s">
        <v>51</v>
      </c>
      <c r="E149" t="s">
        <v>55</v>
      </c>
      <c r="F149" s="2">
        <v>4</v>
      </c>
      <c r="G149" s="3">
        <v>0.13793103448275859</v>
      </c>
      <c r="H149" s="3">
        <v>1</v>
      </c>
      <c r="I149" s="3">
        <v>7.25</v>
      </c>
      <c r="J149" s="3">
        <v>1</v>
      </c>
      <c r="K149" s="3">
        <v>0.70912420834233469</v>
      </c>
      <c r="L149" s="3">
        <v>0.86956521739130432</v>
      </c>
      <c r="M149" s="3">
        <v>0.5714285714285714</v>
      </c>
      <c r="N149" s="3">
        <v>1</v>
      </c>
      <c r="O149" s="3">
        <v>1.211408478877137E-2</v>
      </c>
      <c r="P149" t="s">
        <v>143</v>
      </c>
    </row>
    <row r="150" spans="1:16">
      <c r="A150" t="s">
        <v>131</v>
      </c>
      <c r="B150" t="s">
        <v>68</v>
      </c>
      <c r="C150" t="s">
        <v>117</v>
      </c>
      <c r="D150" t="s">
        <v>51</v>
      </c>
      <c r="E150" t="s">
        <v>56</v>
      </c>
      <c r="F150" s="2">
        <v>2</v>
      </c>
      <c r="G150" s="3">
        <v>6.8965517241379309E-2</v>
      </c>
      <c r="H150" s="3">
        <v>0.29347826086956519</v>
      </c>
      <c r="I150" s="3">
        <v>4.2554347826086953</v>
      </c>
      <c r="J150" s="3">
        <v>0.59259259259259256</v>
      </c>
      <c r="K150" s="3">
        <v>-5.1434449987363969E-2</v>
      </c>
      <c r="L150" s="3">
        <v>0</v>
      </c>
      <c r="M150" s="3">
        <v>0</v>
      </c>
      <c r="N150" s="3">
        <v>0</v>
      </c>
      <c r="O150" s="3">
        <v>0.5</v>
      </c>
      <c r="P150" t="s">
        <v>143</v>
      </c>
    </row>
    <row r="151" spans="1:16">
      <c r="A151" t="s">
        <v>131</v>
      </c>
      <c r="B151" t="s">
        <v>68</v>
      </c>
      <c r="C151" t="s">
        <v>117</v>
      </c>
      <c r="D151" t="s">
        <v>51</v>
      </c>
      <c r="E151" t="s">
        <v>57</v>
      </c>
      <c r="F151" s="2">
        <v>1</v>
      </c>
      <c r="G151" s="3">
        <v>3.4482758620689648E-2</v>
      </c>
      <c r="H151" s="3">
        <v>0.25</v>
      </c>
      <c r="I151" s="3">
        <v>7.25</v>
      </c>
      <c r="J151" s="3">
        <v>0.8928571428571429</v>
      </c>
      <c r="K151" s="3">
        <v>0.47245559126153402</v>
      </c>
      <c r="L151" s="3">
        <v>0.625</v>
      </c>
      <c r="M151" s="3">
        <v>0.25</v>
      </c>
      <c r="N151" s="3">
        <v>1</v>
      </c>
      <c r="O151" s="3">
        <v>0.234641662888491</v>
      </c>
      <c r="P151" t="s">
        <v>143</v>
      </c>
    </row>
    <row r="152" spans="1:16">
      <c r="A152" t="s">
        <v>131</v>
      </c>
      <c r="B152" t="s">
        <v>75</v>
      </c>
      <c r="C152" t="s">
        <v>108</v>
      </c>
      <c r="D152" t="s">
        <v>51</v>
      </c>
      <c r="E152" t="s">
        <v>52</v>
      </c>
      <c r="F152" s="2">
        <v>1</v>
      </c>
      <c r="G152" s="3">
        <v>3.4482758620689648E-2</v>
      </c>
      <c r="H152" s="3">
        <v>1</v>
      </c>
      <c r="I152" s="3">
        <v>29</v>
      </c>
      <c r="J152" s="3">
        <v>1</v>
      </c>
      <c r="K152" s="3">
        <v>0.55634864026418673</v>
      </c>
      <c r="L152" s="3">
        <v>0.7142857142857143</v>
      </c>
      <c r="M152" s="3">
        <v>0.33333333333333331</v>
      </c>
      <c r="N152" s="3">
        <v>1</v>
      </c>
      <c r="O152" s="3">
        <v>0.5</v>
      </c>
      <c r="P152" t="s">
        <v>144</v>
      </c>
    </row>
    <row r="153" spans="1:16">
      <c r="A153" t="s">
        <v>131</v>
      </c>
      <c r="B153" t="s">
        <v>75</v>
      </c>
      <c r="C153" t="s">
        <v>108</v>
      </c>
      <c r="D153" t="s">
        <v>51</v>
      </c>
      <c r="E153" t="s">
        <v>54</v>
      </c>
      <c r="F153" s="2">
        <v>5</v>
      </c>
      <c r="G153" s="3">
        <v>0.17241379310344829</v>
      </c>
      <c r="H153" s="3">
        <v>0.26259494891073842</v>
      </c>
      <c r="I153" s="3">
        <v>1.523050703682282</v>
      </c>
      <c r="J153" s="3">
        <v>0.6333333333333333</v>
      </c>
      <c r="K153" s="3">
        <v>-0.1088662107903635</v>
      </c>
      <c r="L153" s="3">
        <v>0.17241379310344829</v>
      </c>
      <c r="M153" s="3">
        <v>0.1111111111111111</v>
      </c>
      <c r="N153" s="3">
        <v>0.2</v>
      </c>
      <c r="O153" s="3">
        <v>3.7064468606097217E-2</v>
      </c>
      <c r="P153" t="s">
        <v>144</v>
      </c>
    </row>
    <row r="154" spans="1:16">
      <c r="A154" t="s">
        <v>131</v>
      </c>
      <c r="B154" t="s">
        <v>75</v>
      </c>
      <c r="C154" t="s">
        <v>108</v>
      </c>
      <c r="D154" t="s">
        <v>51</v>
      </c>
      <c r="E154" t="s">
        <v>55</v>
      </c>
      <c r="F154" s="2">
        <v>4</v>
      </c>
      <c r="G154" s="3">
        <v>0.13793103448275859</v>
      </c>
      <c r="H154" s="3">
        <v>0.95</v>
      </c>
      <c r="I154" s="3">
        <v>6.8875000000000002</v>
      </c>
      <c r="J154" s="3">
        <v>0.99</v>
      </c>
      <c r="K154" s="3">
        <v>0.78315600829804877</v>
      </c>
      <c r="L154" s="3">
        <v>0.90909090909090906</v>
      </c>
      <c r="M154" s="3">
        <v>0.66666666666666663</v>
      </c>
      <c r="N154" s="3">
        <v>1</v>
      </c>
      <c r="O154" s="3">
        <v>5.0497886994602448E-2</v>
      </c>
      <c r="P154" t="s">
        <v>144</v>
      </c>
    </row>
    <row r="155" spans="1:16">
      <c r="A155" t="s">
        <v>131</v>
      </c>
      <c r="B155" t="s">
        <v>75</v>
      </c>
      <c r="C155" t="s">
        <v>108</v>
      </c>
      <c r="D155" t="s">
        <v>51</v>
      </c>
      <c r="E155" t="s">
        <v>56</v>
      </c>
      <c r="F155" s="2">
        <v>2</v>
      </c>
      <c r="G155" s="3">
        <v>6.8965517241379309E-2</v>
      </c>
      <c r="H155" s="3">
        <v>0.2361111111111111</v>
      </c>
      <c r="I155" s="3">
        <v>3.4236111111111112</v>
      </c>
      <c r="J155" s="3">
        <v>0.81481481481481477</v>
      </c>
      <c r="K155" s="3">
        <v>-9.2450032704204849E-2</v>
      </c>
      <c r="L155" s="3">
        <v>0</v>
      </c>
      <c r="M155" s="3">
        <v>0</v>
      </c>
      <c r="N155" s="3">
        <v>0</v>
      </c>
      <c r="O155" s="3">
        <v>0.5</v>
      </c>
      <c r="P155" t="s">
        <v>144</v>
      </c>
    </row>
    <row r="156" spans="1:16">
      <c r="A156" t="s">
        <v>131</v>
      </c>
      <c r="B156" t="s">
        <v>75</v>
      </c>
      <c r="C156" t="s">
        <v>108</v>
      </c>
      <c r="D156" t="s">
        <v>51</v>
      </c>
      <c r="E156" t="s">
        <v>57</v>
      </c>
      <c r="F156" s="2">
        <v>1</v>
      </c>
      <c r="G156" s="3">
        <v>3.4482758620689648E-2</v>
      </c>
      <c r="H156" s="3">
        <v>0.5</v>
      </c>
      <c r="I156" s="3">
        <v>14.5</v>
      </c>
      <c r="J156" s="3">
        <v>0.9642857142857143</v>
      </c>
      <c r="K156" s="3">
        <v>0.33502969713024489</v>
      </c>
      <c r="L156" s="3">
        <v>0.45454545454545447</v>
      </c>
      <c r="M156" s="3">
        <v>0.14285714285714279</v>
      </c>
      <c r="N156" s="3">
        <v>1</v>
      </c>
      <c r="O156" s="3">
        <v>2.2756011286321799E-2</v>
      </c>
      <c r="P156" t="s">
        <v>144</v>
      </c>
    </row>
    <row r="157" spans="1:16">
      <c r="A157" t="s">
        <v>131</v>
      </c>
      <c r="B157" t="s">
        <v>75</v>
      </c>
      <c r="C157" t="s">
        <v>110</v>
      </c>
      <c r="D157" t="s">
        <v>51</v>
      </c>
      <c r="E157" t="s">
        <v>52</v>
      </c>
      <c r="F157" s="2">
        <v>1</v>
      </c>
      <c r="G157" s="3">
        <v>3.4482758620689648E-2</v>
      </c>
      <c r="H157" s="3">
        <v>1</v>
      </c>
      <c r="I157" s="3">
        <v>29</v>
      </c>
      <c r="J157" s="3">
        <v>1</v>
      </c>
      <c r="K157" s="3">
        <v>0</v>
      </c>
      <c r="L157" s="3">
        <v>0</v>
      </c>
      <c r="M157" s="3">
        <v>0</v>
      </c>
      <c r="N157" s="3">
        <v>0</v>
      </c>
      <c r="O157" s="3">
        <v>0.5</v>
      </c>
      <c r="P157" t="s">
        <v>145</v>
      </c>
    </row>
    <row r="158" spans="1:16">
      <c r="A158" t="s">
        <v>131</v>
      </c>
      <c r="B158" t="s">
        <v>75</v>
      </c>
      <c r="C158" t="s">
        <v>110</v>
      </c>
      <c r="D158" t="s">
        <v>51</v>
      </c>
      <c r="E158" t="s">
        <v>54</v>
      </c>
      <c r="F158" s="2">
        <v>5</v>
      </c>
      <c r="G158" s="3">
        <v>0.17241379310344829</v>
      </c>
      <c r="H158" s="3">
        <v>0.67781609195402304</v>
      </c>
      <c r="I158" s="3">
        <v>3.9313333333333329</v>
      </c>
      <c r="J158" s="3">
        <v>0.86666666666666659</v>
      </c>
      <c r="K158" s="3">
        <v>0.7583333333333333</v>
      </c>
      <c r="L158" s="3">
        <v>0.8</v>
      </c>
      <c r="M158" s="3">
        <v>0.8</v>
      </c>
      <c r="N158" s="3">
        <v>0.8</v>
      </c>
      <c r="O158" s="3">
        <v>0.1917938537907424</v>
      </c>
      <c r="P158" t="s">
        <v>145</v>
      </c>
    </row>
    <row r="159" spans="1:16">
      <c r="A159" t="s">
        <v>131</v>
      </c>
      <c r="B159" t="s">
        <v>75</v>
      </c>
      <c r="C159" t="s">
        <v>110</v>
      </c>
      <c r="D159" t="s">
        <v>51</v>
      </c>
      <c r="E159" t="s">
        <v>55</v>
      </c>
      <c r="F159" s="2">
        <v>4</v>
      </c>
      <c r="G159" s="3">
        <v>0.13793103448275859</v>
      </c>
      <c r="H159" s="3">
        <v>0.6791666666666667</v>
      </c>
      <c r="I159" s="3">
        <v>4.9239583333333332</v>
      </c>
      <c r="J159" s="3">
        <v>0.96</v>
      </c>
      <c r="K159" s="3">
        <v>0.8763560920082657</v>
      </c>
      <c r="L159" s="3">
        <v>0.95238095238095233</v>
      </c>
      <c r="M159" s="3">
        <v>0.8</v>
      </c>
      <c r="N159" s="3">
        <v>1</v>
      </c>
      <c r="O159" s="3">
        <v>0.40913236547247039</v>
      </c>
      <c r="P159" t="s">
        <v>145</v>
      </c>
    </row>
    <row r="160" spans="1:16">
      <c r="A160" t="s">
        <v>131</v>
      </c>
      <c r="B160" t="s">
        <v>75</v>
      </c>
      <c r="C160" t="s">
        <v>110</v>
      </c>
      <c r="D160" t="s">
        <v>51</v>
      </c>
      <c r="E160" t="s">
        <v>56</v>
      </c>
      <c r="F160" s="2">
        <v>2</v>
      </c>
      <c r="G160" s="3">
        <v>6.8965517241379309E-2</v>
      </c>
      <c r="H160" s="3">
        <v>6.8965517241379309E-2</v>
      </c>
      <c r="I160" s="3">
        <v>1</v>
      </c>
      <c r="J160" s="3">
        <v>0.48148148148148151</v>
      </c>
      <c r="K160" s="3">
        <v>0</v>
      </c>
      <c r="L160" s="3">
        <v>0</v>
      </c>
      <c r="M160" s="3">
        <v>0</v>
      </c>
      <c r="N160" s="3">
        <v>0</v>
      </c>
      <c r="O160" s="3">
        <v>0.5</v>
      </c>
      <c r="P160" t="s">
        <v>145</v>
      </c>
    </row>
    <row r="161" spans="1:16">
      <c r="A161" t="s">
        <v>131</v>
      </c>
      <c r="B161" t="s">
        <v>75</v>
      </c>
      <c r="C161" t="s">
        <v>110</v>
      </c>
      <c r="D161" t="s">
        <v>51</v>
      </c>
      <c r="E161" t="s">
        <v>57</v>
      </c>
      <c r="F161" s="2">
        <v>1</v>
      </c>
      <c r="G161" s="3">
        <v>3.4482758620689648E-2</v>
      </c>
      <c r="H161" s="3">
        <v>0.5</v>
      </c>
      <c r="I161" s="3">
        <v>14.5</v>
      </c>
      <c r="J161" s="3">
        <v>0.96428571428571419</v>
      </c>
      <c r="K161" s="3">
        <v>0</v>
      </c>
      <c r="L161" s="3">
        <v>0</v>
      </c>
      <c r="M161" s="3">
        <v>0</v>
      </c>
      <c r="N161" s="3">
        <v>0</v>
      </c>
      <c r="O161" s="3">
        <v>0.20179584632556741</v>
      </c>
      <c r="P161" t="s">
        <v>145</v>
      </c>
    </row>
    <row r="162" spans="1:16">
      <c r="A162" t="s">
        <v>131</v>
      </c>
      <c r="B162" t="s">
        <v>75</v>
      </c>
      <c r="C162" t="s">
        <v>112</v>
      </c>
      <c r="D162" t="s">
        <v>51</v>
      </c>
      <c r="E162" t="s">
        <v>52</v>
      </c>
      <c r="F162" s="2">
        <v>1</v>
      </c>
      <c r="G162" s="3">
        <v>3.4482758620689648E-2</v>
      </c>
      <c r="H162" s="3">
        <v>0.1111111111111111</v>
      </c>
      <c r="I162" s="3">
        <v>3.2222222222222219</v>
      </c>
      <c r="J162" s="3">
        <v>0.7142857142857143</v>
      </c>
      <c r="K162" s="3">
        <v>-9.6523417813168033E-2</v>
      </c>
      <c r="L162" s="3">
        <v>0</v>
      </c>
      <c r="M162" s="3">
        <v>0</v>
      </c>
      <c r="N162" s="3">
        <v>0</v>
      </c>
      <c r="O162" s="3">
        <v>0.5</v>
      </c>
      <c r="P162" t="s">
        <v>146</v>
      </c>
    </row>
    <row r="163" spans="1:16">
      <c r="A163" t="s">
        <v>131</v>
      </c>
      <c r="B163" t="s">
        <v>75</v>
      </c>
      <c r="C163" t="s">
        <v>112</v>
      </c>
      <c r="D163" t="s">
        <v>51</v>
      </c>
      <c r="E163" t="s">
        <v>54</v>
      </c>
      <c r="F163" s="2">
        <v>5</v>
      </c>
      <c r="G163" s="3">
        <v>0.17241379310344829</v>
      </c>
      <c r="H163" s="3">
        <v>0.83703703703703702</v>
      </c>
      <c r="I163" s="3">
        <v>4.854814814814814</v>
      </c>
      <c r="J163" s="3">
        <v>0.81666666666666676</v>
      </c>
      <c r="K163" s="3">
        <v>0.53526436132806043</v>
      </c>
      <c r="L163" s="3">
        <v>0.7142857142857143</v>
      </c>
      <c r="M163" s="3">
        <v>0.5</v>
      </c>
      <c r="N163" s="3">
        <v>0.8</v>
      </c>
      <c r="O163" s="3">
        <v>0.23984338253930881</v>
      </c>
      <c r="P163" t="s">
        <v>146</v>
      </c>
    </row>
    <row r="164" spans="1:16">
      <c r="A164" t="s">
        <v>131</v>
      </c>
      <c r="B164" t="s">
        <v>75</v>
      </c>
      <c r="C164" t="s">
        <v>112</v>
      </c>
      <c r="D164" t="s">
        <v>51</v>
      </c>
      <c r="E164" t="s">
        <v>55</v>
      </c>
      <c r="F164" s="2">
        <v>4</v>
      </c>
      <c r="G164" s="3">
        <v>0.13793103448275859</v>
      </c>
      <c r="H164" s="3">
        <v>0.88749999999999996</v>
      </c>
      <c r="I164" s="3">
        <v>6.4343750000000002</v>
      </c>
      <c r="J164" s="3">
        <v>0.98</v>
      </c>
      <c r="K164" s="3">
        <v>0.8763560920082657</v>
      </c>
      <c r="L164" s="3">
        <v>0.95238095238095233</v>
      </c>
      <c r="M164" s="3">
        <v>0.8</v>
      </c>
      <c r="N164" s="3">
        <v>1</v>
      </c>
      <c r="O164" s="3">
        <v>0.34809955867911568</v>
      </c>
      <c r="P164" t="s">
        <v>146</v>
      </c>
    </row>
    <row r="165" spans="1:16">
      <c r="A165" t="s">
        <v>131</v>
      </c>
      <c r="B165" t="s">
        <v>75</v>
      </c>
      <c r="C165" t="s">
        <v>112</v>
      </c>
      <c r="D165" t="s">
        <v>51</v>
      </c>
      <c r="E165" t="s">
        <v>56</v>
      </c>
      <c r="F165" s="2">
        <v>2</v>
      </c>
      <c r="G165" s="3">
        <v>6.8965517241379309E-2</v>
      </c>
      <c r="H165" s="3">
        <v>0.2019230769230769</v>
      </c>
      <c r="I165" s="3">
        <v>2.927884615384615</v>
      </c>
      <c r="J165" s="3">
        <v>0.7407407407407407</v>
      </c>
      <c r="K165" s="3">
        <v>0</v>
      </c>
      <c r="L165" s="3">
        <v>0</v>
      </c>
      <c r="M165" s="3">
        <v>0</v>
      </c>
      <c r="N165" s="3">
        <v>0</v>
      </c>
      <c r="O165" s="3">
        <v>0.5</v>
      </c>
      <c r="P165" t="s">
        <v>146</v>
      </c>
    </row>
    <row r="166" spans="1:16">
      <c r="A166" t="s">
        <v>131</v>
      </c>
      <c r="B166" t="s">
        <v>75</v>
      </c>
      <c r="C166" t="s">
        <v>112</v>
      </c>
      <c r="D166" t="s">
        <v>51</v>
      </c>
      <c r="E166" t="s">
        <v>57</v>
      </c>
      <c r="F166" s="2">
        <v>1</v>
      </c>
      <c r="G166" s="3">
        <v>3.4482758620689648E-2</v>
      </c>
      <c r="H166" s="3">
        <v>0.1111111111111111</v>
      </c>
      <c r="I166" s="3">
        <v>3.2222222222222219</v>
      </c>
      <c r="J166" s="3">
        <v>0.7142857142857143</v>
      </c>
      <c r="K166" s="3">
        <v>-0.10660035817780519</v>
      </c>
      <c r="L166" s="3">
        <v>0</v>
      </c>
      <c r="M166" s="3">
        <v>0</v>
      </c>
      <c r="N166" s="3">
        <v>0</v>
      </c>
      <c r="O166" s="3">
        <v>0.11659727072954799</v>
      </c>
      <c r="P166" t="s">
        <v>146</v>
      </c>
    </row>
    <row r="167" spans="1:16">
      <c r="A167" t="s">
        <v>131</v>
      </c>
      <c r="B167" t="s">
        <v>75</v>
      </c>
      <c r="C167" t="s">
        <v>66</v>
      </c>
      <c r="D167" t="s">
        <v>51</v>
      </c>
      <c r="E167" t="s">
        <v>52</v>
      </c>
      <c r="F167" s="2">
        <v>1</v>
      </c>
      <c r="G167" s="3">
        <v>3.4482758620689648E-2</v>
      </c>
      <c r="H167" s="3">
        <v>0.33333333333333331</v>
      </c>
      <c r="I167" s="3">
        <v>9.6666666666666661</v>
      </c>
      <c r="J167" s="3">
        <v>0.9285714285714286</v>
      </c>
      <c r="K167" s="3">
        <v>0</v>
      </c>
      <c r="L167" s="3">
        <v>0</v>
      </c>
      <c r="M167" s="3">
        <v>0</v>
      </c>
      <c r="N167" s="3">
        <v>0</v>
      </c>
      <c r="O167" s="3">
        <v>0.5</v>
      </c>
      <c r="P167" t="s">
        <v>147</v>
      </c>
    </row>
    <row r="168" spans="1:16">
      <c r="A168" t="s">
        <v>131</v>
      </c>
      <c r="B168" t="s">
        <v>75</v>
      </c>
      <c r="C168" t="s">
        <v>66</v>
      </c>
      <c r="D168" t="s">
        <v>51</v>
      </c>
      <c r="E168" t="s">
        <v>54</v>
      </c>
      <c r="F168" s="2">
        <v>5</v>
      </c>
      <c r="G168" s="3">
        <v>0.17241379310344829</v>
      </c>
      <c r="H168" s="3">
        <v>0.66444444444444439</v>
      </c>
      <c r="I168" s="3">
        <v>3.8537777777777769</v>
      </c>
      <c r="J168" s="3">
        <v>0.91666666666666674</v>
      </c>
      <c r="K168" s="3">
        <v>0.41403933560541262</v>
      </c>
      <c r="L168" s="3">
        <v>0.23809523809523811</v>
      </c>
      <c r="M168" s="3">
        <v>1</v>
      </c>
      <c r="N168" s="3">
        <v>0.2</v>
      </c>
      <c r="O168" s="3">
        <v>0.43766584794064373</v>
      </c>
      <c r="P168" t="s">
        <v>147</v>
      </c>
    </row>
    <row r="169" spans="1:16">
      <c r="A169" t="s">
        <v>131</v>
      </c>
      <c r="B169" t="s">
        <v>75</v>
      </c>
      <c r="C169" t="s">
        <v>66</v>
      </c>
      <c r="D169" t="s">
        <v>51</v>
      </c>
      <c r="E169" t="s">
        <v>55</v>
      </c>
      <c r="F169" s="2">
        <v>4</v>
      </c>
      <c r="G169" s="3">
        <v>0.13793103448275859</v>
      </c>
      <c r="H169" s="3">
        <v>0.91666666666666663</v>
      </c>
      <c r="I169" s="3">
        <v>6.645833333333333</v>
      </c>
      <c r="J169" s="3">
        <v>0.98</v>
      </c>
      <c r="K169" s="3">
        <v>0.70912420834233469</v>
      </c>
      <c r="L169" s="3">
        <v>0.86956521739130432</v>
      </c>
      <c r="M169" s="3">
        <v>0.5714285714285714</v>
      </c>
      <c r="N169" s="3">
        <v>1</v>
      </c>
      <c r="O169" s="3">
        <v>0.23894841809756689</v>
      </c>
      <c r="P169" t="s">
        <v>147</v>
      </c>
    </row>
    <row r="170" spans="1:16">
      <c r="A170" t="s">
        <v>131</v>
      </c>
      <c r="B170" t="s">
        <v>75</v>
      </c>
      <c r="C170" t="s">
        <v>66</v>
      </c>
      <c r="D170" t="s">
        <v>51</v>
      </c>
      <c r="E170" t="s">
        <v>56</v>
      </c>
      <c r="F170" s="2">
        <v>2</v>
      </c>
      <c r="G170" s="3">
        <v>6.8965517241379309E-2</v>
      </c>
      <c r="H170" s="3">
        <v>0.2142857142857143</v>
      </c>
      <c r="I170" s="3">
        <v>3.1071428571428572</v>
      </c>
      <c r="J170" s="3">
        <v>0.61111111111111116</v>
      </c>
      <c r="K170" s="3">
        <v>0</v>
      </c>
      <c r="L170" s="3">
        <v>0</v>
      </c>
      <c r="M170" s="3">
        <v>0</v>
      </c>
      <c r="N170" s="3">
        <v>0</v>
      </c>
      <c r="O170" s="3">
        <v>0.5</v>
      </c>
      <c r="P170" t="s">
        <v>147</v>
      </c>
    </row>
    <row r="171" spans="1:16">
      <c r="A171" t="s">
        <v>131</v>
      </c>
      <c r="B171" t="s">
        <v>75</v>
      </c>
      <c r="C171" t="s">
        <v>66</v>
      </c>
      <c r="D171" t="s">
        <v>51</v>
      </c>
      <c r="E171" t="s">
        <v>57</v>
      </c>
      <c r="F171" s="2">
        <v>1</v>
      </c>
      <c r="G171" s="3">
        <v>3.4482758620689648E-2</v>
      </c>
      <c r="H171" s="3">
        <v>0.5</v>
      </c>
      <c r="I171" s="3">
        <v>14.5</v>
      </c>
      <c r="J171" s="3">
        <v>0.9642857142857143</v>
      </c>
      <c r="K171" s="3">
        <v>0.33502969713024489</v>
      </c>
      <c r="L171" s="3">
        <v>0.45454545454545447</v>
      </c>
      <c r="M171" s="3">
        <v>0.14285714285714279</v>
      </c>
      <c r="N171" s="3">
        <v>1</v>
      </c>
      <c r="O171" s="3">
        <v>0.1570026591406859</v>
      </c>
      <c r="P171" t="s">
        <v>147</v>
      </c>
    </row>
    <row r="172" spans="1:16">
      <c r="A172" t="s">
        <v>131</v>
      </c>
      <c r="B172" t="s">
        <v>75</v>
      </c>
      <c r="C172" t="s">
        <v>115</v>
      </c>
      <c r="D172" t="s">
        <v>51</v>
      </c>
      <c r="E172" t="s">
        <v>52</v>
      </c>
      <c r="F172" s="2">
        <v>1</v>
      </c>
      <c r="G172" s="3">
        <v>3.4482758620689648E-2</v>
      </c>
      <c r="H172" s="3">
        <v>3.4482758620689648E-2</v>
      </c>
      <c r="I172" s="3">
        <v>1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0.5</v>
      </c>
      <c r="P172" t="s">
        <v>148</v>
      </c>
    </row>
    <row r="173" spans="1:16">
      <c r="A173" t="s">
        <v>131</v>
      </c>
      <c r="B173" t="s">
        <v>75</v>
      </c>
      <c r="C173" t="s">
        <v>115</v>
      </c>
      <c r="D173" t="s">
        <v>51</v>
      </c>
      <c r="E173" t="s">
        <v>54</v>
      </c>
      <c r="F173" s="2">
        <v>5</v>
      </c>
      <c r="G173" s="3">
        <v>0.17241379310344829</v>
      </c>
      <c r="H173" s="3">
        <v>0.74583333333333335</v>
      </c>
      <c r="I173" s="3">
        <v>4.3258333333333328</v>
      </c>
      <c r="J173" s="3">
        <v>0.91666666666666674</v>
      </c>
      <c r="K173" s="3">
        <v>0.59584600991570591</v>
      </c>
      <c r="L173" s="3">
        <v>0.7407407407407407</v>
      </c>
      <c r="M173" s="3">
        <v>0.5714285714285714</v>
      </c>
      <c r="N173" s="3">
        <v>0.8</v>
      </c>
      <c r="O173" s="3">
        <v>7.7101910650719849E-2</v>
      </c>
      <c r="P173" t="s">
        <v>148</v>
      </c>
    </row>
    <row r="174" spans="1:16">
      <c r="A174" t="s">
        <v>131</v>
      </c>
      <c r="B174" t="s">
        <v>75</v>
      </c>
      <c r="C174" t="s">
        <v>115</v>
      </c>
      <c r="D174" t="s">
        <v>51</v>
      </c>
      <c r="E174" t="s">
        <v>55</v>
      </c>
      <c r="F174" s="2">
        <v>4</v>
      </c>
      <c r="G174" s="3">
        <v>0.13793103448275859</v>
      </c>
      <c r="H174" s="3">
        <v>0.95</v>
      </c>
      <c r="I174" s="3">
        <v>6.8875000000000002</v>
      </c>
      <c r="J174" s="3">
        <v>0.99</v>
      </c>
      <c r="K174" s="3">
        <v>0.78315600829804877</v>
      </c>
      <c r="L174" s="3">
        <v>0.90909090909090906</v>
      </c>
      <c r="M174" s="3">
        <v>0.66666666666666663</v>
      </c>
      <c r="N174" s="3">
        <v>1</v>
      </c>
      <c r="O174" s="3">
        <v>9.9126942421517678E-2</v>
      </c>
      <c r="P174" t="s">
        <v>148</v>
      </c>
    </row>
    <row r="175" spans="1:16">
      <c r="A175" t="s">
        <v>131</v>
      </c>
      <c r="B175" t="s">
        <v>75</v>
      </c>
      <c r="C175" t="s">
        <v>115</v>
      </c>
      <c r="D175" t="s">
        <v>51</v>
      </c>
      <c r="E175" t="s">
        <v>56</v>
      </c>
      <c r="F175" s="2">
        <v>2</v>
      </c>
      <c r="G175" s="3">
        <v>6.8965517241379309E-2</v>
      </c>
      <c r="H175" s="3">
        <v>0.28703703703703698</v>
      </c>
      <c r="I175" s="3">
        <v>4.1620370370370372</v>
      </c>
      <c r="J175" s="3">
        <v>0.5185185185185186</v>
      </c>
      <c r="K175" s="3">
        <v>0</v>
      </c>
      <c r="L175" s="3">
        <v>0</v>
      </c>
      <c r="M175" s="3">
        <v>0</v>
      </c>
      <c r="N175" s="3">
        <v>0</v>
      </c>
      <c r="O175" s="3">
        <v>0.5</v>
      </c>
      <c r="P175" t="s">
        <v>148</v>
      </c>
    </row>
    <row r="176" spans="1:16">
      <c r="A176" t="s">
        <v>131</v>
      </c>
      <c r="B176" t="s">
        <v>75</v>
      </c>
      <c r="C176" t="s">
        <v>115</v>
      </c>
      <c r="D176" t="s">
        <v>51</v>
      </c>
      <c r="E176" t="s">
        <v>57</v>
      </c>
      <c r="F176" s="2">
        <v>1</v>
      </c>
      <c r="G176" s="3">
        <v>3.4482758620689648E-2</v>
      </c>
      <c r="H176" s="3">
        <v>3.7037037037037028E-2</v>
      </c>
      <c r="I176" s="3">
        <v>1.074074074074074</v>
      </c>
      <c r="J176" s="3">
        <v>7.1428571428571397E-2</v>
      </c>
      <c r="K176" s="3">
        <v>-0.47245559126153402</v>
      </c>
      <c r="L176" s="3">
        <v>0</v>
      </c>
      <c r="M176" s="3">
        <v>0</v>
      </c>
      <c r="N176" s="3">
        <v>0</v>
      </c>
      <c r="O176" s="3">
        <v>8.2672505985760772E-2</v>
      </c>
      <c r="P176" t="s">
        <v>148</v>
      </c>
    </row>
    <row r="177" spans="1:16">
      <c r="A177" t="s">
        <v>131</v>
      </c>
      <c r="B177" t="s">
        <v>75</v>
      </c>
      <c r="C177" t="s">
        <v>117</v>
      </c>
      <c r="D177" t="s">
        <v>51</v>
      </c>
      <c r="E177" t="s">
        <v>52</v>
      </c>
      <c r="F177" s="2">
        <v>1</v>
      </c>
      <c r="G177" s="3">
        <v>3.4482758620689648E-2</v>
      </c>
      <c r="H177" s="3">
        <v>1</v>
      </c>
      <c r="I177" s="3">
        <v>29</v>
      </c>
      <c r="J177" s="3">
        <v>1</v>
      </c>
      <c r="K177" s="3">
        <v>0</v>
      </c>
      <c r="L177" s="3">
        <v>0</v>
      </c>
      <c r="M177" s="3">
        <v>0</v>
      </c>
      <c r="N177" s="3">
        <v>0</v>
      </c>
      <c r="O177" s="3">
        <v>0.5</v>
      </c>
      <c r="P177" t="s">
        <v>149</v>
      </c>
    </row>
    <row r="178" spans="1:16">
      <c r="A178" t="s">
        <v>131</v>
      </c>
      <c r="B178" t="s">
        <v>75</v>
      </c>
      <c r="C178" t="s">
        <v>117</v>
      </c>
      <c r="D178" t="s">
        <v>51</v>
      </c>
      <c r="E178" t="s">
        <v>54</v>
      </c>
      <c r="F178" s="2">
        <v>5</v>
      </c>
      <c r="G178" s="3">
        <v>0.17241379310344829</v>
      </c>
      <c r="H178" s="3">
        <v>0.4170588235294117</v>
      </c>
      <c r="I178" s="3">
        <v>2.4189411764705882</v>
      </c>
      <c r="J178" s="3">
        <v>0.72500000000000009</v>
      </c>
      <c r="K178" s="3">
        <v>0.51666666666666672</v>
      </c>
      <c r="L178" s="3">
        <v>0.6</v>
      </c>
      <c r="M178" s="3">
        <v>0.6</v>
      </c>
      <c r="N178" s="3">
        <v>0.6</v>
      </c>
      <c r="O178" s="3">
        <v>0.14190137676707471</v>
      </c>
      <c r="P178" t="s">
        <v>149</v>
      </c>
    </row>
    <row r="179" spans="1:16">
      <c r="A179" t="s">
        <v>131</v>
      </c>
      <c r="B179" t="s">
        <v>75</v>
      </c>
      <c r="C179" t="s">
        <v>117</v>
      </c>
      <c r="D179" t="s">
        <v>51</v>
      </c>
      <c r="E179" t="s">
        <v>55</v>
      </c>
      <c r="F179" s="2">
        <v>4</v>
      </c>
      <c r="G179" s="3">
        <v>0.13793103448275859</v>
      </c>
      <c r="H179" s="3">
        <v>1</v>
      </c>
      <c r="I179" s="3">
        <v>7.25</v>
      </c>
      <c r="J179" s="3">
        <v>1</v>
      </c>
      <c r="K179" s="3">
        <v>0.64807406984078608</v>
      </c>
      <c r="L179" s="3">
        <v>0.83333333333333337</v>
      </c>
      <c r="M179" s="3">
        <v>0.5</v>
      </c>
      <c r="N179" s="3">
        <v>1</v>
      </c>
      <c r="O179" s="3">
        <v>1.039940324728972E-2</v>
      </c>
      <c r="P179" t="s">
        <v>149</v>
      </c>
    </row>
    <row r="180" spans="1:16">
      <c r="A180" t="s">
        <v>131</v>
      </c>
      <c r="B180" t="s">
        <v>75</v>
      </c>
      <c r="C180" t="s">
        <v>117</v>
      </c>
      <c r="D180" t="s">
        <v>51</v>
      </c>
      <c r="E180" t="s">
        <v>56</v>
      </c>
      <c r="F180" s="2">
        <v>2</v>
      </c>
      <c r="G180" s="3">
        <v>6.8965517241379309E-2</v>
      </c>
      <c r="H180" s="3">
        <v>0.14000000000000001</v>
      </c>
      <c r="I180" s="3">
        <v>2.0299999999999998</v>
      </c>
      <c r="J180" s="3">
        <v>0.5</v>
      </c>
      <c r="K180" s="3">
        <v>-5.1434449987363969E-2</v>
      </c>
      <c r="L180" s="3">
        <v>0</v>
      </c>
      <c r="M180" s="3">
        <v>0</v>
      </c>
      <c r="N180" s="3">
        <v>0</v>
      </c>
      <c r="O180" s="3">
        <v>0.5</v>
      </c>
      <c r="P180" t="s">
        <v>149</v>
      </c>
    </row>
    <row r="181" spans="1:16">
      <c r="A181" t="s">
        <v>131</v>
      </c>
      <c r="B181" t="s">
        <v>75</v>
      </c>
      <c r="C181" t="s">
        <v>117</v>
      </c>
      <c r="D181" t="s">
        <v>51</v>
      </c>
      <c r="E181" t="s">
        <v>57</v>
      </c>
      <c r="F181" s="2">
        <v>1</v>
      </c>
      <c r="G181" s="3">
        <v>3.4482758620689648E-2</v>
      </c>
      <c r="H181" s="3">
        <v>0.25</v>
      </c>
      <c r="I181" s="3">
        <v>7.25</v>
      </c>
      <c r="J181" s="3">
        <v>0.8928571428571429</v>
      </c>
      <c r="K181" s="3">
        <v>0.41403933560541262</v>
      </c>
      <c r="L181" s="3">
        <v>0.55555555555555558</v>
      </c>
      <c r="M181" s="3">
        <v>0.2</v>
      </c>
      <c r="N181" s="3">
        <v>1</v>
      </c>
      <c r="O181" s="3">
        <v>0.18348357568883419</v>
      </c>
      <c r="P181" t="s">
        <v>149</v>
      </c>
    </row>
    <row r="182" spans="1:16">
      <c r="A182" t="s">
        <v>150</v>
      </c>
      <c r="B182" t="s">
        <v>49</v>
      </c>
      <c r="C182" t="s">
        <v>108</v>
      </c>
      <c r="D182" t="s">
        <v>51</v>
      </c>
      <c r="E182" t="s">
        <v>52</v>
      </c>
      <c r="F182" s="2">
        <v>1</v>
      </c>
      <c r="G182" s="3">
        <v>3.4482758620689648E-2</v>
      </c>
      <c r="H182" s="3">
        <v>0.33333333333333331</v>
      </c>
      <c r="I182" s="3">
        <v>9.6666666666666661</v>
      </c>
      <c r="J182" s="3">
        <v>0.9285714285714286</v>
      </c>
      <c r="K182" s="3">
        <v>-3.5714285714285712E-2</v>
      </c>
      <c r="L182" s="3">
        <v>0</v>
      </c>
      <c r="M182" s="3">
        <v>0</v>
      </c>
      <c r="N182" s="3">
        <v>0</v>
      </c>
      <c r="O182" s="3">
        <v>0.5</v>
      </c>
      <c r="P182" t="s">
        <v>151</v>
      </c>
    </row>
    <row r="183" spans="1:16">
      <c r="A183" t="s">
        <v>150</v>
      </c>
      <c r="B183" t="s">
        <v>49</v>
      </c>
      <c r="C183" t="s">
        <v>108</v>
      </c>
      <c r="D183" t="s">
        <v>51</v>
      </c>
      <c r="E183" t="s">
        <v>54</v>
      </c>
      <c r="F183" s="2">
        <v>5</v>
      </c>
      <c r="G183" s="3">
        <v>0.17241379310344829</v>
      </c>
      <c r="H183" s="3">
        <v>0.24420168067226891</v>
      </c>
      <c r="I183" s="3">
        <v>1.4163697478991599</v>
      </c>
      <c r="J183" s="3">
        <v>0.60000000000000009</v>
      </c>
      <c r="K183" s="3">
        <v>3.3333333333333333E-2</v>
      </c>
      <c r="L183" s="3">
        <v>0.2</v>
      </c>
      <c r="M183" s="3">
        <v>0.2</v>
      </c>
      <c r="N183" s="3">
        <v>0.2</v>
      </c>
      <c r="O183" s="3">
        <v>0.399498284094642</v>
      </c>
      <c r="P183" t="s">
        <v>151</v>
      </c>
    </row>
    <row r="184" spans="1:16">
      <c r="A184" t="s">
        <v>150</v>
      </c>
      <c r="B184" t="s">
        <v>49</v>
      </c>
      <c r="C184" t="s">
        <v>108</v>
      </c>
      <c r="D184" t="s">
        <v>51</v>
      </c>
      <c r="E184" t="s">
        <v>55</v>
      </c>
      <c r="F184" s="2">
        <v>4</v>
      </c>
      <c r="G184" s="3">
        <v>0.13793103448275859</v>
      </c>
      <c r="H184" s="3">
        <v>0.48333333333333328</v>
      </c>
      <c r="I184" s="3">
        <v>3.5041666666666669</v>
      </c>
      <c r="J184" s="3">
        <v>0.89999999999999991</v>
      </c>
      <c r="K184" s="3">
        <v>0.61162352254743546</v>
      </c>
      <c r="L184" s="3">
        <v>0.7142857142857143</v>
      </c>
      <c r="M184" s="3">
        <v>0.6</v>
      </c>
      <c r="N184" s="3">
        <v>0.75</v>
      </c>
      <c r="O184" s="3">
        <v>0.48633462726153548</v>
      </c>
      <c r="P184" t="s">
        <v>151</v>
      </c>
    </row>
    <row r="185" spans="1:16">
      <c r="A185" t="s">
        <v>150</v>
      </c>
      <c r="B185" t="s">
        <v>49</v>
      </c>
      <c r="C185" t="s">
        <v>108</v>
      </c>
      <c r="D185" t="s">
        <v>51</v>
      </c>
      <c r="E185" t="s">
        <v>56</v>
      </c>
      <c r="F185" s="2">
        <v>2</v>
      </c>
      <c r="G185" s="3">
        <v>6.8965517241379309E-2</v>
      </c>
      <c r="H185" s="3">
        <v>0.126984126984127</v>
      </c>
      <c r="I185" s="3">
        <v>1.8412698412698409</v>
      </c>
      <c r="J185" s="3">
        <v>0.59259259259259256</v>
      </c>
      <c r="K185" s="3">
        <v>0</v>
      </c>
      <c r="L185" s="3">
        <v>0</v>
      </c>
      <c r="M185" s="3">
        <v>0</v>
      </c>
      <c r="N185" s="3">
        <v>0</v>
      </c>
      <c r="O185" s="3">
        <v>0.5</v>
      </c>
      <c r="P185" t="s">
        <v>151</v>
      </c>
    </row>
    <row r="186" spans="1:16">
      <c r="A186" t="s">
        <v>150</v>
      </c>
      <c r="B186" t="s">
        <v>49</v>
      </c>
      <c r="C186" t="s">
        <v>108</v>
      </c>
      <c r="D186" t="s">
        <v>51</v>
      </c>
      <c r="E186" t="s">
        <v>57</v>
      </c>
      <c r="F186" s="2">
        <v>1</v>
      </c>
      <c r="G186" s="3">
        <v>3.4482758620689648E-2</v>
      </c>
      <c r="H186" s="3">
        <v>3.8461538461538457E-2</v>
      </c>
      <c r="I186" s="3">
        <v>1.115384615384615</v>
      </c>
      <c r="J186" s="3">
        <v>0.1071428571428571</v>
      </c>
      <c r="K186" s="3">
        <v>-0.22493385271060931</v>
      </c>
      <c r="L186" s="3">
        <v>0</v>
      </c>
      <c r="M186" s="3">
        <v>0</v>
      </c>
      <c r="N186" s="3">
        <v>0</v>
      </c>
      <c r="O186" s="3">
        <v>0.20075425431922131</v>
      </c>
      <c r="P186" t="s">
        <v>151</v>
      </c>
    </row>
    <row r="187" spans="1:16">
      <c r="A187" t="s">
        <v>150</v>
      </c>
      <c r="B187" t="s">
        <v>49</v>
      </c>
      <c r="C187" t="s">
        <v>110</v>
      </c>
      <c r="D187" t="s">
        <v>51</v>
      </c>
      <c r="E187" t="s">
        <v>52</v>
      </c>
      <c r="F187" s="2">
        <v>1</v>
      </c>
      <c r="G187" s="3">
        <v>3.4482758620689648E-2</v>
      </c>
      <c r="H187" s="3">
        <v>0.33333333333333331</v>
      </c>
      <c r="I187" s="3">
        <v>9.6666666666666661</v>
      </c>
      <c r="J187" s="3">
        <v>0.9285714285714286</v>
      </c>
      <c r="K187" s="3">
        <v>0</v>
      </c>
      <c r="L187" s="3">
        <v>0</v>
      </c>
      <c r="M187" s="3">
        <v>0</v>
      </c>
      <c r="N187" s="3">
        <v>0</v>
      </c>
      <c r="O187" s="3">
        <v>0.5</v>
      </c>
      <c r="P187" t="s">
        <v>152</v>
      </c>
    </row>
    <row r="188" spans="1:16">
      <c r="A188" t="s">
        <v>150</v>
      </c>
      <c r="B188" t="s">
        <v>49</v>
      </c>
      <c r="C188" t="s">
        <v>110</v>
      </c>
      <c r="D188" t="s">
        <v>51</v>
      </c>
      <c r="E188" t="s">
        <v>54</v>
      </c>
      <c r="F188" s="2">
        <v>5</v>
      </c>
      <c r="G188" s="3">
        <v>0.17241379310344829</v>
      </c>
      <c r="H188" s="3">
        <v>0.18793103448275869</v>
      </c>
      <c r="I188" s="3">
        <v>1.0900000000000001</v>
      </c>
      <c r="J188" s="3">
        <v>0.44166666666666671</v>
      </c>
      <c r="K188" s="3">
        <v>-7.7472473350114021E-2</v>
      </c>
      <c r="L188" s="3">
        <v>0.1785714285714286</v>
      </c>
      <c r="M188" s="3">
        <v>0.125</v>
      </c>
      <c r="N188" s="3">
        <v>0.2</v>
      </c>
      <c r="O188" s="3">
        <v>0.19460850612226499</v>
      </c>
      <c r="P188" t="s">
        <v>152</v>
      </c>
    </row>
    <row r="189" spans="1:16">
      <c r="A189" t="s">
        <v>150</v>
      </c>
      <c r="B189" t="s">
        <v>49</v>
      </c>
      <c r="C189" t="s">
        <v>110</v>
      </c>
      <c r="D189" t="s">
        <v>51</v>
      </c>
      <c r="E189" t="s">
        <v>55</v>
      </c>
      <c r="F189" s="2">
        <v>4</v>
      </c>
      <c r="G189" s="3">
        <v>0.13793103448275859</v>
      </c>
      <c r="H189" s="3">
        <v>0.53448275862068972</v>
      </c>
      <c r="I189" s="3">
        <v>3.875</v>
      </c>
      <c r="J189" s="3">
        <v>0.77500000000000002</v>
      </c>
      <c r="K189" s="3">
        <v>0.34689095308660522</v>
      </c>
      <c r="L189" s="3">
        <v>0.47619047619047622</v>
      </c>
      <c r="M189" s="3">
        <v>0.4</v>
      </c>
      <c r="N189" s="3">
        <v>0.5</v>
      </c>
      <c r="O189" s="3">
        <v>0.25939047691572698</v>
      </c>
      <c r="P189" t="s">
        <v>152</v>
      </c>
    </row>
    <row r="190" spans="1:16">
      <c r="A190" t="s">
        <v>150</v>
      </c>
      <c r="B190" t="s">
        <v>49</v>
      </c>
      <c r="C190" t="s">
        <v>110</v>
      </c>
      <c r="D190" t="s">
        <v>51</v>
      </c>
      <c r="E190" t="s">
        <v>56</v>
      </c>
      <c r="F190" s="2">
        <v>2</v>
      </c>
      <c r="G190" s="3">
        <v>6.8965517241379309E-2</v>
      </c>
      <c r="H190" s="3">
        <v>6.8965517241379309E-2</v>
      </c>
      <c r="I190" s="3">
        <v>1</v>
      </c>
      <c r="J190" s="3">
        <v>0.3888888888888889</v>
      </c>
      <c r="K190" s="3">
        <v>0</v>
      </c>
      <c r="L190" s="3">
        <v>0</v>
      </c>
      <c r="M190" s="3">
        <v>0</v>
      </c>
      <c r="N190" s="3">
        <v>0</v>
      </c>
      <c r="O190" s="3">
        <v>0.5</v>
      </c>
      <c r="P190" t="s">
        <v>152</v>
      </c>
    </row>
    <row r="191" spans="1:16">
      <c r="A191" t="s">
        <v>150</v>
      </c>
      <c r="B191" t="s">
        <v>49</v>
      </c>
      <c r="C191" t="s">
        <v>110</v>
      </c>
      <c r="D191" t="s">
        <v>51</v>
      </c>
      <c r="E191" t="s">
        <v>57</v>
      </c>
      <c r="F191" s="2">
        <v>1</v>
      </c>
      <c r="G191" s="3">
        <v>3.4482758620689648E-2</v>
      </c>
      <c r="H191" s="3">
        <v>3.4482758620689648E-2</v>
      </c>
      <c r="I191" s="3">
        <v>1</v>
      </c>
      <c r="J191" s="3">
        <v>0.3035714285714286</v>
      </c>
      <c r="K191" s="3">
        <v>0</v>
      </c>
      <c r="L191" s="3">
        <v>0.15151515151515149</v>
      </c>
      <c r="M191" s="3">
        <v>3.4482758620689648E-2</v>
      </c>
      <c r="N191" s="3">
        <v>1</v>
      </c>
      <c r="O191" s="3">
        <v>0</v>
      </c>
      <c r="P191" t="s">
        <v>152</v>
      </c>
    </row>
    <row r="192" spans="1:16">
      <c r="A192" t="s">
        <v>150</v>
      </c>
      <c r="B192" t="s">
        <v>49</v>
      </c>
      <c r="C192" t="s">
        <v>112</v>
      </c>
      <c r="D192" t="s">
        <v>51</v>
      </c>
      <c r="E192" t="s">
        <v>52</v>
      </c>
      <c r="F192" s="2">
        <v>1</v>
      </c>
      <c r="G192" s="3">
        <v>3.4482758620689648E-2</v>
      </c>
      <c r="H192" s="3">
        <v>8.3333333333333329E-2</v>
      </c>
      <c r="I192" s="3">
        <v>2.416666666666667</v>
      </c>
      <c r="J192" s="3">
        <v>0.60714285714285721</v>
      </c>
      <c r="K192" s="3">
        <v>-3.5714285714285712E-2</v>
      </c>
      <c r="L192" s="3">
        <v>0</v>
      </c>
      <c r="M192" s="3">
        <v>0</v>
      </c>
      <c r="N192" s="3">
        <v>0</v>
      </c>
      <c r="O192" s="3">
        <v>0.5</v>
      </c>
      <c r="P192" t="s">
        <v>153</v>
      </c>
    </row>
    <row r="193" spans="1:16">
      <c r="A193" t="s">
        <v>150</v>
      </c>
      <c r="B193" t="s">
        <v>49</v>
      </c>
      <c r="C193" t="s">
        <v>112</v>
      </c>
      <c r="D193" t="s">
        <v>51</v>
      </c>
      <c r="E193" t="s">
        <v>54</v>
      </c>
      <c r="F193" s="2">
        <v>5</v>
      </c>
      <c r="G193" s="3">
        <v>0.17241379310344829</v>
      </c>
      <c r="H193" s="3">
        <v>0.27594771241830057</v>
      </c>
      <c r="I193" s="3">
        <v>1.6004967320261441</v>
      </c>
      <c r="J193" s="3">
        <v>0.59166666666666667</v>
      </c>
      <c r="K193" s="3">
        <v>3.3333333333333333E-2</v>
      </c>
      <c r="L193" s="3">
        <v>0.2</v>
      </c>
      <c r="M193" s="3">
        <v>0.2</v>
      </c>
      <c r="N193" s="3">
        <v>0.2</v>
      </c>
      <c r="O193" s="3">
        <v>0.3607414106141219</v>
      </c>
      <c r="P193" t="s">
        <v>153</v>
      </c>
    </row>
    <row r="194" spans="1:16">
      <c r="A194" t="s">
        <v>150</v>
      </c>
      <c r="B194" t="s">
        <v>49</v>
      </c>
      <c r="C194" t="s">
        <v>112</v>
      </c>
      <c r="D194" t="s">
        <v>51</v>
      </c>
      <c r="E194" t="s">
        <v>55</v>
      </c>
      <c r="F194" s="2">
        <v>4</v>
      </c>
      <c r="G194" s="3">
        <v>0.13793103448275859</v>
      </c>
      <c r="H194" s="3">
        <v>0.28799019607843129</v>
      </c>
      <c r="I194" s="3">
        <v>2.087928921568627</v>
      </c>
      <c r="J194" s="3">
        <v>0.74</v>
      </c>
      <c r="K194" s="3">
        <v>8.2158383625774919E-2</v>
      </c>
      <c r="L194" s="3">
        <v>0.23809523809523811</v>
      </c>
      <c r="M194" s="3">
        <v>0.2</v>
      </c>
      <c r="N194" s="3">
        <v>0.25</v>
      </c>
      <c r="O194" s="3">
        <v>0.53452884265102818</v>
      </c>
      <c r="P194" t="s">
        <v>153</v>
      </c>
    </row>
    <row r="195" spans="1:16">
      <c r="A195" t="s">
        <v>150</v>
      </c>
      <c r="B195" t="s">
        <v>49</v>
      </c>
      <c r="C195" t="s">
        <v>112</v>
      </c>
      <c r="D195" t="s">
        <v>51</v>
      </c>
      <c r="E195" t="s">
        <v>56</v>
      </c>
      <c r="F195" s="2">
        <v>2</v>
      </c>
      <c r="G195" s="3">
        <v>6.8965517241379309E-2</v>
      </c>
      <c r="H195" s="3">
        <v>7.8461538461538471E-2</v>
      </c>
      <c r="I195" s="3">
        <v>1.137692307692308</v>
      </c>
      <c r="J195" s="3">
        <v>0.35185185185185192</v>
      </c>
      <c r="K195" s="3">
        <v>-0.15352206215727951</v>
      </c>
      <c r="L195" s="3">
        <v>0</v>
      </c>
      <c r="M195" s="3">
        <v>0</v>
      </c>
      <c r="N195" s="3">
        <v>0</v>
      </c>
      <c r="O195" s="3">
        <v>0.5</v>
      </c>
      <c r="P195" t="s">
        <v>153</v>
      </c>
    </row>
    <row r="196" spans="1:16">
      <c r="A196" t="s">
        <v>150</v>
      </c>
      <c r="B196" t="s">
        <v>49</v>
      </c>
      <c r="C196" t="s">
        <v>112</v>
      </c>
      <c r="D196" t="s">
        <v>51</v>
      </c>
      <c r="E196" t="s">
        <v>57</v>
      </c>
      <c r="F196" s="2">
        <v>1</v>
      </c>
      <c r="G196" s="3">
        <v>3.4482758620689648E-2</v>
      </c>
      <c r="H196" s="3">
        <v>4.3478260869565223E-2</v>
      </c>
      <c r="I196" s="3">
        <v>1.2608695652173909</v>
      </c>
      <c r="J196" s="3">
        <v>0.2142857142857143</v>
      </c>
      <c r="K196" s="3">
        <v>-0.12677313820927749</v>
      </c>
      <c r="L196" s="3">
        <v>0</v>
      </c>
      <c r="M196" s="3">
        <v>0</v>
      </c>
      <c r="N196" s="3">
        <v>0</v>
      </c>
      <c r="O196" s="3">
        <v>0.35256508531016739</v>
      </c>
      <c r="P196" t="s">
        <v>153</v>
      </c>
    </row>
    <row r="197" spans="1:16">
      <c r="A197" t="s">
        <v>150</v>
      </c>
      <c r="B197" t="s">
        <v>49</v>
      </c>
      <c r="C197" t="s">
        <v>66</v>
      </c>
      <c r="D197" t="s">
        <v>51</v>
      </c>
      <c r="E197" t="s">
        <v>52</v>
      </c>
      <c r="F197" s="2">
        <v>1</v>
      </c>
      <c r="G197" s="3">
        <v>3.4482758620689648E-2</v>
      </c>
      <c r="H197" s="3">
        <v>0.1111111111111111</v>
      </c>
      <c r="I197" s="3">
        <v>3.2222222222222219</v>
      </c>
      <c r="J197" s="3">
        <v>0.71428571428571419</v>
      </c>
      <c r="K197" s="3">
        <v>0</v>
      </c>
      <c r="L197" s="3">
        <v>0</v>
      </c>
      <c r="M197" s="3">
        <v>0</v>
      </c>
      <c r="N197" s="3">
        <v>0</v>
      </c>
      <c r="O197" s="3">
        <v>0.5</v>
      </c>
      <c r="P197" t="s">
        <v>154</v>
      </c>
    </row>
    <row r="198" spans="1:16">
      <c r="A198" t="s">
        <v>150</v>
      </c>
      <c r="B198" t="s">
        <v>49</v>
      </c>
      <c r="C198" t="s">
        <v>66</v>
      </c>
      <c r="D198" t="s">
        <v>51</v>
      </c>
      <c r="E198" t="s">
        <v>54</v>
      </c>
      <c r="F198" s="2">
        <v>5</v>
      </c>
      <c r="G198" s="3">
        <v>0.17241379310344829</v>
      </c>
      <c r="H198" s="3">
        <v>0.1565395388924801</v>
      </c>
      <c r="I198" s="3">
        <v>0.90792932557638428</v>
      </c>
      <c r="J198" s="3">
        <v>0.3666666666666667</v>
      </c>
      <c r="K198" s="3">
        <v>-0.18257418583505541</v>
      </c>
      <c r="L198" s="3">
        <v>0</v>
      </c>
      <c r="M198" s="3">
        <v>0</v>
      </c>
      <c r="N198" s="3">
        <v>0</v>
      </c>
      <c r="O198" s="3">
        <v>0.40604816714548359</v>
      </c>
      <c r="P198" t="s">
        <v>154</v>
      </c>
    </row>
    <row r="199" spans="1:16">
      <c r="A199" t="s">
        <v>150</v>
      </c>
      <c r="B199" t="s">
        <v>49</v>
      </c>
      <c r="C199" t="s">
        <v>66</v>
      </c>
      <c r="D199" t="s">
        <v>51</v>
      </c>
      <c r="E199" t="s">
        <v>55</v>
      </c>
      <c r="F199" s="2">
        <v>4</v>
      </c>
      <c r="G199" s="3">
        <v>0.13793103448275859</v>
      </c>
      <c r="H199" s="3">
        <v>0.34166666666666662</v>
      </c>
      <c r="I199" s="3">
        <v>2.4770833333333329</v>
      </c>
      <c r="J199" s="3">
        <v>0.79999999999999993</v>
      </c>
      <c r="K199" s="3">
        <v>0.34689095308660522</v>
      </c>
      <c r="L199" s="3">
        <v>0.47619047619047622</v>
      </c>
      <c r="M199" s="3">
        <v>0.4</v>
      </c>
      <c r="N199" s="3">
        <v>0.5</v>
      </c>
      <c r="O199" s="3">
        <v>0.30069321798549259</v>
      </c>
      <c r="P199" t="s">
        <v>154</v>
      </c>
    </row>
    <row r="200" spans="1:16">
      <c r="A200" t="s">
        <v>150</v>
      </c>
      <c r="B200" t="s">
        <v>49</v>
      </c>
      <c r="C200" t="s">
        <v>66</v>
      </c>
      <c r="D200" t="s">
        <v>51</v>
      </c>
      <c r="E200" t="s">
        <v>56</v>
      </c>
      <c r="F200" s="2">
        <v>2</v>
      </c>
      <c r="G200" s="3">
        <v>6.8965517241379309E-2</v>
      </c>
      <c r="H200" s="3">
        <v>0.1222222222222222</v>
      </c>
      <c r="I200" s="3">
        <v>1.7722222222222219</v>
      </c>
      <c r="J200" s="3">
        <v>0.61111111111111116</v>
      </c>
      <c r="K200" s="3">
        <v>0</v>
      </c>
      <c r="L200" s="3">
        <v>0</v>
      </c>
      <c r="M200" s="3">
        <v>0</v>
      </c>
      <c r="N200" s="3">
        <v>0</v>
      </c>
      <c r="O200" s="3">
        <v>0.5</v>
      </c>
      <c r="P200" t="s">
        <v>154</v>
      </c>
    </row>
    <row r="201" spans="1:16">
      <c r="A201" t="s">
        <v>150</v>
      </c>
      <c r="B201" t="s">
        <v>49</v>
      </c>
      <c r="C201" t="s">
        <v>66</v>
      </c>
      <c r="D201" t="s">
        <v>51</v>
      </c>
      <c r="E201" t="s">
        <v>57</v>
      </c>
      <c r="F201" s="2">
        <v>1</v>
      </c>
      <c r="G201" s="3">
        <v>3.4482758620689648E-2</v>
      </c>
      <c r="H201" s="3">
        <v>3.4482758620689648E-2</v>
      </c>
      <c r="I201" s="3">
        <v>1</v>
      </c>
      <c r="J201" s="3">
        <v>0</v>
      </c>
      <c r="K201" s="3">
        <v>-0.24174688920761411</v>
      </c>
      <c r="L201" s="3">
        <v>0</v>
      </c>
      <c r="M201" s="3">
        <v>0</v>
      </c>
      <c r="N201" s="3">
        <v>0</v>
      </c>
      <c r="O201" s="3">
        <v>0.13011309616571129</v>
      </c>
      <c r="P201" t="s">
        <v>154</v>
      </c>
    </row>
    <row r="202" spans="1:16">
      <c r="A202" t="s">
        <v>150</v>
      </c>
      <c r="B202" t="s">
        <v>49</v>
      </c>
      <c r="C202" t="s">
        <v>115</v>
      </c>
      <c r="D202" t="s">
        <v>51</v>
      </c>
      <c r="E202" t="s">
        <v>52</v>
      </c>
      <c r="F202" s="2">
        <v>1</v>
      </c>
      <c r="G202" s="3">
        <v>3.4482758620689648E-2</v>
      </c>
      <c r="H202" s="3">
        <v>3.7037037037037028E-2</v>
      </c>
      <c r="I202" s="3">
        <v>1.074074074074074</v>
      </c>
      <c r="J202" s="3">
        <v>7.1428571428571397E-2</v>
      </c>
      <c r="K202" s="3">
        <v>0</v>
      </c>
      <c r="L202" s="3">
        <v>0</v>
      </c>
      <c r="M202" s="3">
        <v>0</v>
      </c>
      <c r="N202" s="3">
        <v>0</v>
      </c>
      <c r="O202" s="3">
        <v>0.5</v>
      </c>
      <c r="P202" t="s">
        <v>155</v>
      </c>
    </row>
    <row r="203" spans="1:16">
      <c r="A203" t="s">
        <v>150</v>
      </c>
      <c r="B203" t="s">
        <v>49</v>
      </c>
      <c r="C203" t="s">
        <v>115</v>
      </c>
      <c r="D203" t="s">
        <v>51</v>
      </c>
      <c r="E203" t="s">
        <v>54</v>
      </c>
      <c r="F203" s="2">
        <v>5</v>
      </c>
      <c r="G203" s="3">
        <v>0.17241379310344829</v>
      </c>
      <c r="H203" s="3">
        <v>0.16961904761904761</v>
      </c>
      <c r="I203" s="3">
        <v>0.9837904761904761</v>
      </c>
      <c r="J203" s="3">
        <v>0.375</v>
      </c>
      <c r="K203" s="3">
        <v>3.3333333333333333E-2</v>
      </c>
      <c r="L203" s="3">
        <v>0.2</v>
      </c>
      <c r="M203" s="3">
        <v>0.2</v>
      </c>
      <c r="N203" s="3">
        <v>0.2</v>
      </c>
      <c r="O203" s="3">
        <v>0.1753774006296252</v>
      </c>
      <c r="P203" t="s">
        <v>155</v>
      </c>
    </row>
    <row r="204" spans="1:16">
      <c r="A204" t="s">
        <v>150</v>
      </c>
      <c r="B204" t="s">
        <v>49</v>
      </c>
      <c r="C204" t="s">
        <v>115</v>
      </c>
      <c r="D204" t="s">
        <v>51</v>
      </c>
      <c r="E204" t="s">
        <v>55</v>
      </c>
      <c r="F204" s="2">
        <v>4</v>
      </c>
      <c r="G204" s="3">
        <v>0.13793103448275859</v>
      </c>
      <c r="H204" s="3">
        <v>0.51111111111111107</v>
      </c>
      <c r="I204" s="3">
        <v>3.7055555555555548</v>
      </c>
      <c r="J204" s="3">
        <v>0.90000000000000013</v>
      </c>
      <c r="K204" s="3">
        <v>0.47543554877497429</v>
      </c>
      <c r="L204" s="3">
        <v>0.65217391304347827</v>
      </c>
      <c r="M204" s="3">
        <v>0.42857142857142849</v>
      </c>
      <c r="N204" s="3">
        <v>0.75</v>
      </c>
      <c r="O204" s="3">
        <v>0.20573999808782209</v>
      </c>
      <c r="P204" t="s">
        <v>155</v>
      </c>
    </row>
    <row r="205" spans="1:16">
      <c r="A205" t="s">
        <v>150</v>
      </c>
      <c r="B205" t="s">
        <v>49</v>
      </c>
      <c r="C205" t="s">
        <v>115</v>
      </c>
      <c r="D205" t="s">
        <v>51</v>
      </c>
      <c r="E205" t="s">
        <v>56</v>
      </c>
      <c r="F205" s="2">
        <v>2</v>
      </c>
      <c r="G205" s="3">
        <v>6.8965517241379309E-2</v>
      </c>
      <c r="H205" s="3">
        <v>0.1964285714285714</v>
      </c>
      <c r="I205" s="3">
        <v>2.848214285714286</v>
      </c>
      <c r="J205" s="3">
        <v>0.72222222222222221</v>
      </c>
      <c r="K205" s="3">
        <v>0</v>
      </c>
      <c r="L205" s="3">
        <v>0</v>
      </c>
      <c r="M205" s="3">
        <v>0</v>
      </c>
      <c r="N205" s="3">
        <v>0</v>
      </c>
      <c r="O205" s="3">
        <v>0.5</v>
      </c>
      <c r="P205" t="s">
        <v>155</v>
      </c>
    </row>
    <row r="206" spans="1:16">
      <c r="A206" t="s">
        <v>150</v>
      </c>
      <c r="B206" t="s">
        <v>49</v>
      </c>
      <c r="C206" t="s">
        <v>115</v>
      </c>
      <c r="D206" t="s">
        <v>51</v>
      </c>
      <c r="E206" t="s">
        <v>57</v>
      </c>
      <c r="F206" s="2">
        <v>1</v>
      </c>
      <c r="G206" s="3">
        <v>3.4482758620689648E-2</v>
      </c>
      <c r="H206" s="3">
        <v>1</v>
      </c>
      <c r="I206" s="3">
        <v>29</v>
      </c>
      <c r="J206" s="3">
        <v>1</v>
      </c>
      <c r="K206" s="3">
        <v>0.20965696734438369</v>
      </c>
      <c r="L206" s="3">
        <v>0.29411764705882348</v>
      </c>
      <c r="M206" s="3">
        <v>7.6923076923076927E-2</v>
      </c>
      <c r="N206" s="3">
        <v>1</v>
      </c>
      <c r="O206" s="3">
        <v>8.350144143530179E-2</v>
      </c>
      <c r="P206" t="s">
        <v>155</v>
      </c>
    </row>
    <row r="207" spans="1:16">
      <c r="A207" t="s">
        <v>150</v>
      </c>
      <c r="B207" t="s">
        <v>49</v>
      </c>
      <c r="C207" t="s">
        <v>117</v>
      </c>
      <c r="D207" t="s">
        <v>51</v>
      </c>
      <c r="E207" t="s">
        <v>52</v>
      </c>
      <c r="F207" s="2">
        <v>1</v>
      </c>
      <c r="G207" s="3">
        <v>3.4482758620689648E-2</v>
      </c>
      <c r="H207" s="3">
        <v>0.25</v>
      </c>
      <c r="I207" s="3">
        <v>7.25</v>
      </c>
      <c r="J207" s="3">
        <v>0.8928571428571429</v>
      </c>
      <c r="K207" s="3">
        <v>0</v>
      </c>
      <c r="L207" s="3">
        <v>0</v>
      </c>
      <c r="M207" s="3">
        <v>0</v>
      </c>
      <c r="N207" s="3">
        <v>0</v>
      </c>
      <c r="O207" s="3">
        <v>0.5</v>
      </c>
      <c r="P207" t="s">
        <v>156</v>
      </c>
    </row>
    <row r="208" spans="1:16">
      <c r="A208" t="s">
        <v>150</v>
      </c>
      <c r="B208" t="s">
        <v>49</v>
      </c>
      <c r="C208" t="s">
        <v>117</v>
      </c>
      <c r="D208" t="s">
        <v>51</v>
      </c>
      <c r="E208" t="s">
        <v>54</v>
      </c>
      <c r="F208" s="2">
        <v>5</v>
      </c>
      <c r="G208" s="3">
        <v>0.17241379310344829</v>
      </c>
      <c r="H208" s="3">
        <v>0.18059764309764309</v>
      </c>
      <c r="I208" s="3">
        <v>1.04746632996633</v>
      </c>
      <c r="J208" s="3">
        <v>0.44166666666666671</v>
      </c>
      <c r="K208" s="3">
        <v>-0.1242259987499883</v>
      </c>
      <c r="L208" s="3">
        <v>0</v>
      </c>
      <c r="M208" s="3">
        <v>0</v>
      </c>
      <c r="N208" s="3">
        <v>0</v>
      </c>
      <c r="O208" s="3">
        <v>0.69761516387738187</v>
      </c>
      <c r="P208" t="s">
        <v>156</v>
      </c>
    </row>
    <row r="209" spans="1:16">
      <c r="A209" t="s">
        <v>150</v>
      </c>
      <c r="B209" t="s">
        <v>49</v>
      </c>
      <c r="C209" t="s">
        <v>117</v>
      </c>
      <c r="D209" t="s">
        <v>51</v>
      </c>
      <c r="E209" t="s">
        <v>55</v>
      </c>
      <c r="F209" s="2">
        <v>4</v>
      </c>
      <c r="G209" s="3">
        <v>0.13793103448275859</v>
      </c>
      <c r="H209" s="3">
        <v>0.39481351981351981</v>
      </c>
      <c r="I209" s="3">
        <v>2.862398018648018</v>
      </c>
      <c r="J209" s="3">
        <v>0.62</v>
      </c>
      <c r="K209" s="3">
        <v>0.24268133584853771</v>
      </c>
      <c r="L209" s="3">
        <v>0.51724137931034486</v>
      </c>
      <c r="M209" s="3">
        <v>0.23076923076923081</v>
      </c>
      <c r="N209" s="3">
        <v>0.75</v>
      </c>
      <c r="O209" s="3">
        <v>1.87843300158804E-2</v>
      </c>
      <c r="P209" t="s">
        <v>156</v>
      </c>
    </row>
    <row r="210" spans="1:16">
      <c r="A210" t="s">
        <v>150</v>
      </c>
      <c r="B210" t="s">
        <v>49</v>
      </c>
      <c r="C210" t="s">
        <v>117</v>
      </c>
      <c r="D210" t="s">
        <v>51</v>
      </c>
      <c r="E210" t="s">
        <v>56</v>
      </c>
      <c r="F210" s="2">
        <v>2</v>
      </c>
      <c r="G210" s="3">
        <v>6.8965517241379309E-2</v>
      </c>
      <c r="H210" s="3">
        <v>0.1083333333333333</v>
      </c>
      <c r="I210" s="3">
        <v>1.5708333333333331</v>
      </c>
      <c r="J210" s="3">
        <v>0.55555555555555558</v>
      </c>
      <c r="K210" s="3">
        <v>-5.1434449987363969E-2</v>
      </c>
      <c r="L210" s="3">
        <v>0</v>
      </c>
      <c r="M210" s="3">
        <v>0</v>
      </c>
      <c r="N210" s="3">
        <v>0</v>
      </c>
      <c r="O210" s="3">
        <v>0.5</v>
      </c>
      <c r="P210" t="s">
        <v>156</v>
      </c>
    </row>
    <row r="211" spans="1:16">
      <c r="A211" t="s">
        <v>150</v>
      </c>
      <c r="B211" t="s">
        <v>49</v>
      </c>
      <c r="C211" t="s">
        <v>117</v>
      </c>
      <c r="D211" t="s">
        <v>51</v>
      </c>
      <c r="E211" t="s">
        <v>57</v>
      </c>
      <c r="F211" s="2">
        <v>1</v>
      </c>
      <c r="G211" s="3">
        <v>3.4482758620689648E-2</v>
      </c>
      <c r="H211" s="3">
        <v>3.4482758620689648E-2</v>
      </c>
      <c r="I211" s="3">
        <v>1</v>
      </c>
      <c r="J211" s="3">
        <v>0</v>
      </c>
      <c r="K211" s="3">
        <v>0</v>
      </c>
      <c r="L211" s="3">
        <v>0.15151515151515149</v>
      </c>
      <c r="M211" s="3">
        <v>3.4482758620689648E-2</v>
      </c>
      <c r="N211" s="3">
        <v>1</v>
      </c>
      <c r="O211" s="3">
        <v>2.0443497691303488E-3</v>
      </c>
      <c r="P211" t="s">
        <v>156</v>
      </c>
    </row>
    <row r="212" spans="1:16">
      <c r="A212" t="s">
        <v>150</v>
      </c>
      <c r="B212" t="s">
        <v>68</v>
      </c>
      <c r="C212" t="s">
        <v>108</v>
      </c>
      <c r="D212" t="s">
        <v>51</v>
      </c>
      <c r="E212" t="s">
        <v>52</v>
      </c>
      <c r="F212" s="2">
        <v>1</v>
      </c>
      <c r="G212" s="3">
        <v>3.4482758620689648E-2</v>
      </c>
      <c r="H212" s="3">
        <v>1</v>
      </c>
      <c r="I212" s="3">
        <v>29</v>
      </c>
      <c r="J212" s="3">
        <v>1</v>
      </c>
      <c r="K212" s="3">
        <v>1</v>
      </c>
      <c r="L212" s="3">
        <v>1</v>
      </c>
      <c r="M212" s="3">
        <v>1</v>
      </c>
      <c r="N212" s="3">
        <v>1</v>
      </c>
      <c r="O212" s="3">
        <v>0.5</v>
      </c>
      <c r="P212" t="s">
        <v>157</v>
      </c>
    </row>
    <row r="213" spans="1:16">
      <c r="A213" t="s">
        <v>150</v>
      </c>
      <c r="B213" t="s">
        <v>68</v>
      </c>
      <c r="C213" t="s">
        <v>108</v>
      </c>
      <c r="D213" t="s">
        <v>51</v>
      </c>
      <c r="E213" t="s">
        <v>54</v>
      </c>
      <c r="F213" s="2">
        <v>5</v>
      </c>
      <c r="G213" s="3">
        <v>0.17241379310344829</v>
      </c>
      <c r="H213" s="3">
        <v>0.2163636363636364</v>
      </c>
      <c r="I213" s="3">
        <v>1.254909090909091</v>
      </c>
      <c r="J213" s="3">
        <v>0.53333333333333333</v>
      </c>
      <c r="K213" s="3">
        <v>-8.6258194917794281E-2</v>
      </c>
      <c r="L213" s="3">
        <v>0</v>
      </c>
      <c r="M213" s="3">
        <v>0</v>
      </c>
      <c r="N213" s="3">
        <v>0</v>
      </c>
      <c r="O213" s="3">
        <v>7.0213077409588903E-2</v>
      </c>
      <c r="P213" t="s">
        <v>157</v>
      </c>
    </row>
    <row r="214" spans="1:16">
      <c r="A214" t="s">
        <v>150</v>
      </c>
      <c r="B214" t="s">
        <v>68</v>
      </c>
      <c r="C214" t="s">
        <v>108</v>
      </c>
      <c r="D214" t="s">
        <v>51</v>
      </c>
      <c r="E214" t="s">
        <v>55</v>
      </c>
      <c r="F214" s="2">
        <v>4</v>
      </c>
      <c r="G214" s="3">
        <v>0.13793103448275859</v>
      </c>
      <c r="H214" s="3">
        <v>1</v>
      </c>
      <c r="I214" s="3">
        <v>7.25</v>
      </c>
      <c r="J214" s="3">
        <v>1</v>
      </c>
      <c r="K214" s="3">
        <v>0.8763560920082657</v>
      </c>
      <c r="L214" s="3">
        <v>0.95238095238095233</v>
      </c>
      <c r="M214" s="3">
        <v>0.8</v>
      </c>
      <c r="N214" s="3">
        <v>1</v>
      </c>
      <c r="O214" s="3">
        <v>0.4135681314400696</v>
      </c>
      <c r="P214" t="s">
        <v>157</v>
      </c>
    </row>
    <row r="215" spans="1:16">
      <c r="A215" t="s">
        <v>150</v>
      </c>
      <c r="B215" t="s">
        <v>68</v>
      </c>
      <c r="C215" t="s">
        <v>108</v>
      </c>
      <c r="D215" t="s">
        <v>51</v>
      </c>
      <c r="E215" t="s">
        <v>56</v>
      </c>
      <c r="F215" s="2">
        <v>2</v>
      </c>
      <c r="G215" s="3">
        <v>6.8965517241379309E-2</v>
      </c>
      <c r="H215" s="3">
        <v>0.17261904761904759</v>
      </c>
      <c r="I215" s="3">
        <v>2.5029761904761911</v>
      </c>
      <c r="J215" s="3">
        <v>0.59259259259259256</v>
      </c>
      <c r="K215" s="3">
        <v>-5.1434449987363969E-2</v>
      </c>
      <c r="L215" s="3">
        <v>0</v>
      </c>
      <c r="M215" s="3">
        <v>0</v>
      </c>
      <c r="N215" s="3">
        <v>0</v>
      </c>
      <c r="O215" s="3">
        <v>0.5</v>
      </c>
      <c r="P215" t="s">
        <v>157</v>
      </c>
    </row>
    <row r="216" spans="1:16">
      <c r="A216" t="s">
        <v>150</v>
      </c>
      <c r="B216" t="s">
        <v>68</v>
      </c>
      <c r="C216" t="s">
        <v>108</v>
      </c>
      <c r="D216" t="s">
        <v>51</v>
      </c>
      <c r="E216" t="s">
        <v>57</v>
      </c>
      <c r="F216" s="2">
        <v>1</v>
      </c>
      <c r="G216" s="3">
        <v>3.4482758620689648E-2</v>
      </c>
      <c r="H216" s="3">
        <v>0.2</v>
      </c>
      <c r="I216" s="3">
        <v>5.8000000000000007</v>
      </c>
      <c r="J216" s="3">
        <v>0.85714285714285721</v>
      </c>
      <c r="K216" s="3">
        <v>-7.5592894601845442E-2</v>
      </c>
      <c r="L216" s="3">
        <v>0</v>
      </c>
      <c r="M216" s="3">
        <v>0</v>
      </c>
      <c r="N216" s="3">
        <v>0</v>
      </c>
      <c r="O216" s="3">
        <v>1.554385678043963E-2</v>
      </c>
      <c r="P216" t="s">
        <v>157</v>
      </c>
    </row>
    <row r="217" spans="1:16">
      <c r="A217" t="s">
        <v>150</v>
      </c>
      <c r="B217" t="s">
        <v>68</v>
      </c>
      <c r="C217" t="s">
        <v>110</v>
      </c>
      <c r="D217" t="s">
        <v>51</v>
      </c>
      <c r="E217" t="s">
        <v>52</v>
      </c>
      <c r="F217" s="2">
        <v>1</v>
      </c>
      <c r="G217" s="3">
        <v>3.4482758620689648E-2</v>
      </c>
      <c r="H217" s="3">
        <v>1</v>
      </c>
      <c r="I217" s="3">
        <v>29</v>
      </c>
      <c r="J217" s="3">
        <v>1</v>
      </c>
      <c r="K217" s="3">
        <v>0</v>
      </c>
      <c r="L217" s="3">
        <v>0</v>
      </c>
      <c r="M217" s="3">
        <v>0</v>
      </c>
      <c r="N217" s="3">
        <v>0</v>
      </c>
      <c r="O217" s="3">
        <v>0.5</v>
      </c>
      <c r="P217" t="s">
        <v>158</v>
      </c>
    </row>
    <row r="218" spans="1:16">
      <c r="A218" t="s">
        <v>150</v>
      </c>
      <c r="B218" t="s">
        <v>68</v>
      </c>
      <c r="C218" t="s">
        <v>110</v>
      </c>
      <c r="D218" t="s">
        <v>51</v>
      </c>
      <c r="E218" t="s">
        <v>54</v>
      </c>
      <c r="F218" s="2">
        <v>5</v>
      </c>
      <c r="G218" s="3">
        <v>0.17241379310344829</v>
      </c>
      <c r="H218" s="3">
        <v>0.23793103448275871</v>
      </c>
      <c r="I218" s="3">
        <v>1.38</v>
      </c>
      <c r="J218" s="3">
        <v>0.55833333333333324</v>
      </c>
      <c r="K218" s="3">
        <v>0.1447071903540765</v>
      </c>
      <c r="L218" s="3">
        <v>0.21739130434782611</v>
      </c>
      <c r="M218" s="3">
        <v>0.33333333333333331</v>
      </c>
      <c r="N218" s="3">
        <v>0.2</v>
      </c>
      <c r="O218" s="3">
        <v>0.17573366089272149</v>
      </c>
      <c r="P218" t="s">
        <v>158</v>
      </c>
    </row>
    <row r="219" spans="1:16">
      <c r="A219" t="s">
        <v>150</v>
      </c>
      <c r="B219" t="s">
        <v>68</v>
      </c>
      <c r="C219" t="s">
        <v>110</v>
      </c>
      <c r="D219" t="s">
        <v>51</v>
      </c>
      <c r="E219" t="s">
        <v>55</v>
      </c>
      <c r="F219" s="2">
        <v>4</v>
      </c>
      <c r="G219" s="3">
        <v>0.13793103448275859</v>
      </c>
      <c r="H219" s="3">
        <v>0.95</v>
      </c>
      <c r="I219" s="3">
        <v>6.8875000000000002</v>
      </c>
      <c r="J219" s="3">
        <v>0.99</v>
      </c>
      <c r="K219" s="3">
        <v>0.78315600829804877</v>
      </c>
      <c r="L219" s="3">
        <v>0.90909090909090906</v>
      </c>
      <c r="M219" s="3">
        <v>0.66666666666666663</v>
      </c>
      <c r="N219" s="3">
        <v>1</v>
      </c>
      <c r="O219" s="3">
        <v>0.39695010713517959</v>
      </c>
      <c r="P219" t="s">
        <v>158</v>
      </c>
    </row>
    <row r="220" spans="1:16">
      <c r="A220" t="s">
        <v>150</v>
      </c>
      <c r="B220" t="s">
        <v>68</v>
      </c>
      <c r="C220" t="s">
        <v>110</v>
      </c>
      <c r="D220" t="s">
        <v>51</v>
      </c>
      <c r="E220" t="s">
        <v>56</v>
      </c>
      <c r="F220" s="2">
        <v>2</v>
      </c>
      <c r="G220" s="3">
        <v>6.8965517241379309E-2</v>
      </c>
      <c r="H220" s="3">
        <v>6.8965517241379309E-2</v>
      </c>
      <c r="I220" s="3">
        <v>1</v>
      </c>
      <c r="J220" s="3">
        <v>0.5</v>
      </c>
      <c r="K220" s="3">
        <v>0</v>
      </c>
      <c r="L220" s="3">
        <v>0</v>
      </c>
      <c r="M220" s="3">
        <v>0</v>
      </c>
      <c r="N220" s="3">
        <v>0</v>
      </c>
      <c r="O220" s="3">
        <v>0.5</v>
      </c>
      <c r="P220" t="s">
        <v>158</v>
      </c>
    </row>
    <row r="221" spans="1:16">
      <c r="A221" t="s">
        <v>150</v>
      </c>
      <c r="B221" t="s">
        <v>68</v>
      </c>
      <c r="C221" t="s">
        <v>110</v>
      </c>
      <c r="D221" t="s">
        <v>51</v>
      </c>
      <c r="E221" t="s">
        <v>57</v>
      </c>
      <c r="F221" s="2">
        <v>1</v>
      </c>
      <c r="G221" s="3">
        <v>3.4482758620689648E-2</v>
      </c>
      <c r="H221" s="3">
        <v>0.125</v>
      </c>
      <c r="I221" s="3">
        <v>3.625</v>
      </c>
      <c r="J221" s="3">
        <v>0.75</v>
      </c>
      <c r="K221" s="3">
        <v>0</v>
      </c>
      <c r="L221" s="3">
        <v>0</v>
      </c>
      <c r="M221" s="3">
        <v>0</v>
      </c>
      <c r="N221" s="3">
        <v>0</v>
      </c>
      <c r="O221" s="3">
        <v>0.39315047126416691</v>
      </c>
      <c r="P221" t="s">
        <v>158</v>
      </c>
    </row>
    <row r="222" spans="1:16">
      <c r="A222" t="s">
        <v>150</v>
      </c>
      <c r="B222" t="s">
        <v>68</v>
      </c>
      <c r="C222" t="s">
        <v>112</v>
      </c>
      <c r="D222" t="s">
        <v>51</v>
      </c>
      <c r="E222" t="s">
        <v>52</v>
      </c>
      <c r="F222" s="2">
        <v>1</v>
      </c>
      <c r="G222" s="3">
        <v>3.4482758620689648E-2</v>
      </c>
      <c r="H222" s="3">
        <v>0.125</v>
      </c>
      <c r="I222" s="3">
        <v>3.625</v>
      </c>
      <c r="J222" s="3">
        <v>0.75</v>
      </c>
      <c r="K222" s="3">
        <v>-3.5714285714285712E-2</v>
      </c>
      <c r="L222" s="3">
        <v>0</v>
      </c>
      <c r="M222" s="3">
        <v>0</v>
      </c>
      <c r="N222" s="3">
        <v>0</v>
      </c>
      <c r="O222" s="3">
        <v>0.5</v>
      </c>
      <c r="P222" t="s">
        <v>159</v>
      </c>
    </row>
    <row r="223" spans="1:16">
      <c r="A223" t="s">
        <v>150</v>
      </c>
      <c r="B223" t="s">
        <v>68</v>
      </c>
      <c r="C223" t="s">
        <v>112</v>
      </c>
      <c r="D223" t="s">
        <v>51</v>
      </c>
      <c r="E223" t="s">
        <v>54</v>
      </c>
      <c r="F223" s="2">
        <v>5</v>
      </c>
      <c r="G223" s="3">
        <v>0.17241379310344829</v>
      </c>
      <c r="H223" s="3">
        <v>0.67513227513227514</v>
      </c>
      <c r="I223" s="3">
        <v>3.915767195767196</v>
      </c>
      <c r="J223" s="3">
        <v>0.67499999999999993</v>
      </c>
      <c r="K223" s="3">
        <v>0.74420840753525075</v>
      </c>
      <c r="L223" s="3">
        <v>0.65217391304347827</v>
      </c>
      <c r="M223" s="3">
        <v>1</v>
      </c>
      <c r="N223" s="3">
        <v>0.6</v>
      </c>
      <c r="O223" s="3">
        <v>0.2865954550716992</v>
      </c>
      <c r="P223" t="s">
        <v>159</v>
      </c>
    </row>
    <row r="224" spans="1:16">
      <c r="A224" t="s">
        <v>150</v>
      </c>
      <c r="B224" t="s">
        <v>68</v>
      </c>
      <c r="C224" t="s">
        <v>112</v>
      </c>
      <c r="D224" t="s">
        <v>51</v>
      </c>
      <c r="E224" t="s">
        <v>55</v>
      </c>
      <c r="F224" s="2">
        <v>4</v>
      </c>
      <c r="G224" s="3">
        <v>0.13793103448275859</v>
      </c>
      <c r="H224" s="3">
        <v>0.50119047619047619</v>
      </c>
      <c r="I224" s="3">
        <v>3.633630952380952</v>
      </c>
      <c r="J224" s="3">
        <v>0.91</v>
      </c>
      <c r="K224" s="3">
        <v>0.59628479399994394</v>
      </c>
      <c r="L224" s="3">
        <v>0.8</v>
      </c>
      <c r="M224" s="3">
        <v>0.44444444444444442</v>
      </c>
      <c r="N224" s="3">
        <v>1</v>
      </c>
      <c r="O224" s="3">
        <v>0.1782668854057898</v>
      </c>
      <c r="P224" t="s">
        <v>159</v>
      </c>
    </row>
    <row r="225" spans="1:16">
      <c r="A225" t="s">
        <v>150</v>
      </c>
      <c r="B225" t="s">
        <v>68</v>
      </c>
      <c r="C225" t="s">
        <v>112</v>
      </c>
      <c r="D225" t="s">
        <v>51</v>
      </c>
      <c r="E225" t="s">
        <v>56</v>
      </c>
      <c r="F225" s="2">
        <v>2</v>
      </c>
      <c r="G225" s="3">
        <v>6.8965517241379309E-2</v>
      </c>
      <c r="H225" s="3">
        <v>0.14646464646464649</v>
      </c>
      <c r="I225" s="3">
        <v>2.1237373737373741</v>
      </c>
      <c r="J225" s="3">
        <v>0.68518518518518523</v>
      </c>
      <c r="K225" s="3">
        <v>0</v>
      </c>
      <c r="L225" s="3">
        <v>0</v>
      </c>
      <c r="M225" s="3">
        <v>0</v>
      </c>
      <c r="N225" s="3">
        <v>0</v>
      </c>
      <c r="O225" s="3">
        <v>0.5</v>
      </c>
      <c r="P225" t="s">
        <v>159</v>
      </c>
    </row>
    <row r="226" spans="1:16">
      <c r="A226" t="s">
        <v>150</v>
      </c>
      <c r="B226" t="s">
        <v>68</v>
      </c>
      <c r="C226" t="s">
        <v>112</v>
      </c>
      <c r="D226" t="s">
        <v>51</v>
      </c>
      <c r="E226" t="s">
        <v>57</v>
      </c>
      <c r="F226" s="2">
        <v>1</v>
      </c>
      <c r="G226" s="3">
        <v>3.4482758620689648E-2</v>
      </c>
      <c r="H226" s="3">
        <v>5.2631578947368418E-2</v>
      </c>
      <c r="I226" s="3">
        <v>1.5263157894736841</v>
      </c>
      <c r="J226" s="3">
        <v>0.3571428571428571</v>
      </c>
      <c r="K226" s="3">
        <v>-0.1371021242767704</v>
      </c>
      <c r="L226" s="3">
        <v>0</v>
      </c>
      <c r="M226" s="3">
        <v>0</v>
      </c>
      <c r="N226" s="3">
        <v>0</v>
      </c>
      <c r="O226" s="3">
        <v>0.1011636636593909</v>
      </c>
      <c r="P226" t="s">
        <v>159</v>
      </c>
    </row>
    <row r="227" spans="1:16">
      <c r="A227" t="s">
        <v>150</v>
      </c>
      <c r="B227" t="s">
        <v>68</v>
      </c>
      <c r="C227" t="s">
        <v>66</v>
      </c>
      <c r="D227" t="s">
        <v>51</v>
      </c>
      <c r="E227" t="s">
        <v>52</v>
      </c>
      <c r="F227" s="2">
        <v>1</v>
      </c>
      <c r="G227" s="3">
        <v>3.4482758620689648E-2</v>
      </c>
      <c r="H227" s="3">
        <v>0.5</v>
      </c>
      <c r="I227" s="3">
        <v>14.5</v>
      </c>
      <c r="J227" s="3">
        <v>0.9642857142857143</v>
      </c>
      <c r="K227" s="3">
        <v>0</v>
      </c>
      <c r="L227" s="3">
        <v>0</v>
      </c>
      <c r="M227" s="3">
        <v>0</v>
      </c>
      <c r="N227" s="3">
        <v>0</v>
      </c>
      <c r="O227" s="3">
        <v>0.5</v>
      </c>
      <c r="P227" t="s">
        <v>160</v>
      </c>
    </row>
    <row r="228" spans="1:16">
      <c r="A228" t="s">
        <v>150</v>
      </c>
      <c r="B228" t="s">
        <v>68</v>
      </c>
      <c r="C228" t="s">
        <v>66</v>
      </c>
      <c r="D228" t="s">
        <v>51</v>
      </c>
      <c r="E228" t="s">
        <v>54</v>
      </c>
      <c r="F228" s="2">
        <v>5</v>
      </c>
      <c r="G228" s="3">
        <v>0.17241379310344829</v>
      </c>
      <c r="H228" s="3">
        <v>0.75952380952380949</v>
      </c>
      <c r="I228" s="3">
        <v>4.4052380952380954</v>
      </c>
      <c r="J228" s="3">
        <v>0.95</v>
      </c>
      <c r="K228" s="3">
        <v>0.23602939762497779</v>
      </c>
      <c r="L228" s="3">
        <v>0.22727272727272729</v>
      </c>
      <c r="M228" s="3">
        <v>0.5</v>
      </c>
      <c r="N228" s="3">
        <v>0.2</v>
      </c>
      <c r="O228" s="3">
        <v>0.34766497057094492</v>
      </c>
      <c r="P228" t="s">
        <v>160</v>
      </c>
    </row>
    <row r="229" spans="1:16">
      <c r="A229" t="s">
        <v>150</v>
      </c>
      <c r="B229" t="s">
        <v>68</v>
      </c>
      <c r="C229" t="s">
        <v>66</v>
      </c>
      <c r="D229" t="s">
        <v>51</v>
      </c>
      <c r="E229" t="s">
        <v>55</v>
      </c>
      <c r="F229" s="2">
        <v>4</v>
      </c>
      <c r="G229" s="3">
        <v>0.13793103448275859</v>
      </c>
      <c r="H229" s="3">
        <v>0.81666666666666665</v>
      </c>
      <c r="I229" s="3">
        <v>5.9208333333333334</v>
      </c>
      <c r="J229" s="3">
        <v>0.96000000000000008</v>
      </c>
      <c r="K229" s="3">
        <v>0.70912420834233469</v>
      </c>
      <c r="L229" s="3">
        <v>0.86956521739130432</v>
      </c>
      <c r="M229" s="3">
        <v>0.5714285714285714</v>
      </c>
      <c r="N229" s="3">
        <v>1</v>
      </c>
      <c r="O229" s="3">
        <v>0.28104497914460669</v>
      </c>
      <c r="P229" t="s">
        <v>160</v>
      </c>
    </row>
    <row r="230" spans="1:16">
      <c r="A230" t="s">
        <v>150</v>
      </c>
      <c r="B230" t="s">
        <v>68</v>
      </c>
      <c r="C230" t="s">
        <v>66</v>
      </c>
      <c r="D230" t="s">
        <v>51</v>
      </c>
      <c r="E230" t="s">
        <v>56</v>
      </c>
      <c r="F230" s="2">
        <v>2</v>
      </c>
      <c r="G230" s="3">
        <v>6.8965517241379309E-2</v>
      </c>
      <c r="H230" s="3">
        <v>0.28999999999999998</v>
      </c>
      <c r="I230" s="3">
        <v>4.2050000000000001</v>
      </c>
      <c r="J230" s="3">
        <v>0.55555555555555558</v>
      </c>
      <c r="K230" s="3">
        <v>0</v>
      </c>
      <c r="L230" s="3">
        <v>0</v>
      </c>
      <c r="M230" s="3">
        <v>0</v>
      </c>
      <c r="N230" s="3">
        <v>0</v>
      </c>
      <c r="O230" s="3">
        <v>0.5</v>
      </c>
      <c r="P230" t="s">
        <v>160</v>
      </c>
    </row>
    <row r="231" spans="1:16">
      <c r="A231" t="s">
        <v>150</v>
      </c>
      <c r="B231" t="s">
        <v>68</v>
      </c>
      <c r="C231" t="s">
        <v>66</v>
      </c>
      <c r="D231" t="s">
        <v>51</v>
      </c>
      <c r="E231" t="s">
        <v>57</v>
      </c>
      <c r="F231" s="2">
        <v>1</v>
      </c>
      <c r="G231" s="3">
        <v>3.4482758620689648E-2</v>
      </c>
      <c r="H231" s="3">
        <v>0.5</v>
      </c>
      <c r="I231" s="3">
        <v>14.5</v>
      </c>
      <c r="J231" s="3">
        <v>0.9642857142857143</v>
      </c>
      <c r="K231" s="3">
        <v>0.47245559126153402</v>
      </c>
      <c r="L231" s="3">
        <v>0.625</v>
      </c>
      <c r="M231" s="3">
        <v>0.25</v>
      </c>
      <c r="N231" s="3">
        <v>1</v>
      </c>
      <c r="O231" s="3">
        <v>0.1908515506070462</v>
      </c>
      <c r="P231" t="s">
        <v>160</v>
      </c>
    </row>
    <row r="232" spans="1:16">
      <c r="A232" t="s">
        <v>150</v>
      </c>
      <c r="B232" t="s">
        <v>68</v>
      </c>
      <c r="C232" t="s">
        <v>115</v>
      </c>
      <c r="D232" t="s">
        <v>51</v>
      </c>
      <c r="E232" t="s">
        <v>52</v>
      </c>
      <c r="F232" s="2">
        <v>1</v>
      </c>
      <c r="G232" s="3">
        <v>3.4482758620689648E-2</v>
      </c>
      <c r="H232" s="3">
        <v>1</v>
      </c>
      <c r="I232" s="3">
        <v>29</v>
      </c>
      <c r="J232" s="3">
        <v>1</v>
      </c>
      <c r="K232" s="3">
        <v>0</v>
      </c>
      <c r="L232" s="3">
        <v>0</v>
      </c>
      <c r="M232" s="3">
        <v>0</v>
      </c>
      <c r="N232" s="3">
        <v>0</v>
      </c>
      <c r="O232" s="3">
        <v>0.5</v>
      </c>
      <c r="P232" t="s">
        <v>161</v>
      </c>
    </row>
    <row r="233" spans="1:16">
      <c r="A233" t="s">
        <v>150</v>
      </c>
      <c r="B233" t="s">
        <v>68</v>
      </c>
      <c r="C233" t="s">
        <v>115</v>
      </c>
      <c r="D233" t="s">
        <v>51</v>
      </c>
      <c r="E233" t="s">
        <v>54</v>
      </c>
      <c r="F233" s="2">
        <v>5</v>
      </c>
      <c r="G233" s="3">
        <v>0.17241379310344829</v>
      </c>
      <c r="H233" s="3">
        <v>0.77692307692307683</v>
      </c>
      <c r="I233" s="3">
        <v>4.5061538461538451</v>
      </c>
      <c r="J233" s="3">
        <v>0.91250000000000009</v>
      </c>
      <c r="K233" s="3">
        <v>0</v>
      </c>
      <c r="L233" s="3">
        <v>0</v>
      </c>
      <c r="M233" s="3">
        <v>0</v>
      </c>
      <c r="N233" s="3">
        <v>0</v>
      </c>
      <c r="O233" s="3">
        <v>0.22070942621070869</v>
      </c>
      <c r="P233" t="s">
        <v>161</v>
      </c>
    </row>
    <row r="234" spans="1:16">
      <c r="A234" t="s">
        <v>150</v>
      </c>
      <c r="B234" t="s">
        <v>68</v>
      </c>
      <c r="C234" t="s">
        <v>115</v>
      </c>
      <c r="D234" t="s">
        <v>51</v>
      </c>
      <c r="E234" t="s">
        <v>55</v>
      </c>
      <c r="F234" s="2">
        <v>4</v>
      </c>
      <c r="G234" s="3">
        <v>0.13793103448275859</v>
      </c>
      <c r="H234" s="3">
        <v>1</v>
      </c>
      <c r="I234" s="3">
        <v>7.25</v>
      </c>
      <c r="J234" s="3">
        <v>1</v>
      </c>
      <c r="K234" s="3">
        <v>0.8763560920082657</v>
      </c>
      <c r="L234" s="3">
        <v>0.95238095238095233</v>
      </c>
      <c r="M234" s="3">
        <v>0.8</v>
      </c>
      <c r="N234" s="3">
        <v>1</v>
      </c>
      <c r="O234" s="3">
        <v>0.11618362382250361</v>
      </c>
      <c r="P234" t="s">
        <v>161</v>
      </c>
    </row>
    <row r="235" spans="1:16">
      <c r="A235" t="s">
        <v>150</v>
      </c>
      <c r="B235" t="s">
        <v>68</v>
      </c>
      <c r="C235" t="s">
        <v>115</v>
      </c>
      <c r="D235" t="s">
        <v>51</v>
      </c>
      <c r="E235" t="s">
        <v>56</v>
      </c>
      <c r="F235" s="2">
        <v>2</v>
      </c>
      <c r="G235" s="3">
        <v>6.8965517241379309E-2</v>
      </c>
      <c r="H235" s="3">
        <v>7.7380952380952384E-2</v>
      </c>
      <c r="I235" s="3">
        <v>1.12202380952381</v>
      </c>
      <c r="J235" s="3">
        <v>0.31481481481481488</v>
      </c>
      <c r="K235" s="3">
        <v>0</v>
      </c>
      <c r="L235" s="3">
        <v>0</v>
      </c>
      <c r="M235" s="3">
        <v>0</v>
      </c>
      <c r="N235" s="3">
        <v>0</v>
      </c>
      <c r="O235" s="3">
        <v>0.5</v>
      </c>
      <c r="P235" t="s">
        <v>161</v>
      </c>
    </row>
    <row r="236" spans="1:16">
      <c r="A236" t="s">
        <v>150</v>
      </c>
      <c r="B236" t="s">
        <v>68</v>
      </c>
      <c r="C236" t="s">
        <v>115</v>
      </c>
      <c r="D236" t="s">
        <v>51</v>
      </c>
      <c r="E236" t="s">
        <v>57</v>
      </c>
      <c r="F236" s="2">
        <v>1</v>
      </c>
      <c r="G236" s="3">
        <v>3.4482758620689648E-2</v>
      </c>
      <c r="H236" s="3">
        <v>3.7037037037037028E-2</v>
      </c>
      <c r="I236" s="3">
        <v>1.074074074074074</v>
      </c>
      <c r="J236" s="3">
        <v>7.1428571428571397E-2</v>
      </c>
      <c r="K236" s="3">
        <v>-7.5592894601845442E-2</v>
      </c>
      <c r="L236" s="3">
        <v>0</v>
      </c>
      <c r="M236" s="3">
        <v>0</v>
      </c>
      <c r="N236" s="3">
        <v>0</v>
      </c>
      <c r="O236" s="3">
        <v>7.5871551846505167E-2</v>
      </c>
      <c r="P236" t="s">
        <v>161</v>
      </c>
    </row>
    <row r="237" spans="1:16">
      <c r="A237" t="s">
        <v>150</v>
      </c>
      <c r="B237" t="s">
        <v>68</v>
      </c>
      <c r="C237" t="s">
        <v>117</v>
      </c>
      <c r="D237" t="s">
        <v>51</v>
      </c>
      <c r="E237" t="s">
        <v>52</v>
      </c>
      <c r="F237" s="2">
        <v>1</v>
      </c>
      <c r="G237" s="3">
        <v>3.4482758620689648E-2</v>
      </c>
      <c r="H237" s="3">
        <v>1</v>
      </c>
      <c r="I237" s="3">
        <v>29</v>
      </c>
      <c r="J237" s="3">
        <v>1</v>
      </c>
      <c r="K237" s="3">
        <v>0.69436507482941356</v>
      </c>
      <c r="L237" s="3">
        <v>0.83333333333333337</v>
      </c>
      <c r="M237" s="3">
        <v>0.5</v>
      </c>
      <c r="N237" s="3">
        <v>1</v>
      </c>
      <c r="O237" s="3">
        <v>0.5</v>
      </c>
      <c r="P237" t="s">
        <v>162</v>
      </c>
    </row>
    <row r="238" spans="1:16">
      <c r="A238" t="s">
        <v>150</v>
      </c>
      <c r="B238" t="s">
        <v>68</v>
      </c>
      <c r="C238" t="s">
        <v>117</v>
      </c>
      <c r="D238" t="s">
        <v>51</v>
      </c>
      <c r="E238" t="s">
        <v>54</v>
      </c>
      <c r="F238" s="2">
        <v>5</v>
      </c>
      <c r="G238" s="3">
        <v>0.17241379310344829</v>
      </c>
      <c r="H238" s="3">
        <v>0.52625765039558137</v>
      </c>
      <c r="I238" s="3">
        <v>3.0522943722943721</v>
      </c>
      <c r="J238" s="3">
        <v>0.7</v>
      </c>
      <c r="K238" s="3">
        <v>0.27500000000000002</v>
      </c>
      <c r="L238" s="3">
        <v>0.4</v>
      </c>
      <c r="M238" s="3">
        <v>0.4</v>
      </c>
      <c r="N238" s="3">
        <v>0.4</v>
      </c>
      <c r="O238" s="3">
        <v>6.0883159351409033E-2</v>
      </c>
      <c r="P238" t="s">
        <v>162</v>
      </c>
    </row>
    <row r="239" spans="1:16">
      <c r="A239" t="s">
        <v>150</v>
      </c>
      <c r="B239" t="s">
        <v>68</v>
      </c>
      <c r="C239" t="s">
        <v>117</v>
      </c>
      <c r="D239" t="s">
        <v>51</v>
      </c>
      <c r="E239" t="s">
        <v>55</v>
      </c>
      <c r="F239" s="2">
        <v>4</v>
      </c>
      <c r="G239" s="3">
        <v>0.13793103448275859</v>
      </c>
      <c r="H239" s="3">
        <v>0.88749999999999996</v>
      </c>
      <c r="I239" s="3">
        <v>6.4343750000000002</v>
      </c>
      <c r="J239" s="3">
        <v>0.98</v>
      </c>
      <c r="K239" s="3">
        <v>0.64807406984078608</v>
      </c>
      <c r="L239" s="3">
        <v>0.83333333333333337</v>
      </c>
      <c r="M239" s="3">
        <v>0.5</v>
      </c>
      <c r="N239" s="3">
        <v>1</v>
      </c>
      <c r="O239" s="3">
        <v>1.006844297294794E-2</v>
      </c>
      <c r="P239" t="s">
        <v>162</v>
      </c>
    </row>
    <row r="240" spans="1:16">
      <c r="A240" t="s">
        <v>150</v>
      </c>
      <c r="B240" t="s">
        <v>68</v>
      </c>
      <c r="C240" t="s">
        <v>117</v>
      </c>
      <c r="D240" t="s">
        <v>51</v>
      </c>
      <c r="E240" t="s">
        <v>56</v>
      </c>
      <c r="F240" s="2">
        <v>2</v>
      </c>
      <c r="G240" s="3">
        <v>6.8965517241379309E-2</v>
      </c>
      <c r="H240" s="3">
        <v>0.28846153846153838</v>
      </c>
      <c r="I240" s="3">
        <v>4.1826923076923066</v>
      </c>
      <c r="J240" s="3">
        <v>0.53703703703703709</v>
      </c>
      <c r="K240" s="3">
        <v>0</v>
      </c>
      <c r="L240" s="3">
        <v>0</v>
      </c>
      <c r="M240" s="3">
        <v>0</v>
      </c>
      <c r="N240" s="3">
        <v>0</v>
      </c>
      <c r="O240" s="3">
        <v>0.5</v>
      </c>
      <c r="P240" t="s">
        <v>162</v>
      </c>
    </row>
    <row r="241" spans="1:16">
      <c r="A241" t="s">
        <v>150</v>
      </c>
      <c r="B241" t="s">
        <v>68</v>
      </c>
      <c r="C241" t="s">
        <v>117</v>
      </c>
      <c r="D241" t="s">
        <v>51</v>
      </c>
      <c r="E241" t="s">
        <v>57</v>
      </c>
      <c r="F241" s="2">
        <v>1</v>
      </c>
      <c r="G241" s="3">
        <v>3.4482758620689648E-2</v>
      </c>
      <c r="H241" s="3">
        <v>0.33333333333333331</v>
      </c>
      <c r="I241" s="3">
        <v>9.6666666666666661</v>
      </c>
      <c r="J241" s="3">
        <v>0.9285714285714286</v>
      </c>
      <c r="K241" s="3">
        <v>-5.1434449987363969E-2</v>
      </c>
      <c r="L241" s="3">
        <v>0</v>
      </c>
      <c r="M241" s="3">
        <v>0</v>
      </c>
      <c r="N241" s="3">
        <v>0</v>
      </c>
      <c r="O241" s="3">
        <v>0.23753723232889901</v>
      </c>
      <c r="P241" t="s">
        <v>162</v>
      </c>
    </row>
    <row r="242" spans="1:16">
      <c r="A242" t="s">
        <v>150</v>
      </c>
      <c r="B242" t="s">
        <v>75</v>
      </c>
      <c r="C242" t="s">
        <v>108</v>
      </c>
      <c r="D242" t="s">
        <v>51</v>
      </c>
      <c r="E242" t="s">
        <v>52</v>
      </c>
      <c r="F242" s="2">
        <v>1</v>
      </c>
      <c r="G242" s="3">
        <v>3.4482758620689648E-2</v>
      </c>
      <c r="H242" s="3">
        <v>1</v>
      </c>
      <c r="I242" s="3">
        <v>29</v>
      </c>
      <c r="J242" s="3">
        <v>1</v>
      </c>
      <c r="K242" s="3">
        <v>1</v>
      </c>
      <c r="L242" s="3">
        <v>1</v>
      </c>
      <c r="M242" s="3">
        <v>1</v>
      </c>
      <c r="N242" s="3">
        <v>1</v>
      </c>
      <c r="O242" s="3">
        <v>0.5</v>
      </c>
      <c r="P242" t="s">
        <v>163</v>
      </c>
    </row>
    <row r="243" spans="1:16">
      <c r="A243" t="s">
        <v>150</v>
      </c>
      <c r="B243" t="s">
        <v>75</v>
      </c>
      <c r="C243" t="s">
        <v>108</v>
      </c>
      <c r="D243" t="s">
        <v>51</v>
      </c>
      <c r="E243" t="s">
        <v>54</v>
      </c>
      <c r="F243" s="2">
        <v>5</v>
      </c>
      <c r="G243" s="3">
        <v>0.17241379310344829</v>
      </c>
      <c r="H243" s="3">
        <v>0.2271428571428572</v>
      </c>
      <c r="I243" s="3">
        <v>1.3174285714285721</v>
      </c>
      <c r="J243" s="3">
        <v>0.55833333333333335</v>
      </c>
      <c r="K243" s="3">
        <v>0</v>
      </c>
      <c r="L243" s="3">
        <v>0</v>
      </c>
      <c r="M243" s="3">
        <v>0</v>
      </c>
      <c r="N243" s="3">
        <v>0</v>
      </c>
      <c r="O243" s="3">
        <v>0.11387339176093909</v>
      </c>
      <c r="P243" t="s">
        <v>163</v>
      </c>
    </row>
    <row r="244" spans="1:16">
      <c r="A244" t="s">
        <v>150</v>
      </c>
      <c r="B244" t="s">
        <v>75</v>
      </c>
      <c r="C244" t="s">
        <v>108</v>
      </c>
      <c r="D244" t="s">
        <v>51</v>
      </c>
      <c r="E244" t="s">
        <v>55</v>
      </c>
      <c r="F244" s="2">
        <v>4</v>
      </c>
      <c r="G244" s="3">
        <v>0.13793103448275859</v>
      </c>
      <c r="H244" s="3">
        <v>1</v>
      </c>
      <c r="I244" s="3">
        <v>7.25</v>
      </c>
      <c r="J244" s="3">
        <v>1</v>
      </c>
      <c r="K244" s="3">
        <v>0.8763560920082657</v>
      </c>
      <c r="L244" s="3">
        <v>0.95238095238095233</v>
      </c>
      <c r="M244" s="3">
        <v>0.8</v>
      </c>
      <c r="N244" s="3">
        <v>1</v>
      </c>
      <c r="O244" s="3">
        <v>0.25116377081699692</v>
      </c>
      <c r="P244" t="s">
        <v>163</v>
      </c>
    </row>
    <row r="245" spans="1:16">
      <c r="A245" t="s">
        <v>150</v>
      </c>
      <c r="B245" t="s">
        <v>75</v>
      </c>
      <c r="C245" t="s">
        <v>108</v>
      </c>
      <c r="D245" t="s">
        <v>51</v>
      </c>
      <c r="E245" t="s">
        <v>56</v>
      </c>
      <c r="F245" s="2">
        <v>2</v>
      </c>
      <c r="G245" s="3">
        <v>6.8965517241379309E-2</v>
      </c>
      <c r="H245" s="3">
        <v>0.1309523809523809</v>
      </c>
      <c r="I245" s="3">
        <v>1.8988095238095239</v>
      </c>
      <c r="J245" s="3">
        <v>0.55555555555555558</v>
      </c>
      <c r="K245" s="3">
        <v>-7.407407407407407E-2</v>
      </c>
      <c r="L245" s="3">
        <v>0</v>
      </c>
      <c r="M245" s="3">
        <v>0</v>
      </c>
      <c r="N245" s="3">
        <v>0</v>
      </c>
      <c r="O245" s="3">
        <v>0.5</v>
      </c>
      <c r="P245" t="s">
        <v>163</v>
      </c>
    </row>
    <row r="246" spans="1:16">
      <c r="A246" t="s">
        <v>150</v>
      </c>
      <c r="B246" t="s">
        <v>75</v>
      </c>
      <c r="C246" t="s">
        <v>108</v>
      </c>
      <c r="D246" t="s">
        <v>51</v>
      </c>
      <c r="E246" t="s">
        <v>57</v>
      </c>
      <c r="F246" s="2">
        <v>1</v>
      </c>
      <c r="G246" s="3">
        <v>3.4482758620689648E-2</v>
      </c>
      <c r="H246" s="3">
        <v>0.2</v>
      </c>
      <c r="I246" s="3">
        <v>5.8000000000000007</v>
      </c>
      <c r="J246" s="3">
        <v>0.85714285714285721</v>
      </c>
      <c r="K246" s="3">
        <v>0.41403933560541262</v>
      </c>
      <c r="L246" s="3">
        <v>0.55555555555555558</v>
      </c>
      <c r="M246" s="3">
        <v>0.2</v>
      </c>
      <c r="N246" s="3">
        <v>1</v>
      </c>
      <c r="O246" s="3">
        <v>1.5377478508668911E-2</v>
      </c>
      <c r="P246" t="s">
        <v>163</v>
      </c>
    </row>
    <row r="247" spans="1:16">
      <c r="A247" t="s">
        <v>150</v>
      </c>
      <c r="B247" t="s">
        <v>75</v>
      </c>
      <c r="C247" t="s">
        <v>110</v>
      </c>
      <c r="D247" t="s">
        <v>51</v>
      </c>
      <c r="E247" t="s">
        <v>52</v>
      </c>
      <c r="F247" s="2">
        <v>1</v>
      </c>
      <c r="G247" s="3">
        <v>3.4482758620689648E-2</v>
      </c>
      <c r="H247" s="3">
        <v>1</v>
      </c>
      <c r="I247" s="3">
        <v>29</v>
      </c>
      <c r="J247" s="3">
        <v>1</v>
      </c>
      <c r="K247" s="3">
        <v>0</v>
      </c>
      <c r="L247" s="3">
        <v>0</v>
      </c>
      <c r="M247" s="3">
        <v>0</v>
      </c>
      <c r="N247" s="3">
        <v>0</v>
      </c>
      <c r="O247" s="3">
        <v>0.5</v>
      </c>
      <c r="P247" t="s">
        <v>164</v>
      </c>
    </row>
    <row r="248" spans="1:16">
      <c r="A248" t="s">
        <v>150</v>
      </c>
      <c r="B248" t="s">
        <v>75</v>
      </c>
      <c r="C248" t="s">
        <v>110</v>
      </c>
      <c r="D248" t="s">
        <v>51</v>
      </c>
      <c r="E248" t="s">
        <v>54</v>
      </c>
      <c r="F248" s="2">
        <v>5</v>
      </c>
      <c r="G248" s="3">
        <v>0.17241379310344829</v>
      </c>
      <c r="H248" s="3">
        <v>0.2045977011494253</v>
      </c>
      <c r="I248" s="3">
        <v>1.186666666666667</v>
      </c>
      <c r="J248" s="3">
        <v>0.54999999999999993</v>
      </c>
      <c r="K248" s="3">
        <v>-0.1242259987499883</v>
      </c>
      <c r="L248" s="3">
        <v>0</v>
      </c>
      <c r="M248" s="3">
        <v>0</v>
      </c>
      <c r="N248" s="3">
        <v>0</v>
      </c>
      <c r="O248" s="3">
        <v>0.18977001340169261</v>
      </c>
      <c r="P248" t="s">
        <v>164</v>
      </c>
    </row>
    <row r="249" spans="1:16">
      <c r="A249" t="s">
        <v>150</v>
      </c>
      <c r="B249" t="s">
        <v>75</v>
      </c>
      <c r="C249" t="s">
        <v>110</v>
      </c>
      <c r="D249" t="s">
        <v>51</v>
      </c>
      <c r="E249" t="s">
        <v>55</v>
      </c>
      <c r="F249" s="2">
        <v>4</v>
      </c>
      <c r="G249" s="3">
        <v>0.13793103448275859</v>
      </c>
      <c r="H249" s="3">
        <v>0.88749999999999996</v>
      </c>
      <c r="I249" s="3">
        <v>6.4343750000000002</v>
      </c>
      <c r="J249" s="3">
        <v>0.98</v>
      </c>
      <c r="K249" s="3">
        <v>0.78315600829804877</v>
      </c>
      <c r="L249" s="3">
        <v>0.90909090909090906</v>
      </c>
      <c r="M249" s="3">
        <v>0.66666666666666663</v>
      </c>
      <c r="N249" s="3">
        <v>1</v>
      </c>
      <c r="O249" s="3">
        <v>0.4018849040367608</v>
      </c>
      <c r="P249" t="s">
        <v>164</v>
      </c>
    </row>
    <row r="250" spans="1:16">
      <c r="A250" t="s">
        <v>150</v>
      </c>
      <c r="B250" t="s">
        <v>75</v>
      </c>
      <c r="C250" t="s">
        <v>110</v>
      </c>
      <c r="D250" t="s">
        <v>51</v>
      </c>
      <c r="E250" t="s">
        <v>56</v>
      </c>
      <c r="F250" s="2">
        <v>2</v>
      </c>
      <c r="G250" s="3">
        <v>6.8965517241379309E-2</v>
      </c>
      <c r="H250" s="3">
        <v>6.8965517241379309E-2</v>
      </c>
      <c r="I250" s="3">
        <v>1</v>
      </c>
      <c r="J250" s="3">
        <v>0.5</v>
      </c>
      <c r="K250" s="3">
        <v>0</v>
      </c>
      <c r="L250" s="3">
        <v>0</v>
      </c>
      <c r="M250" s="3">
        <v>0</v>
      </c>
      <c r="N250" s="3">
        <v>0</v>
      </c>
      <c r="O250" s="3">
        <v>0.5</v>
      </c>
      <c r="P250" t="s">
        <v>164</v>
      </c>
    </row>
    <row r="251" spans="1:16">
      <c r="A251" t="s">
        <v>150</v>
      </c>
      <c r="B251" t="s">
        <v>75</v>
      </c>
      <c r="C251" t="s">
        <v>110</v>
      </c>
      <c r="D251" t="s">
        <v>51</v>
      </c>
      <c r="E251" t="s">
        <v>57</v>
      </c>
      <c r="F251" s="2">
        <v>1</v>
      </c>
      <c r="G251" s="3">
        <v>3.4482758620689648E-2</v>
      </c>
      <c r="H251" s="3">
        <v>0.125</v>
      </c>
      <c r="I251" s="3">
        <v>3.625</v>
      </c>
      <c r="J251" s="3">
        <v>0.75</v>
      </c>
      <c r="K251" s="3">
        <v>0</v>
      </c>
      <c r="L251" s="3">
        <v>0</v>
      </c>
      <c r="M251" s="3">
        <v>0</v>
      </c>
      <c r="N251" s="3">
        <v>0</v>
      </c>
      <c r="O251" s="3">
        <v>0.39681029344032182</v>
      </c>
      <c r="P251" t="s">
        <v>164</v>
      </c>
    </row>
    <row r="252" spans="1:16">
      <c r="A252" t="s">
        <v>150</v>
      </c>
      <c r="B252" t="s">
        <v>75</v>
      </c>
      <c r="C252" t="s">
        <v>112</v>
      </c>
      <c r="D252" t="s">
        <v>51</v>
      </c>
      <c r="E252" t="s">
        <v>52</v>
      </c>
      <c r="F252" s="2">
        <v>1</v>
      </c>
      <c r="G252" s="3">
        <v>3.4482758620689648E-2</v>
      </c>
      <c r="H252" s="3">
        <v>0.16666666666666671</v>
      </c>
      <c r="I252" s="3">
        <v>4.833333333333333</v>
      </c>
      <c r="J252" s="3">
        <v>0.8214285714285714</v>
      </c>
      <c r="K252" s="3">
        <v>-5.1434449987363969E-2</v>
      </c>
      <c r="L252" s="3">
        <v>0</v>
      </c>
      <c r="M252" s="3">
        <v>0</v>
      </c>
      <c r="N252" s="3">
        <v>0</v>
      </c>
      <c r="O252" s="3">
        <v>0.5</v>
      </c>
      <c r="P252" t="s">
        <v>165</v>
      </c>
    </row>
    <row r="253" spans="1:16">
      <c r="A253" t="s">
        <v>150</v>
      </c>
      <c r="B253" t="s">
        <v>75</v>
      </c>
      <c r="C253" t="s">
        <v>112</v>
      </c>
      <c r="D253" t="s">
        <v>51</v>
      </c>
      <c r="E253" t="s">
        <v>54</v>
      </c>
      <c r="F253" s="2">
        <v>5</v>
      </c>
      <c r="G253" s="3">
        <v>0.17241379310344829</v>
      </c>
      <c r="H253" s="3">
        <v>0.37509157509157509</v>
      </c>
      <c r="I253" s="3">
        <v>2.175531135531136</v>
      </c>
      <c r="J253" s="3">
        <v>0.57500000000000007</v>
      </c>
      <c r="K253" s="3">
        <v>-0.16867477123499669</v>
      </c>
      <c r="L253" s="3">
        <v>0.16129032258064521</v>
      </c>
      <c r="M253" s="3">
        <v>9.0909090909090912E-2</v>
      </c>
      <c r="N253" s="3">
        <v>0.2</v>
      </c>
      <c r="O253" s="3">
        <v>0.55118546661790557</v>
      </c>
      <c r="P253" t="s">
        <v>165</v>
      </c>
    </row>
    <row r="254" spans="1:16">
      <c r="A254" t="s">
        <v>150</v>
      </c>
      <c r="B254" t="s">
        <v>75</v>
      </c>
      <c r="C254" t="s">
        <v>112</v>
      </c>
      <c r="D254" t="s">
        <v>51</v>
      </c>
      <c r="E254" t="s">
        <v>55</v>
      </c>
      <c r="F254" s="2">
        <v>4</v>
      </c>
      <c r="G254" s="3">
        <v>0.13793103448275859</v>
      </c>
      <c r="H254" s="3">
        <v>0.2174873737373737</v>
      </c>
      <c r="I254" s="3">
        <v>1.57678345959596</v>
      </c>
      <c r="J254" s="3">
        <v>0.66</v>
      </c>
      <c r="K254" s="3">
        <v>0.24268133584853771</v>
      </c>
      <c r="L254" s="3">
        <v>0.51724137931034486</v>
      </c>
      <c r="M254" s="3">
        <v>0.23076923076923081</v>
      </c>
      <c r="N254" s="3">
        <v>0.75</v>
      </c>
      <c r="O254" s="3">
        <v>0.36650042268234162</v>
      </c>
      <c r="P254" t="s">
        <v>165</v>
      </c>
    </row>
    <row r="255" spans="1:16">
      <c r="A255" t="s">
        <v>150</v>
      </c>
      <c r="B255" t="s">
        <v>75</v>
      </c>
      <c r="C255" t="s">
        <v>112</v>
      </c>
      <c r="D255" t="s">
        <v>51</v>
      </c>
      <c r="E255" t="s">
        <v>56</v>
      </c>
      <c r="F255" s="2">
        <v>2</v>
      </c>
      <c r="G255" s="3">
        <v>6.8965517241379309E-2</v>
      </c>
      <c r="H255" s="3">
        <v>0.41666666666666657</v>
      </c>
      <c r="I255" s="3">
        <v>6.0416666666666661</v>
      </c>
      <c r="J255" s="3">
        <v>0.90740740740740744</v>
      </c>
      <c r="K255" s="3">
        <v>0.28577380332470409</v>
      </c>
      <c r="L255" s="3">
        <v>0.41666666666666669</v>
      </c>
      <c r="M255" s="3">
        <v>0.25</v>
      </c>
      <c r="N255" s="3">
        <v>0.5</v>
      </c>
      <c r="O255" s="3">
        <v>0.5</v>
      </c>
      <c r="P255" t="s">
        <v>165</v>
      </c>
    </row>
    <row r="256" spans="1:16">
      <c r="A256" t="s">
        <v>150</v>
      </c>
      <c r="B256" t="s">
        <v>75</v>
      </c>
      <c r="C256" t="s">
        <v>112</v>
      </c>
      <c r="D256" t="s">
        <v>51</v>
      </c>
      <c r="E256" t="s">
        <v>57</v>
      </c>
      <c r="F256" s="2">
        <v>1</v>
      </c>
      <c r="G256" s="3">
        <v>3.4482758620689648E-2</v>
      </c>
      <c r="H256" s="3">
        <v>6.25E-2</v>
      </c>
      <c r="I256" s="3">
        <v>1.8125</v>
      </c>
      <c r="J256" s="3">
        <v>0.4642857142857143</v>
      </c>
      <c r="K256" s="3">
        <v>-0.19561519910898789</v>
      </c>
      <c r="L256" s="3">
        <v>0</v>
      </c>
      <c r="M256" s="3">
        <v>0</v>
      </c>
      <c r="N256" s="3">
        <v>0</v>
      </c>
      <c r="O256" s="3">
        <v>7.8057970901472068E-2</v>
      </c>
      <c r="P256" t="s">
        <v>165</v>
      </c>
    </row>
    <row r="257" spans="1:16">
      <c r="A257" t="s">
        <v>150</v>
      </c>
      <c r="B257" t="s">
        <v>75</v>
      </c>
      <c r="C257" t="s">
        <v>66</v>
      </c>
      <c r="D257" t="s">
        <v>51</v>
      </c>
      <c r="E257" t="s">
        <v>52</v>
      </c>
      <c r="F257" s="2">
        <v>1</v>
      </c>
      <c r="G257" s="3">
        <v>3.4482758620689648E-2</v>
      </c>
      <c r="H257" s="3">
        <v>0.5</v>
      </c>
      <c r="I257" s="3">
        <v>14.5</v>
      </c>
      <c r="J257" s="3">
        <v>0.9642857142857143</v>
      </c>
      <c r="K257" s="3">
        <v>0</v>
      </c>
      <c r="L257" s="3">
        <v>0</v>
      </c>
      <c r="M257" s="3">
        <v>0</v>
      </c>
      <c r="N257" s="3">
        <v>0</v>
      </c>
      <c r="O257" s="3">
        <v>0.5</v>
      </c>
      <c r="P257" t="s">
        <v>166</v>
      </c>
    </row>
    <row r="258" spans="1:16">
      <c r="A258" t="s">
        <v>150</v>
      </c>
      <c r="B258" t="s">
        <v>75</v>
      </c>
      <c r="C258" t="s">
        <v>66</v>
      </c>
      <c r="D258" t="s">
        <v>51</v>
      </c>
      <c r="E258" t="s">
        <v>54</v>
      </c>
      <c r="F258" s="2">
        <v>5</v>
      </c>
      <c r="G258" s="3">
        <v>0.17241379310344829</v>
      </c>
      <c r="H258" s="3">
        <v>0.7416666666666667</v>
      </c>
      <c r="I258" s="3">
        <v>4.3016666666666667</v>
      </c>
      <c r="J258" s="3">
        <v>0.94166666666666665</v>
      </c>
      <c r="K258" s="3">
        <v>0.23602939762497779</v>
      </c>
      <c r="L258" s="3">
        <v>0.22727272727272729</v>
      </c>
      <c r="M258" s="3">
        <v>0.5</v>
      </c>
      <c r="N258" s="3">
        <v>0.2</v>
      </c>
      <c r="O258" s="3">
        <v>0.36269752724377019</v>
      </c>
      <c r="P258" t="s">
        <v>166</v>
      </c>
    </row>
    <row r="259" spans="1:16">
      <c r="A259" t="s">
        <v>150</v>
      </c>
      <c r="B259" t="s">
        <v>75</v>
      </c>
      <c r="C259" t="s">
        <v>66</v>
      </c>
      <c r="D259" t="s">
        <v>51</v>
      </c>
      <c r="E259" t="s">
        <v>55</v>
      </c>
      <c r="F259" s="2">
        <v>4</v>
      </c>
      <c r="G259" s="3">
        <v>0.13793103448275859</v>
      </c>
      <c r="H259" s="3">
        <v>0.85416666666666663</v>
      </c>
      <c r="I259" s="3">
        <v>6.192708333333333</v>
      </c>
      <c r="J259" s="3">
        <v>0.97000000000000008</v>
      </c>
      <c r="K259" s="3">
        <v>0.70912420834233469</v>
      </c>
      <c r="L259" s="3">
        <v>0.86956521739130432</v>
      </c>
      <c r="M259" s="3">
        <v>0.5714285714285714</v>
      </c>
      <c r="N259" s="3">
        <v>1</v>
      </c>
      <c r="O259" s="3">
        <v>0.25999555627885718</v>
      </c>
      <c r="P259" t="s">
        <v>166</v>
      </c>
    </row>
    <row r="260" spans="1:16">
      <c r="A260" t="s">
        <v>150</v>
      </c>
      <c r="B260" t="s">
        <v>75</v>
      </c>
      <c r="C260" t="s">
        <v>66</v>
      </c>
      <c r="D260" t="s">
        <v>51</v>
      </c>
      <c r="E260" t="s">
        <v>56</v>
      </c>
      <c r="F260" s="2">
        <v>2</v>
      </c>
      <c r="G260" s="3">
        <v>6.8965517241379309E-2</v>
      </c>
      <c r="H260" s="3">
        <v>0.28448275862068972</v>
      </c>
      <c r="I260" s="3">
        <v>4.125</v>
      </c>
      <c r="J260" s="3">
        <v>0.48148148148148151</v>
      </c>
      <c r="K260" s="3">
        <v>0</v>
      </c>
      <c r="L260" s="3">
        <v>0</v>
      </c>
      <c r="M260" s="3">
        <v>0</v>
      </c>
      <c r="N260" s="3">
        <v>0</v>
      </c>
      <c r="O260" s="3">
        <v>0.5</v>
      </c>
      <c r="P260" t="s">
        <v>166</v>
      </c>
    </row>
    <row r="261" spans="1:16">
      <c r="A261" t="s">
        <v>150</v>
      </c>
      <c r="B261" t="s">
        <v>75</v>
      </c>
      <c r="C261" t="s">
        <v>66</v>
      </c>
      <c r="D261" t="s">
        <v>51</v>
      </c>
      <c r="E261" t="s">
        <v>57</v>
      </c>
      <c r="F261" s="2">
        <v>1</v>
      </c>
      <c r="G261" s="3">
        <v>3.4482758620689648E-2</v>
      </c>
      <c r="H261" s="3">
        <v>0.5</v>
      </c>
      <c r="I261" s="3">
        <v>14.5</v>
      </c>
      <c r="J261" s="3">
        <v>0.9642857142857143</v>
      </c>
      <c r="K261" s="3">
        <v>0.37000643495047741</v>
      </c>
      <c r="L261" s="3">
        <v>0.5</v>
      </c>
      <c r="M261" s="3">
        <v>0.16666666666666671</v>
      </c>
      <c r="N261" s="3">
        <v>1</v>
      </c>
      <c r="O261" s="3">
        <v>0.16842158674866861</v>
      </c>
      <c r="P261" t="s">
        <v>166</v>
      </c>
    </row>
    <row r="262" spans="1:16">
      <c r="A262" t="s">
        <v>150</v>
      </c>
      <c r="B262" t="s">
        <v>75</v>
      </c>
      <c r="C262" t="s">
        <v>115</v>
      </c>
      <c r="D262" t="s">
        <v>51</v>
      </c>
      <c r="E262" t="s">
        <v>52</v>
      </c>
      <c r="F262" s="2">
        <v>1</v>
      </c>
      <c r="G262" s="3">
        <v>3.4482758620689648E-2</v>
      </c>
      <c r="H262" s="3">
        <v>1</v>
      </c>
      <c r="I262" s="3">
        <v>29</v>
      </c>
      <c r="J262" s="3">
        <v>1</v>
      </c>
      <c r="K262" s="3">
        <v>0</v>
      </c>
      <c r="L262" s="3">
        <v>0</v>
      </c>
      <c r="M262" s="3">
        <v>0</v>
      </c>
      <c r="N262" s="3">
        <v>0</v>
      </c>
      <c r="O262" s="3">
        <v>0.5</v>
      </c>
      <c r="P262" t="s">
        <v>167</v>
      </c>
    </row>
    <row r="263" spans="1:16">
      <c r="A263" t="s">
        <v>150</v>
      </c>
      <c r="B263" t="s">
        <v>75</v>
      </c>
      <c r="C263" t="s">
        <v>115</v>
      </c>
      <c r="D263" t="s">
        <v>51</v>
      </c>
      <c r="E263" t="s">
        <v>54</v>
      </c>
      <c r="F263" s="2">
        <v>5</v>
      </c>
      <c r="G263" s="3">
        <v>0.17241379310344829</v>
      </c>
      <c r="H263" s="3">
        <v>0.73522727272727273</v>
      </c>
      <c r="I263" s="3">
        <v>4.2643181818181812</v>
      </c>
      <c r="J263" s="3">
        <v>0.87083333333333335</v>
      </c>
      <c r="K263" s="3">
        <v>0</v>
      </c>
      <c r="L263" s="3">
        <v>0</v>
      </c>
      <c r="M263" s="3">
        <v>0</v>
      </c>
      <c r="N263" s="3">
        <v>0</v>
      </c>
      <c r="O263" s="3">
        <v>0.38359888819237148</v>
      </c>
      <c r="P263" t="s">
        <v>167</v>
      </c>
    </row>
    <row r="264" spans="1:16">
      <c r="A264" t="s">
        <v>150</v>
      </c>
      <c r="B264" t="s">
        <v>75</v>
      </c>
      <c r="C264" t="s">
        <v>115</v>
      </c>
      <c r="D264" t="s">
        <v>51</v>
      </c>
      <c r="E264" t="s">
        <v>55</v>
      </c>
      <c r="F264" s="2">
        <v>4</v>
      </c>
      <c r="G264" s="3">
        <v>0.13793103448275859</v>
      </c>
      <c r="H264" s="3">
        <v>1</v>
      </c>
      <c r="I264" s="3">
        <v>7.25</v>
      </c>
      <c r="J264" s="3">
        <v>1</v>
      </c>
      <c r="K264" s="3">
        <v>0.8763560920082657</v>
      </c>
      <c r="L264" s="3">
        <v>0.95238095238095233</v>
      </c>
      <c r="M264" s="3">
        <v>0.8</v>
      </c>
      <c r="N264" s="3">
        <v>1</v>
      </c>
      <c r="O264" s="3">
        <v>0.1198098105724124</v>
      </c>
      <c r="P264" t="s">
        <v>167</v>
      </c>
    </row>
    <row r="265" spans="1:16">
      <c r="A265" t="s">
        <v>150</v>
      </c>
      <c r="B265" t="s">
        <v>75</v>
      </c>
      <c r="C265" t="s">
        <v>115</v>
      </c>
      <c r="D265" t="s">
        <v>51</v>
      </c>
      <c r="E265" t="s">
        <v>56</v>
      </c>
      <c r="F265" s="2">
        <v>2</v>
      </c>
      <c r="G265" s="3">
        <v>6.8965517241379309E-2</v>
      </c>
      <c r="H265" s="3">
        <v>7.0370370370370361E-2</v>
      </c>
      <c r="I265" s="3">
        <v>1.0203703703703699</v>
      </c>
      <c r="J265" s="3">
        <v>0.27777777777777779</v>
      </c>
      <c r="K265" s="3">
        <v>0</v>
      </c>
      <c r="L265" s="3">
        <v>0</v>
      </c>
      <c r="M265" s="3">
        <v>0</v>
      </c>
      <c r="N265" s="3">
        <v>0</v>
      </c>
      <c r="O265" s="3">
        <v>0.5</v>
      </c>
      <c r="P265" t="s">
        <v>167</v>
      </c>
    </row>
    <row r="266" spans="1:16">
      <c r="A266" t="s">
        <v>150</v>
      </c>
      <c r="B266" t="s">
        <v>75</v>
      </c>
      <c r="C266" t="s">
        <v>115</v>
      </c>
      <c r="D266" t="s">
        <v>51</v>
      </c>
      <c r="E266" t="s">
        <v>57</v>
      </c>
      <c r="F266" s="2">
        <v>1</v>
      </c>
      <c r="G266" s="3">
        <v>3.4482758620689648E-2</v>
      </c>
      <c r="H266" s="3">
        <v>3.7037037037037028E-2</v>
      </c>
      <c r="I266" s="3">
        <v>1.074074074074074</v>
      </c>
      <c r="J266" s="3">
        <v>7.1428571428571397E-2</v>
      </c>
      <c r="K266" s="3">
        <v>-6.4194073876636934E-2</v>
      </c>
      <c r="L266" s="3">
        <v>0</v>
      </c>
      <c r="M266" s="3">
        <v>0</v>
      </c>
      <c r="N266" s="3">
        <v>0</v>
      </c>
      <c r="O266" s="3">
        <v>8.5951766054051595E-2</v>
      </c>
      <c r="P266" t="s">
        <v>167</v>
      </c>
    </row>
    <row r="267" spans="1:16">
      <c r="A267" t="s">
        <v>150</v>
      </c>
      <c r="B267" t="s">
        <v>75</v>
      </c>
      <c r="C267" t="s">
        <v>117</v>
      </c>
      <c r="D267" t="s">
        <v>51</v>
      </c>
      <c r="E267" t="s">
        <v>52</v>
      </c>
      <c r="F267" s="2">
        <v>1</v>
      </c>
      <c r="G267" s="3">
        <v>3.4482758620689648E-2</v>
      </c>
      <c r="H267" s="3">
        <v>0.5</v>
      </c>
      <c r="I267" s="3">
        <v>14.5</v>
      </c>
      <c r="J267" s="3">
        <v>0.9642857142857143</v>
      </c>
      <c r="K267" s="3">
        <v>0.69436507482941356</v>
      </c>
      <c r="L267" s="3">
        <v>0.83333333333333337</v>
      </c>
      <c r="M267" s="3">
        <v>0.5</v>
      </c>
      <c r="N267" s="3">
        <v>1</v>
      </c>
      <c r="O267" s="3">
        <v>0.5</v>
      </c>
      <c r="P267" t="s">
        <v>168</v>
      </c>
    </row>
    <row r="268" spans="1:16">
      <c r="A268" t="s">
        <v>150</v>
      </c>
      <c r="B268" t="s">
        <v>75</v>
      </c>
      <c r="C268" t="s">
        <v>117</v>
      </c>
      <c r="D268" t="s">
        <v>51</v>
      </c>
      <c r="E268" t="s">
        <v>54</v>
      </c>
      <c r="F268" s="2">
        <v>5</v>
      </c>
      <c r="G268" s="3">
        <v>0.17241379310344829</v>
      </c>
      <c r="H268" s="3">
        <v>0.44904761904761897</v>
      </c>
      <c r="I268" s="3">
        <v>2.6044761904761899</v>
      </c>
      <c r="J268" s="3">
        <v>0.64166666666666661</v>
      </c>
      <c r="K268" s="3">
        <v>0.34689095308660522</v>
      </c>
      <c r="L268" s="3">
        <v>0.41666666666666669</v>
      </c>
      <c r="M268" s="3">
        <v>0.5</v>
      </c>
      <c r="N268" s="3">
        <v>0.4</v>
      </c>
      <c r="O268" s="3">
        <v>0.2026386991592512</v>
      </c>
      <c r="P268" t="s">
        <v>168</v>
      </c>
    </row>
    <row r="269" spans="1:16">
      <c r="A269" t="s">
        <v>150</v>
      </c>
      <c r="B269" t="s">
        <v>75</v>
      </c>
      <c r="C269" t="s">
        <v>117</v>
      </c>
      <c r="D269" t="s">
        <v>51</v>
      </c>
      <c r="E269" t="s">
        <v>55</v>
      </c>
      <c r="F269" s="2">
        <v>4</v>
      </c>
      <c r="G269" s="3">
        <v>0.13793103448275859</v>
      </c>
      <c r="H269" s="3">
        <v>0.95</v>
      </c>
      <c r="I269" s="3">
        <v>6.8875000000000002</v>
      </c>
      <c r="J269" s="3">
        <v>0.99</v>
      </c>
      <c r="K269" s="3">
        <v>0.70912420834233469</v>
      </c>
      <c r="L269" s="3">
        <v>0.86956521739130432</v>
      </c>
      <c r="M269" s="3">
        <v>0.5714285714285714</v>
      </c>
      <c r="N269" s="3">
        <v>1</v>
      </c>
      <c r="O269" s="3">
        <v>1.1779006253179181E-2</v>
      </c>
      <c r="P269" t="s">
        <v>168</v>
      </c>
    </row>
    <row r="270" spans="1:16">
      <c r="A270" t="s">
        <v>150</v>
      </c>
      <c r="B270" t="s">
        <v>75</v>
      </c>
      <c r="C270" t="s">
        <v>117</v>
      </c>
      <c r="D270" t="s">
        <v>51</v>
      </c>
      <c r="E270" t="s">
        <v>56</v>
      </c>
      <c r="F270" s="2">
        <v>2</v>
      </c>
      <c r="G270" s="3">
        <v>6.8965517241379309E-2</v>
      </c>
      <c r="H270" s="3">
        <v>0.2857142857142857</v>
      </c>
      <c r="I270" s="3">
        <v>4.1428571428571423</v>
      </c>
      <c r="J270" s="3">
        <v>0.5</v>
      </c>
      <c r="K270" s="3">
        <v>0</v>
      </c>
      <c r="L270" s="3">
        <v>0</v>
      </c>
      <c r="M270" s="3">
        <v>0</v>
      </c>
      <c r="N270" s="3">
        <v>0</v>
      </c>
      <c r="O270" s="3">
        <v>0.5</v>
      </c>
      <c r="P270" t="s">
        <v>168</v>
      </c>
    </row>
    <row r="271" spans="1:16">
      <c r="A271" t="s">
        <v>150</v>
      </c>
      <c r="B271" t="s">
        <v>75</v>
      </c>
      <c r="C271" t="s">
        <v>117</v>
      </c>
      <c r="D271" t="s">
        <v>51</v>
      </c>
      <c r="E271" t="s">
        <v>57</v>
      </c>
      <c r="F271" s="2">
        <v>1</v>
      </c>
      <c r="G271" s="3">
        <v>3.4482758620689648E-2</v>
      </c>
      <c r="H271" s="3">
        <v>0.25</v>
      </c>
      <c r="I271" s="3">
        <v>7.25</v>
      </c>
      <c r="J271" s="3">
        <v>0.8928571428571429</v>
      </c>
      <c r="K271" s="3">
        <v>0.37000643495047741</v>
      </c>
      <c r="L271" s="3">
        <v>0.5</v>
      </c>
      <c r="M271" s="3">
        <v>0.16666666666666671</v>
      </c>
      <c r="N271" s="3">
        <v>1</v>
      </c>
      <c r="O271" s="3">
        <v>9.057242018044305E-2</v>
      </c>
      <c r="P271" t="s">
        <v>168</v>
      </c>
    </row>
    <row r="272" spans="1:16">
      <c r="A272" t="s">
        <v>169</v>
      </c>
      <c r="B272" t="s">
        <v>49</v>
      </c>
      <c r="C272" t="s">
        <v>108</v>
      </c>
      <c r="D272" t="s">
        <v>51</v>
      </c>
      <c r="E272" t="s">
        <v>52</v>
      </c>
      <c r="F272" s="2">
        <v>1</v>
      </c>
      <c r="G272" s="3">
        <v>3.4482758620689648E-2</v>
      </c>
      <c r="H272" s="3">
        <v>1</v>
      </c>
      <c r="I272" s="3">
        <v>29</v>
      </c>
      <c r="J272" s="3">
        <v>1</v>
      </c>
      <c r="K272" s="3">
        <v>0.69436507482941356</v>
      </c>
      <c r="L272" s="3">
        <v>0.83333333333333337</v>
      </c>
      <c r="M272" s="3">
        <v>0.5</v>
      </c>
      <c r="N272" s="3">
        <v>1</v>
      </c>
      <c r="O272" s="3">
        <v>0.5</v>
      </c>
      <c r="P272" t="s">
        <v>170</v>
      </c>
    </row>
    <row r="273" spans="1:16">
      <c r="A273" t="s">
        <v>169</v>
      </c>
      <c r="B273" t="s">
        <v>49</v>
      </c>
      <c r="C273" t="s">
        <v>108</v>
      </c>
      <c r="D273" t="s">
        <v>51</v>
      </c>
      <c r="E273" t="s">
        <v>54</v>
      </c>
      <c r="F273" s="2">
        <v>5</v>
      </c>
      <c r="G273" s="3">
        <v>0.17241379310344829</v>
      </c>
      <c r="H273" s="3">
        <v>0.25215957955088392</v>
      </c>
      <c r="I273" s="3">
        <v>1.4625255613951269</v>
      </c>
      <c r="J273" s="3">
        <v>0.625</v>
      </c>
      <c r="K273" s="3">
        <v>0.16919084232174361</v>
      </c>
      <c r="L273" s="3">
        <v>0.37037037037037029</v>
      </c>
      <c r="M273" s="3">
        <v>0.2857142857142857</v>
      </c>
      <c r="N273" s="3">
        <v>0.4</v>
      </c>
      <c r="O273" s="3">
        <v>0.25513020090942651</v>
      </c>
      <c r="P273" t="s">
        <v>170</v>
      </c>
    </row>
    <row r="274" spans="1:16">
      <c r="A274" t="s">
        <v>169</v>
      </c>
      <c r="B274" t="s">
        <v>49</v>
      </c>
      <c r="C274" t="s">
        <v>108</v>
      </c>
      <c r="D274" t="s">
        <v>51</v>
      </c>
      <c r="E274" t="s">
        <v>55</v>
      </c>
      <c r="F274" s="2">
        <v>4</v>
      </c>
      <c r="G274" s="3">
        <v>0.13793103448275859</v>
      </c>
      <c r="H274" s="3">
        <v>0.85</v>
      </c>
      <c r="I274" s="3">
        <v>6.1624999999999996</v>
      </c>
      <c r="J274" s="3">
        <v>0.94</v>
      </c>
      <c r="K274" s="3">
        <v>0.61162352254743546</v>
      </c>
      <c r="L274" s="3">
        <v>0.7142857142857143</v>
      </c>
      <c r="M274" s="3">
        <v>0.6</v>
      </c>
      <c r="N274" s="3">
        <v>0.75</v>
      </c>
      <c r="O274" s="3">
        <v>0.1715255038510041</v>
      </c>
      <c r="P274" t="s">
        <v>170</v>
      </c>
    </row>
    <row r="275" spans="1:16">
      <c r="A275" t="s">
        <v>169</v>
      </c>
      <c r="B275" t="s">
        <v>49</v>
      </c>
      <c r="C275" t="s">
        <v>108</v>
      </c>
      <c r="D275" t="s">
        <v>51</v>
      </c>
      <c r="E275" t="s">
        <v>56</v>
      </c>
      <c r="F275" s="2">
        <v>2</v>
      </c>
      <c r="G275" s="3">
        <v>6.8965517241379309E-2</v>
      </c>
      <c r="H275" s="3">
        <v>0.12916666666666671</v>
      </c>
      <c r="I275" s="3">
        <v>1.872916666666667</v>
      </c>
      <c r="J275" s="3">
        <v>0.62962962962962976</v>
      </c>
      <c r="K275" s="3">
        <v>0.1115731135658672</v>
      </c>
      <c r="L275" s="3">
        <v>0.29411764705882348</v>
      </c>
      <c r="M275" s="3">
        <v>0.1111111111111111</v>
      </c>
      <c r="N275" s="3">
        <v>0.5</v>
      </c>
      <c r="O275" s="3">
        <v>0.5</v>
      </c>
      <c r="P275" t="s">
        <v>170</v>
      </c>
    </row>
    <row r="276" spans="1:16">
      <c r="A276" t="s">
        <v>169</v>
      </c>
      <c r="B276" t="s">
        <v>49</v>
      </c>
      <c r="C276" t="s">
        <v>108</v>
      </c>
      <c r="D276" t="s">
        <v>51</v>
      </c>
      <c r="E276" t="s">
        <v>57</v>
      </c>
      <c r="F276" s="2">
        <v>1</v>
      </c>
      <c r="G276" s="3">
        <v>3.4482758620689648E-2</v>
      </c>
      <c r="H276" s="3">
        <v>7.1428571428571425E-2</v>
      </c>
      <c r="I276" s="3">
        <v>2.0714285714285712</v>
      </c>
      <c r="J276" s="3">
        <v>0.5357142857142857</v>
      </c>
      <c r="K276" s="3">
        <v>0.18257418583505541</v>
      </c>
      <c r="L276" s="3">
        <v>0.26315789473684209</v>
      </c>
      <c r="M276" s="3">
        <v>6.6666666666666666E-2</v>
      </c>
      <c r="N276" s="3">
        <v>1</v>
      </c>
      <c r="O276" s="3">
        <v>1.1017560204098079E-3</v>
      </c>
      <c r="P276" t="s">
        <v>170</v>
      </c>
    </row>
    <row r="277" spans="1:16">
      <c r="A277" t="s">
        <v>169</v>
      </c>
      <c r="B277" t="s">
        <v>49</v>
      </c>
      <c r="C277" t="s">
        <v>110</v>
      </c>
      <c r="D277" t="s">
        <v>51</v>
      </c>
      <c r="E277" t="s">
        <v>52</v>
      </c>
      <c r="F277" s="2">
        <v>1</v>
      </c>
      <c r="G277" s="3">
        <v>3.4482758620689648E-2</v>
      </c>
      <c r="H277" s="3">
        <v>0.5</v>
      </c>
      <c r="I277" s="3">
        <v>14.5</v>
      </c>
      <c r="J277" s="3">
        <v>0.9642857142857143</v>
      </c>
      <c r="K277" s="3">
        <v>0</v>
      </c>
      <c r="L277" s="3">
        <v>0</v>
      </c>
      <c r="M277" s="3">
        <v>0</v>
      </c>
      <c r="N277" s="3">
        <v>0</v>
      </c>
      <c r="O277" s="3">
        <v>0.5</v>
      </c>
      <c r="P277" t="s">
        <v>171</v>
      </c>
    </row>
    <row r="278" spans="1:16">
      <c r="A278" t="s">
        <v>169</v>
      </c>
      <c r="B278" t="s">
        <v>49</v>
      </c>
      <c r="C278" t="s">
        <v>110</v>
      </c>
      <c r="D278" t="s">
        <v>51</v>
      </c>
      <c r="E278" t="s">
        <v>54</v>
      </c>
      <c r="F278" s="2">
        <v>5</v>
      </c>
      <c r="G278" s="3">
        <v>0.17241379310344829</v>
      </c>
      <c r="H278" s="3">
        <v>0.17241379310344829</v>
      </c>
      <c r="I278" s="3">
        <v>1</v>
      </c>
      <c r="J278" s="3">
        <v>0.35416666666666657</v>
      </c>
      <c r="K278" s="3">
        <v>0</v>
      </c>
      <c r="L278" s="3">
        <v>0</v>
      </c>
      <c r="M278" s="3">
        <v>0</v>
      </c>
      <c r="N278" s="3">
        <v>0</v>
      </c>
      <c r="O278" s="3">
        <v>0.38082834937944432</v>
      </c>
      <c r="P278" t="s">
        <v>171</v>
      </c>
    </row>
    <row r="279" spans="1:16">
      <c r="A279" t="s">
        <v>169</v>
      </c>
      <c r="B279" t="s">
        <v>49</v>
      </c>
      <c r="C279" t="s">
        <v>110</v>
      </c>
      <c r="D279" t="s">
        <v>51</v>
      </c>
      <c r="E279" t="s">
        <v>55</v>
      </c>
      <c r="F279" s="2">
        <v>4</v>
      </c>
      <c r="G279" s="3">
        <v>0.13793103448275859</v>
      </c>
      <c r="H279" s="3">
        <v>0.72198275862068972</v>
      </c>
      <c r="I279" s="3">
        <v>5.2343750000000009</v>
      </c>
      <c r="J279" s="3">
        <v>0.85</v>
      </c>
      <c r="K279" s="3">
        <v>0</v>
      </c>
      <c r="L279" s="3">
        <v>0</v>
      </c>
      <c r="M279" s="3">
        <v>0</v>
      </c>
      <c r="N279" s="3">
        <v>0</v>
      </c>
      <c r="O279" s="3">
        <v>0.41828994363457761</v>
      </c>
      <c r="P279" t="s">
        <v>171</v>
      </c>
    </row>
    <row r="280" spans="1:16">
      <c r="A280" t="s">
        <v>169</v>
      </c>
      <c r="B280" t="s">
        <v>49</v>
      </c>
      <c r="C280" t="s">
        <v>110</v>
      </c>
      <c r="D280" t="s">
        <v>51</v>
      </c>
      <c r="E280" t="s">
        <v>56</v>
      </c>
      <c r="F280" s="2">
        <v>2</v>
      </c>
      <c r="G280" s="3">
        <v>6.8965517241379309E-2</v>
      </c>
      <c r="H280" s="3">
        <v>6.8965517241379309E-2</v>
      </c>
      <c r="I280" s="3">
        <v>1</v>
      </c>
      <c r="J280" s="3">
        <v>0.37037037037037029</v>
      </c>
      <c r="K280" s="3">
        <v>0</v>
      </c>
      <c r="L280" s="3">
        <v>0</v>
      </c>
      <c r="M280" s="3">
        <v>0</v>
      </c>
      <c r="N280" s="3">
        <v>0</v>
      </c>
      <c r="O280" s="3">
        <v>0.5</v>
      </c>
      <c r="P280" t="s">
        <v>171</v>
      </c>
    </row>
    <row r="281" spans="1:16">
      <c r="A281" t="s">
        <v>169</v>
      </c>
      <c r="B281" t="s">
        <v>49</v>
      </c>
      <c r="C281" t="s">
        <v>110</v>
      </c>
      <c r="D281" t="s">
        <v>51</v>
      </c>
      <c r="E281" t="s">
        <v>57</v>
      </c>
      <c r="F281" s="2">
        <v>1</v>
      </c>
      <c r="G281" s="3">
        <v>3.4482758620689648E-2</v>
      </c>
      <c r="H281" s="3">
        <v>3.4482758620689648E-2</v>
      </c>
      <c r="I281" s="3">
        <v>1</v>
      </c>
      <c r="J281" s="3">
        <v>0.4285714285714286</v>
      </c>
      <c r="K281" s="3">
        <v>0</v>
      </c>
      <c r="L281" s="3">
        <v>0.15151515151515149</v>
      </c>
      <c r="M281" s="3">
        <v>3.4482758620689648E-2</v>
      </c>
      <c r="N281" s="3">
        <v>1</v>
      </c>
      <c r="O281" s="3">
        <v>0</v>
      </c>
      <c r="P281" t="s">
        <v>171</v>
      </c>
    </row>
    <row r="282" spans="1:16">
      <c r="A282" t="s">
        <v>169</v>
      </c>
      <c r="B282" t="s">
        <v>49</v>
      </c>
      <c r="C282" t="s">
        <v>112</v>
      </c>
      <c r="D282" t="s">
        <v>51</v>
      </c>
      <c r="E282" t="s">
        <v>52</v>
      </c>
      <c r="F282" s="2">
        <v>1</v>
      </c>
      <c r="G282" s="3">
        <v>3.4482758620689648E-2</v>
      </c>
      <c r="H282" s="3">
        <v>3.7037037037037028E-2</v>
      </c>
      <c r="I282" s="3">
        <v>1.074074074074074</v>
      </c>
      <c r="J282" s="3">
        <v>7.1428571428571397E-2</v>
      </c>
      <c r="K282" s="3">
        <v>-7.5592894601845442E-2</v>
      </c>
      <c r="L282" s="3">
        <v>0</v>
      </c>
      <c r="M282" s="3">
        <v>0</v>
      </c>
      <c r="N282" s="3">
        <v>0</v>
      </c>
      <c r="O282" s="3">
        <v>0.5</v>
      </c>
      <c r="P282" t="s">
        <v>172</v>
      </c>
    </row>
    <row r="283" spans="1:16">
      <c r="A283" t="s">
        <v>169</v>
      </c>
      <c r="B283" t="s">
        <v>49</v>
      </c>
      <c r="C283" t="s">
        <v>112</v>
      </c>
      <c r="D283" t="s">
        <v>51</v>
      </c>
      <c r="E283" t="s">
        <v>54</v>
      </c>
      <c r="F283" s="2">
        <v>5</v>
      </c>
      <c r="G283" s="3">
        <v>0.17241379310344829</v>
      </c>
      <c r="H283" s="3">
        <v>0.33238095238095228</v>
      </c>
      <c r="I283" s="3">
        <v>1.927809523809523</v>
      </c>
      <c r="J283" s="3">
        <v>0.70000000000000007</v>
      </c>
      <c r="K283" s="3">
        <v>0.38251842611872477</v>
      </c>
      <c r="L283" s="3">
        <v>0.55555555555555558</v>
      </c>
      <c r="M283" s="3">
        <v>0.42857142857142849</v>
      </c>
      <c r="N283" s="3">
        <v>0.6</v>
      </c>
      <c r="O283" s="3">
        <v>0.59958293076202895</v>
      </c>
      <c r="P283" t="s">
        <v>172</v>
      </c>
    </row>
    <row r="284" spans="1:16">
      <c r="A284" t="s">
        <v>169</v>
      </c>
      <c r="B284" t="s">
        <v>49</v>
      </c>
      <c r="C284" t="s">
        <v>112</v>
      </c>
      <c r="D284" t="s">
        <v>51</v>
      </c>
      <c r="E284" t="s">
        <v>55</v>
      </c>
      <c r="F284" s="2">
        <v>4</v>
      </c>
      <c r="G284" s="3">
        <v>0.13793103448275859</v>
      </c>
      <c r="H284" s="3">
        <v>0.1142191142191142</v>
      </c>
      <c r="I284" s="3">
        <v>0.82808857808857805</v>
      </c>
      <c r="J284" s="3">
        <v>0.27</v>
      </c>
      <c r="K284" s="3">
        <v>-0.30558769344304171</v>
      </c>
      <c r="L284" s="3">
        <v>0.1470588235294118</v>
      </c>
      <c r="M284" s="3">
        <v>5.5555555555555552E-2</v>
      </c>
      <c r="N284" s="3">
        <v>0.25</v>
      </c>
      <c r="O284" s="3">
        <v>0.34789390652368202</v>
      </c>
      <c r="P284" t="s">
        <v>172</v>
      </c>
    </row>
    <row r="285" spans="1:16">
      <c r="A285" t="s">
        <v>169</v>
      </c>
      <c r="B285" t="s">
        <v>49</v>
      </c>
      <c r="C285" t="s">
        <v>112</v>
      </c>
      <c r="D285" t="s">
        <v>51</v>
      </c>
      <c r="E285" t="s">
        <v>56</v>
      </c>
      <c r="F285" s="2">
        <v>2</v>
      </c>
      <c r="G285" s="3">
        <v>6.8965517241379309E-2</v>
      </c>
      <c r="H285" s="3">
        <v>7.2619047619047611E-2</v>
      </c>
      <c r="I285" s="3">
        <v>1.0529761904761901</v>
      </c>
      <c r="J285" s="3">
        <v>0.29629629629629628</v>
      </c>
      <c r="K285" s="3">
        <v>0.16798421022632321</v>
      </c>
      <c r="L285" s="3">
        <v>0.34482758620689657</v>
      </c>
      <c r="M285" s="3">
        <v>9.5238095238095233E-2</v>
      </c>
      <c r="N285" s="3">
        <v>1</v>
      </c>
      <c r="O285" s="3">
        <v>0.5</v>
      </c>
      <c r="P285" t="s">
        <v>172</v>
      </c>
    </row>
    <row r="286" spans="1:16">
      <c r="A286" t="s">
        <v>169</v>
      </c>
      <c r="B286" t="s">
        <v>49</v>
      </c>
      <c r="C286" t="s">
        <v>112</v>
      </c>
      <c r="D286" t="s">
        <v>51</v>
      </c>
      <c r="E286" t="s">
        <v>57</v>
      </c>
      <c r="F286" s="2">
        <v>1</v>
      </c>
      <c r="G286" s="3">
        <v>3.4482758620689648E-2</v>
      </c>
      <c r="H286" s="3">
        <v>8.3333333333333329E-2</v>
      </c>
      <c r="I286" s="3">
        <v>2.416666666666667</v>
      </c>
      <c r="J286" s="3">
        <v>0.60714285714285721</v>
      </c>
      <c r="K286" s="3">
        <v>9.6523417813168033E-2</v>
      </c>
      <c r="L286" s="3">
        <v>0.1851851851851852</v>
      </c>
      <c r="M286" s="3">
        <v>4.3478260869565223E-2</v>
      </c>
      <c r="N286" s="3">
        <v>1</v>
      </c>
      <c r="O286" s="3">
        <v>0.52990107254954366</v>
      </c>
      <c r="P286" t="s">
        <v>172</v>
      </c>
    </row>
    <row r="287" spans="1:16">
      <c r="A287" t="s">
        <v>169</v>
      </c>
      <c r="B287" t="s">
        <v>49</v>
      </c>
      <c r="C287" t="s">
        <v>66</v>
      </c>
      <c r="D287" t="s">
        <v>51</v>
      </c>
      <c r="E287" t="s">
        <v>52</v>
      </c>
      <c r="F287" s="2">
        <v>1</v>
      </c>
      <c r="G287" s="3">
        <v>3.4482758620689648E-2</v>
      </c>
      <c r="H287" s="3">
        <v>0.5</v>
      </c>
      <c r="I287" s="3">
        <v>14.5</v>
      </c>
      <c r="J287" s="3">
        <v>0.9642857142857143</v>
      </c>
      <c r="K287" s="3">
        <v>0</v>
      </c>
      <c r="L287" s="3">
        <v>0</v>
      </c>
      <c r="M287" s="3">
        <v>0</v>
      </c>
      <c r="N287" s="3">
        <v>0</v>
      </c>
      <c r="O287" s="3">
        <v>0.5</v>
      </c>
      <c r="P287" t="s">
        <v>173</v>
      </c>
    </row>
    <row r="288" spans="1:16">
      <c r="A288" t="s">
        <v>169</v>
      </c>
      <c r="B288" t="s">
        <v>49</v>
      </c>
      <c r="C288" t="s">
        <v>66</v>
      </c>
      <c r="D288" t="s">
        <v>51</v>
      </c>
      <c r="E288" t="s">
        <v>54</v>
      </c>
      <c r="F288" s="2">
        <v>5</v>
      </c>
      <c r="G288" s="3">
        <v>0.17241379310344829</v>
      </c>
      <c r="H288" s="3">
        <v>0.23499999999999999</v>
      </c>
      <c r="I288" s="3">
        <v>1.363</v>
      </c>
      <c r="J288" s="3">
        <v>0.58333333333333337</v>
      </c>
      <c r="K288" s="3">
        <v>0</v>
      </c>
      <c r="L288" s="3">
        <v>0</v>
      </c>
      <c r="M288" s="3">
        <v>0</v>
      </c>
      <c r="N288" s="3">
        <v>0</v>
      </c>
      <c r="O288" s="3">
        <v>0.49865919585400298</v>
      </c>
      <c r="P288" t="s">
        <v>173</v>
      </c>
    </row>
    <row r="289" spans="1:16">
      <c r="A289" t="s">
        <v>169</v>
      </c>
      <c r="B289" t="s">
        <v>49</v>
      </c>
      <c r="C289" t="s">
        <v>66</v>
      </c>
      <c r="D289" t="s">
        <v>51</v>
      </c>
      <c r="E289" t="s">
        <v>55</v>
      </c>
      <c r="F289" s="2">
        <v>4</v>
      </c>
      <c r="G289" s="3">
        <v>0.13793103448275859</v>
      </c>
      <c r="H289" s="3">
        <v>0.56666666666666665</v>
      </c>
      <c r="I289" s="3">
        <v>4.1083333333333334</v>
      </c>
      <c r="J289" s="3">
        <v>0.93</v>
      </c>
      <c r="K289" s="3">
        <v>0.64807406984078608</v>
      </c>
      <c r="L289" s="3">
        <v>0.83333333333333337</v>
      </c>
      <c r="M289" s="3">
        <v>0.5</v>
      </c>
      <c r="N289" s="3">
        <v>1</v>
      </c>
      <c r="O289" s="3">
        <v>0.1892230915961908</v>
      </c>
      <c r="P289" t="s">
        <v>173</v>
      </c>
    </row>
    <row r="290" spans="1:16">
      <c r="A290" t="s">
        <v>169</v>
      </c>
      <c r="B290" t="s">
        <v>49</v>
      </c>
      <c r="C290" t="s">
        <v>66</v>
      </c>
      <c r="D290" t="s">
        <v>51</v>
      </c>
      <c r="E290" t="s">
        <v>56</v>
      </c>
      <c r="F290" s="2">
        <v>2</v>
      </c>
      <c r="G290" s="3">
        <v>6.8965517241379309E-2</v>
      </c>
      <c r="H290" s="3">
        <v>0.17692307692307691</v>
      </c>
      <c r="I290" s="3">
        <v>2.565384615384616</v>
      </c>
      <c r="J290" s="3">
        <v>0.72222222222222221</v>
      </c>
      <c r="K290" s="3">
        <v>0</v>
      </c>
      <c r="L290" s="3">
        <v>0</v>
      </c>
      <c r="M290" s="3">
        <v>0</v>
      </c>
      <c r="N290" s="3">
        <v>0</v>
      </c>
      <c r="O290" s="3">
        <v>0.5</v>
      </c>
      <c r="P290" t="s">
        <v>173</v>
      </c>
    </row>
    <row r="291" spans="1:16">
      <c r="A291" t="s">
        <v>169</v>
      </c>
      <c r="B291" t="s">
        <v>49</v>
      </c>
      <c r="C291" t="s">
        <v>66</v>
      </c>
      <c r="D291" t="s">
        <v>51</v>
      </c>
      <c r="E291" t="s">
        <v>57</v>
      </c>
      <c r="F291" s="2">
        <v>1</v>
      </c>
      <c r="G291" s="3">
        <v>3.4482758620689648E-2</v>
      </c>
      <c r="H291" s="3">
        <v>3.7037037037037028E-2</v>
      </c>
      <c r="I291" s="3">
        <v>1.074074074074074</v>
      </c>
      <c r="J291" s="3">
        <v>7.1428571428571397E-2</v>
      </c>
      <c r="K291" s="3">
        <v>-0.41403933560541262</v>
      </c>
      <c r="L291" s="3">
        <v>0</v>
      </c>
      <c r="M291" s="3">
        <v>0</v>
      </c>
      <c r="N291" s="3">
        <v>0</v>
      </c>
      <c r="O291" s="3">
        <v>8.0762157731744444E-2</v>
      </c>
      <c r="P291" t="s">
        <v>173</v>
      </c>
    </row>
    <row r="292" spans="1:16">
      <c r="A292" t="s">
        <v>169</v>
      </c>
      <c r="B292" t="s">
        <v>49</v>
      </c>
      <c r="C292" t="s">
        <v>115</v>
      </c>
      <c r="D292" t="s">
        <v>51</v>
      </c>
      <c r="E292" t="s">
        <v>52</v>
      </c>
      <c r="F292" s="2">
        <v>1</v>
      </c>
      <c r="G292" s="3">
        <v>3.4482758620689648E-2</v>
      </c>
      <c r="H292" s="3">
        <v>3.5714285714285712E-2</v>
      </c>
      <c r="I292" s="3">
        <v>1.035714285714286</v>
      </c>
      <c r="J292" s="3">
        <v>3.5714285714285698E-2</v>
      </c>
      <c r="K292" s="3">
        <v>0</v>
      </c>
      <c r="L292" s="3">
        <v>0</v>
      </c>
      <c r="M292" s="3">
        <v>0</v>
      </c>
      <c r="N292" s="3">
        <v>0</v>
      </c>
      <c r="O292" s="3">
        <v>0.5</v>
      </c>
      <c r="P292" t="s">
        <v>174</v>
      </c>
    </row>
    <row r="293" spans="1:16">
      <c r="A293" t="s">
        <v>169</v>
      </c>
      <c r="B293" t="s">
        <v>49</v>
      </c>
      <c r="C293" t="s">
        <v>115</v>
      </c>
      <c r="D293" t="s">
        <v>51</v>
      </c>
      <c r="E293" t="s">
        <v>54</v>
      </c>
      <c r="F293" s="2">
        <v>5</v>
      </c>
      <c r="G293" s="3">
        <v>0.17241379310344829</v>
      </c>
      <c r="H293" s="3">
        <v>0.1549060390439701</v>
      </c>
      <c r="I293" s="3">
        <v>0.8984550264550264</v>
      </c>
      <c r="J293" s="3">
        <v>0.29166666666666669</v>
      </c>
      <c r="K293" s="3">
        <v>-0.25827572322297188</v>
      </c>
      <c r="L293" s="3">
        <v>0.1470588235294118</v>
      </c>
      <c r="M293" s="3">
        <v>7.1428571428571425E-2</v>
      </c>
      <c r="N293" s="3">
        <v>0.2</v>
      </c>
      <c r="O293" s="3">
        <v>0.13695028482751059</v>
      </c>
      <c r="P293" t="s">
        <v>174</v>
      </c>
    </row>
    <row r="294" spans="1:16">
      <c r="A294" t="s">
        <v>169</v>
      </c>
      <c r="B294" t="s">
        <v>49</v>
      </c>
      <c r="C294" t="s">
        <v>115</v>
      </c>
      <c r="D294" t="s">
        <v>51</v>
      </c>
      <c r="E294" t="s">
        <v>55</v>
      </c>
      <c r="F294" s="2">
        <v>4</v>
      </c>
      <c r="G294" s="3">
        <v>0.13793103448275859</v>
      </c>
      <c r="H294" s="3">
        <v>0.73750000000000004</v>
      </c>
      <c r="I294" s="3">
        <v>5.3468750000000007</v>
      </c>
      <c r="J294" s="3">
        <v>0.83000000000000007</v>
      </c>
      <c r="K294" s="3">
        <v>0</v>
      </c>
      <c r="L294" s="3">
        <v>0</v>
      </c>
      <c r="M294" s="3">
        <v>0</v>
      </c>
      <c r="N294" s="3">
        <v>0</v>
      </c>
      <c r="O294" s="3">
        <v>0.51752948173279067</v>
      </c>
      <c r="P294" t="s">
        <v>174</v>
      </c>
    </row>
    <row r="295" spans="1:16">
      <c r="A295" t="s">
        <v>169</v>
      </c>
      <c r="B295" t="s">
        <v>49</v>
      </c>
      <c r="C295" t="s">
        <v>115</v>
      </c>
      <c r="D295" t="s">
        <v>51</v>
      </c>
      <c r="E295" t="s">
        <v>56</v>
      </c>
      <c r="F295" s="2">
        <v>2</v>
      </c>
      <c r="G295" s="3">
        <v>6.8965517241379309E-2</v>
      </c>
      <c r="H295" s="3">
        <v>8.0128205128205121E-2</v>
      </c>
      <c r="I295" s="3">
        <v>1.161858974358974</v>
      </c>
      <c r="J295" s="3">
        <v>0.35185185185185192</v>
      </c>
      <c r="K295" s="3">
        <v>0</v>
      </c>
      <c r="L295" s="3">
        <v>0</v>
      </c>
      <c r="M295" s="3">
        <v>0</v>
      </c>
      <c r="N295" s="3">
        <v>0</v>
      </c>
      <c r="O295" s="3">
        <v>0.5</v>
      </c>
      <c r="P295" t="s">
        <v>174</v>
      </c>
    </row>
    <row r="296" spans="1:16">
      <c r="A296" t="s">
        <v>169</v>
      </c>
      <c r="B296" t="s">
        <v>49</v>
      </c>
      <c r="C296" t="s">
        <v>115</v>
      </c>
      <c r="D296" t="s">
        <v>51</v>
      </c>
      <c r="E296" t="s">
        <v>57</v>
      </c>
      <c r="F296" s="2">
        <v>1</v>
      </c>
      <c r="G296" s="3">
        <v>3.4482758620689648E-2</v>
      </c>
      <c r="H296" s="3">
        <v>6.25E-2</v>
      </c>
      <c r="I296" s="3">
        <v>1.8125</v>
      </c>
      <c r="J296" s="3">
        <v>0.4642857142857143</v>
      </c>
      <c r="K296" s="3">
        <v>5.1434449987363969E-2</v>
      </c>
      <c r="L296" s="3">
        <v>0.16129032258064521</v>
      </c>
      <c r="M296" s="3">
        <v>3.7037037037037028E-2</v>
      </c>
      <c r="N296" s="3">
        <v>1</v>
      </c>
      <c r="O296" s="3">
        <v>5.9127387452680959E-2</v>
      </c>
      <c r="P296" t="s">
        <v>174</v>
      </c>
    </row>
    <row r="297" spans="1:16">
      <c r="A297" t="s">
        <v>169</v>
      </c>
      <c r="B297" t="s">
        <v>49</v>
      </c>
      <c r="C297" t="s">
        <v>117</v>
      </c>
      <c r="D297" t="s">
        <v>51</v>
      </c>
      <c r="E297" t="s">
        <v>52</v>
      </c>
      <c r="F297" s="2">
        <v>1</v>
      </c>
      <c r="G297" s="3">
        <v>3.4482758620689648E-2</v>
      </c>
      <c r="H297" s="3">
        <v>1</v>
      </c>
      <c r="I297" s="3">
        <v>29</v>
      </c>
      <c r="J297" s="3">
        <v>1</v>
      </c>
      <c r="K297" s="3">
        <v>0</v>
      </c>
      <c r="L297" s="3">
        <v>0</v>
      </c>
      <c r="M297" s="3">
        <v>0</v>
      </c>
      <c r="N297" s="3">
        <v>0</v>
      </c>
      <c r="O297" s="3">
        <v>0.5</v>
      </c>
      <c r="P297" t="s">
        <v>175</v>
      </c>
    </row>
    <row r="298" spans="1:16">
      <c r="A298" t="s">
        <v>169</v>
      </c>
      <c r="B298" t="s">
        <v>49</v>
      </c>
      <c r="C298" t="s">
        <v>117</v>
      </c>
      <c r="D298" t="s">
        <v>51</v>
      </c>
      <c r="E298" t="s">
        <v>54</v>
      </c>
      <c r="F298" s="2">
        <v>5</v>
      </c>
      <c r="G298" s="3">
        <v>0.17241379310344829</v>
      </c>
      <c r="H298" s="3">
        <v>0.25596638655462178</v>
      </c>
      <c r="I298" s="3">
        <v>1.4846050420168071</v>
      </c>
      <c r="J298" s="3">
        <v>0.65</v>
      </c>
      <c r="K298" s="3">
        <v>0</v>
      </c>
      <c r="L298" s="3">
        <v>0</v>
      </c>
      <c r="M298" s="3">
        <v>0</v>
      </c>
      <c r="N298" s="3">
        <v>0</v>
      </c>
      <c r="O298" s="3">
        <v>0.84795992000019138</v>
      </c>
      <c r="P298" t="s">
        <v>175</v>
      </c>
    </row>
    <row r="299" spans="1:16">
      <c r="A299" t="s">
        <v>169</v>
      </c>
      <c r="B299" t="s">
        <v>49</v>
      </c>
      <c r="C299" t="s">
        <v>117</v>
      </c>
      <c r="D299" t="s">
        <v>51</v>
      </c>
      <c r="E299" t="s">
        <v>55</v>
      </c>
      <c r="F299" s="2">
        <v>4</v>
      </c>
      <c r="G299" s="3">
        <v>0.13793103448275859</v>
      </c>
      <c r="H299" s="3">
        <v>0.66785714285714282</v>
      </c>
      <c r="I299" s="3">
        <v>4.8419642857142851</v>
      </c>
      <c r="J299" s="3">
        <v>0.93</v>
      </c>
      <c r="K299" s="3">
        <v>0.70912420834233469</v>
      </c>
      <c r="L299" s="3">
        <v>0.86956521739130432</v>
      </c>
      <c r="M299" s="3">
        <v>0.5714285714285714</v>
      </c>
      <c r="N299" s="3">
        <v>1</v>
      </c>
      <c r="O299" s="3">
        <v>7.7647780152459572E-3</v>
      </c>
      <c r="P299" t="s">
        <v>175</v>
      </c>
    </row>
    <row r="300" spans="1:16">
      <c r="A300" t="s">
        <v>169</v>
      </c>
      <c r="B300" t="s">
        <v>49</v>
      </c>
      <c r="C300" t="s">
        <v>117</v>
      </c>
      <c r="D300" t="s">
        <v>51</v>
      </c>
      <c r="E300" t="s">
        <v>56</v>
      </c>
      <c r="F300" s="2">
        <v>2</v>
      </c>
      <c r="G300" s="3">
        <v>6.8965517241379309E-2</v>
      </c>
      <c r="H300" s="3">
        <v>0.22500000000000001</v>
      </c>
      <c r="I300" s="3">
        <v>3.2625000000000002</v>
      </c>
      <c r="J300" s="3">
        <v>0.81481481481481488</v>
      </c>
      <c r="K300" s="3">
        <v>0.23602939762497779</v>
      </c>
      <c r="L300" s="3">
        <v>0.38461538461538458</v>
      </c>
      <c r="M300" s="3">
        <v>0.2</v>
      </c>
      <c r="N300" s="3">
        <v>0.5</v>
      </c>
      <c r="O300" s="3">
        <v>0.5</v>
      </c>
      <c r="P300" t="s">
        <v>175</v>
      </c>
    </row>
    <row r="301" spans="1:16">
      <c r="A301" t="s">
        <v>169</v>
      </c>
      <c r="B301" t="s">
        <v>49</v>
      </c>
      <c r="C301" t="s">
        <v>117</v>
      </c>
      <c r="D301" t="s">
        <v>51</v>
      </c>
      <c r="E301" t="s">
        <v>57</v>
      </c>
      <c r="F301" s="2">
        <v>1</v>
      </c>
      <c r="G301" s="3">
        <v>3.4482758620689648E-2</v>
      </c>
      <c r="H301" s="3">
        <v>0.05</v>
      </c>
      <c r="I301" s="3">
        <v>1.45</v>
      </c>
      <c r="J301" s="3">
        <v>0.3214285714285714</v>
      </c>
      <c r="K301" s="3">
        <v>-6.4194073876636934E-2</v>
      </c>
      <c r="L301" s="3">
        <v>0</v>
      </c>
      <c r="M301" s="3">
        <v>0</v>
      </c>
      <c r="N301" s="3">
        <v>0</v>
      </c>
      <c r="O301" s="3">
        <v>0.1874476527973038</v>
      </c>
      <c r="P301" t="s">
        <v>175</v>
      </c>
    </row>
    <row r="302" spans="1:16">
      <c r="A302" t="s">
        <v>169</v>
      </c>
      <c r="B302" t="s">
        <v>68</v>
      </c>
      <c r="C302" t="s">
        <v>108</v>
      </c>
      <c r="D302" t="s">
        <v>51</v>
      </c>
      <c r="E302" t="s">
        <v>52</v>
      </c>
      <c r="F302" s="2">
        <v>1</v>
      </c>
      <c r="G302" s="3">
        <v>3.4482758620689648E-2</v>
      </c>
      <c r="H302" s="3">
        <v>1</v>
      </c>
      <c r="I302" s="3">
        <v>29</v>
      </c>
      <c r="J302" s="3">
        <v>1</v>
      </c>
      <c r="K302" s="3">
        <v>0.55634864026418673</v>
      </c>
      <c r="L302" s="3">
        <v>0.7142857142857143</v>
      </c>
      <c r="M302" s="3">
        <v>0.33333333333333331</v>
      </c>
      <c r="N302" s="3">
        <v>1</v>
      </c>
      <c r="O302" s="3">
        <v>0.5</v>
      </c>
      <c r="P302" t="s">
        <v>176</v>
      </c>
    </row>
    <row r="303" spans="1:16">
      <c r="A303" t="s">
        <v>169</v>
      </c>
      <c r="B303" t="s">
        <v>68</v>
      </c>
      <c r="C303" t="s">
        <v>108</v>
      </c>
      <c r="D303" t="s">
        <v>51</v>
      </c>
      <c r="E303" t="s">
        <v>54</v>
      </c>
      <c r="F303" s="2">
        <v>5</v>
      </c>
      <c r="G303" s="3">
        <v>0.17241379310344829</v>
      </c>
      <c r="H303" s="3">
        <v>0.33904761904761899</v>
      </c>
      <c r="I303" s="3">
        <v>1.96647619047619</v>
      </c>
      <c r="J303" s="3">
        <v>0.6166666666666667</v>
      </c>
      <c r="K303" s="3">
        <v>0.2175844552560732</v>
      </c>
      <c r="L303" s="3">
        <v>0.38461538461538458</v>
      </c>
      <c r="M303" s="3">
        <v>0.33333333333333331</v>
      </c>
      <c r="N303" s="3">
        <v>0.4</v>
      </c>
      <c r="O303" s="3">
        <v>2.834496344591908E-2</v>
      </c>
      <c r="P303" t="s">
        <v>176</v>
      </c>
    </row>
    <row r="304" spans="1:16">
      <c r="A304" t="s">
        <v>169</v>
      </c>
      <c r="B304" t="s">
        <v>68</v>
      </c>
      <c r="C304" t="s">
        <v>108</v>
      </c>
      <c r="D304" t="s">
        <v>51</v>
      </c>
      <c r="E304" t="s">
        <v>55</v>
      </c>
      <c r="F304" s="2">
        <v>4</v>
      </c>
      <c r="G304" s="3">
        <v>0.13793103448275859</v>
      </c>
      <c r="H304" s="3">
        <v>0.68846153846153846</v>
      </c>
      <c r="I304" s="3">
        <v>4.9913461538461537</v>
      </c>
      <c r="J304" s="3">
        <v>0.76000000000000012</v>
      </c>
      <c r="K304" s="3">
        <v>0.68041381743977158</v>
      </c>
      <c r="L304" s="3">
        <v>0.55555555555555558</v>
      </c>
      <c r="M304" s="3">
        <v>1</v>
      </c>
      <c r="N304" s="3">
        <v>0.5</v>
      </c>
      <c r="O304" s="3">
        <v>0.10814573631417421</v>
      </c>
      <c r="P304" t="s">
        <v>176</v>
      </c>
    </row>
    <row r="305" spans="1:16">
      <c r="A305" t="s">
        <v>169</v>
      </c>
      <c r="B305" t="s">
        <v>68</v>
      </c>
      <c r="C305" t="s">
        <v>108</v>
      </c>
      <c r="D305" t="s">
        <v>51</v>
      </c>
      <c r="E305" t="s">
        <v>56</v>
      </c>
      <c r="F305" s="2">
        <v>2</v>
      </c>
      <c r="G305" s="3">
        <v>6.8965517241379309E-2</v>
      </c>
      <c r="H305" s="3">
        <v>0.16666666666666671</v>
      </c>
      <c r="I305" s="3">
        <v>2.416666666666667</v>
      </c>
      <c r="J305" s="3">
        <v>0.53703703703703709</v>
      </c>
      <c r="K305" s="3">
        <v>-7.407407407407407E-2</v>
      </c>
      <c r="L305" s="3">
        <v>0</v>
      </c>
      <c r="M305" s="3">
        <v>0</v>
      </c>
      <c r="N305" s="3">
        <v>0</v>
      </c>
      <c r="O305" s="3">
        <v>0.5</v>
      </c>
      <c r="P305" t="s">
        <v>176</v>
      </c>
    </row>
    <row r="306" spans="1:16">
      <c r="A306" t="s">
        <v>169</v>
      </c>
      <c r="B306" t="s">
        <v>68</v>
      </c>
      <c r="C306" t="s">
        <v>108</v>
      </c>
      <c r="D306" t="s">
        <v>51</v>
      </c>
      <c r="E306" t="s">
        <v>57</v>
      </c>
      <c r="F306" s="2">
        <v>1</v>
      </c>
      <c r="G306" s="3">
        <v>3.4482758620689648E-2</v>
      </c>
      <c r="H306" s="3">
        <v>0.5</v>
      </c>
      <c r="I306" s="3">
        <v>14.5</v>
      </c>
      <c r="J306" s="3">
        <v>0.9642857142857143</v>
      </c>
      <c r="K306" s="3">
        <v>0.1166423687039609</v>
      </c>
      <c r="L306" s="3">
        <v>0.2</v>
      </c>
      <c r="M306" s="3">
        <v>4.7619047619047623E-2</v>
      </c>
      <c r="N306" s="3">
        <v>1</v>
      </c>
      <c r="O306" s="3">
        <v>5.6215548420959632E-3</v>
      </c>
      <c r="P306" t="s">
        <v>176</v>
      </c>
    </row>
    <row r="307" spans="1:16">
      <c r="A307" t="s">
        <v>169</v>
      </c>
      <c r="B307" t="s">
        <v>68</v>
      </c>
      <c r="C307" t="s">
        <v>110</v>
      </c>
      <c r="D307" t="s">
        <v>51</v>
      </c>
      <c r="E307" t="s">
        <v>52</v>
      </c>
      <c r="F307" s="2">
        <v>1</v>
      </c>
      <c r="G307" s="3">
        <v>3.4482758620689648E-2</v>
      </c>
      <c r="H307" s="3">
        <v>1</v>
      </c>
      <c r="I307" s="3">
        <v>29</v>
      </c>
      <c r="J307" s="3">
        <v>1</v>
      </c>
      <c r="K307" s="3">
        <v>0</v>
      </c>
      <c r="L307" s="3">
        <v>0</v>
      </c>
      <c r="M307" s="3">
        <v>0</v>
      </c>
      <c r="N307" s="3">
        <v>0</v>
      </c>
      <c r="O307" s="3">
        <v>0.5</v>
      </c>
      <c r="P307" t="s">
        <v>177</v>
      </c>
    </row>
    <row r="308" spans="1:16">
      <c r="A308" t="s">
        <v>169</v>
      </c>
      <c r="B308" t="s">
        <v>68</v>
      </c>
      <c r="C308" t="s">
        <v>110</v>
      </c>
      <c r="D308" t="s">
        <v>51</v>
      </c>
      <c r="E308" t="s">
        <v>54</v>
      </c>
      <c r="F308" s="2">
        <v>5</v>
      </c>
      <c r="G308" s="3">
        <v>0.17241379310344829</v>
      </c>
      <c r="H308" s="3">
        <v>0.28801313628899827</v>
      </c>
      <c r="I308" s="3">
        <v>1.67047619047619</v>
      </c>
      <c r="J308" s="3">
        <v>0.68333333333333346</v>
      </c>
      <c r="K308" s="3">
        <v>-0.1242259987499883</v>
      </c>
      <c r="L308" s="3">
        <v>0</v>
      </c>
      <c r="M308" s="3">
        <v>0</v>
      </c>
      <c r="N308" s="3">
        <v>0</v>
      </c>
      <c r="O308" s="3">
        <v>0.39031060989641148</v>
      </c>
      <c r="P308" t="s">
        <v>177</v>
      </c>
    </row>
    <row r="309" spans="1:16">
      <c r="A309" t="s">
        <v>169</v>
      </c>
      <c r="B309" t="s">
        <v>68</v>
      </c>
      <c r="C309" t="s">
        <v>110</v>
      </c>
      <c r="D309" t="s">
        <v>51</v>
      </c>
      <c r="E309" t="s">
        <v>55</v>
      </c>
      <c r="F309" s="2">
        <v>4</v>
      </c>
      <c r="G309" s="3">
        <v>0.13793103448275859</v>
      </c>
      <c r="H309" s="3">
        <v>0.91666666666666663</v>
      </c>
      <c r="I309" s="3">
        <v>6.645833333333333</v>
      </c>
      <c r="J309" s="3">
        <v>0.98</v>
      </c>
      <c r="K309" s="3">
        <v>0.61162352254743546</v>
      </c>
      <c r="L309" s="3">
        <v>0.7142857142857143</v>
      </c>
      <c r="M309" s="3">
        <v>0.6</v>
      </c>
      <c r="N309" s="3">
        <v>0.75</v>
      </c>
      <c r="O309" s="3">
        <v>0.39643153863759389</v>
      </c>
      <c r="P309" t="s">
        <v>177</v>
      </c>
    </row>
    <row r="310" spans="1:16">
      <c r="A310" t="s">
        <v>169</v>
      </c>
      <c r="B310" t="s">
        <v>68</v>
      </c>
      <c r="C310" t="s">
        <v>110</v>
      </c>
      <c r="D310" t="s">
        <v>51</v>
      </c>
      <c r="E310" t="s">
        <v>56</v>
      </c>
      <c r="F310" s="2">
        <v>2</v>
      </c>
      <c r="G310" s="3">
        <v>6.8965517241379309E-2</v>
      </c>
      <c r="H310" s="3">
        <v>0.28448275862068972</v>
      </c>
      <c r="I310" s="3">
        <v>4.125</v>
      </c>
      <c r="J310" s="3">
        <v>0.72222222222222232</v>
      </c>
      <c r="K310" s="3">
        <v>0</v>
      </c>
      <c r="L310" s="3">
        <v>0</v>
      </c>
      <c r="M310" s="3">
        <v>0</v>
      </c>
      <c r="N310" s="3">
        <v>0</v>
      </c>
      <c r="O310" s="3">
        <v>0.5</v>
      </c>
      <c r="P310" t="s">
        <v>177</v>
      </c>
    </row>
    <row r="311" spans="1:16">
      <c r="A311" t="s">
        <v>169</v>
      </c>
      <c r="B311" t="s">
        <v>68</v>
      </c>
      <c r="C311" t="s">
        <v>110</v>
      </c>
      <c r="D311" t="s">
        <v>51</v>
      </c>
      <c r="E311" t="s">
        <v>57</v>
      </c>
      <c r="F311" s="2">
        <v>1</v>
      </c>
      <c r="G311" s="3">
        <v>3.4482758620689648E-2</v>
      </c>
      <c r="H311" s="3">
        <v>0.33333333333333331</v>
      </c>
      <c r="I311" s="3">
        <v>9.6666666666666661</v>
      </c>
      <c r="J311" s="3">
        <v>0.9285714285714286</v>
      </c>
      <c r="K311" s="3">
        <v>0</v>
      </c>
      <c r="L311" s="3">
        <v>0.15151515151515149</v>
      </c>
      <c r="M311" s="3">
        <v>3.4482758620689648E-2</v>
      </c>
      <c r="N311" s="3">
        <v>1</v>
      </c>
      <c r="O311" s="3">
        <v>0</v>
      </c>
      <c r="P311" t="s">
        <v>177</v>
      </c>
    </row>
    <row r="312" spans="1:16">
      <c r="A312" t="s">
        <v>169</v>
      </c>
      <c r="B312" t="s">
        <v>68</v>
      </c>
      <c r="C312" t="s">
        <v>112</v>
      </c>
      <c r="D312" t="s">
        <v>51</v>
      </c>
      <c r="E312" t="s">
        <v>52</v>
      </c>
      <c r="F312" s="2">
        <v>1</v>
      </c>
      <c r="G312" s="3">
        <v>3.4482758620689648E-2</v>
      </c>
      <c r="H312" s="3">
        <v>0.1111111111111111</v>
      </c>
      <c r="I312" s="3">
        <v>3.2222222222222219</v>
      </c>
      <c r="J312" s="3">
        <v>0.7142857142857143</v>
      </c>
      <c r="K312" s="3">
        <v>0.28171808490950551</v>
      </c>
      <c r="L312" s="3">
        <v>0.38461538461538458</v>
      </c>
      <c r="M312" s="3">
        <v>0.1111111111111111</v>
      </c>
      <c r="N312" s="3">
        <v>1</v>
      </c>
      <c r="O312" s="3">
        <v>0.5</v>
      </c>
      <c r="P312" t="s">
        <v>178</v>
      </c>
    </row>
    <row r="313" spans="1:16">
      <c r="A313" t="s">
        <v>169</v>
      </c>
      <c r="B313" t="s">
        <v>68</v>
      </c>
      <c r="C313" t="s">
        <v>112</v>
      </c>
      <c r="D313" t="s">
        <v>51</v>
      </c>
      <c r="E313" t="s">
        <v>54</v>
      </c>
      <c r="F313" s="2">
        <v>5</v>
      </c>
      <c r="G313" s="3">
        <v>0.17241379310344829</v>
      </c>
      <c r="H313" s="3">
        <v>0.25485714285714289</v>
      </c>
      <c r="I313" s="3">
        <v>1.4781714285714289</v>
      </c>
      <c r="J313" s="3">
        <v>0.44166666666666671</v>
      </c>
      <c r="K313" s="3">
        <v>-1.278274981412284E-2</v>
      </c>
      <c r="L313" s="3">
        <v>0.3125</v>
      </c>
      <c r="M313" s="3">
        <v>0.16666666666666671</v>
      </c>
      <c r="N313" s="3">
        <v>0.4</v>
      </c>
      <c r="O313" s="3">
        <v>8.0152958183979384E-2</v>
      </c>
      <c r="P313" t="s">
        <v>178</v>
      </c>
    </row>
    <row r="314" spans="1:16">
      <c r="A314" t="s">
        <v>169</v>
      </c>
      <c r="B314" t="s">
        <v>68</v>
      </c>
      <c r="C314" t="s">
        <v>112</v>
      </c>
      <c r="D314" t="s">
        <v>51</v>
      </c>
      <c r="E314" t="s">
        <v>55</v>
      </c>
      <c r="F314" s="2">
        <v>4</v>
      </c>
      <c r="G314" s="3">
        <v>0.13793103448275859</v>
      </c>
      <c r="H314" s="3">
        <v>0.79545454545454541</v>
      </c>
      <c r="I314" s="3">
        <v>5.7670454545454541</v>
      </c>
      <c r="J314" s="3">
        <v>0.82000000000000006</v>
      </c>
      <c r="K314" s="3">
        <v>0.71</v>
      </c>
      <c r="L314" s="3">
        <v>0.75</v>
      </c>
      <c r="M314" s="3">
        <v>0.75</v>
      </c>
      <c r="N314" s="3">
        <v>0.75</v>
      </c>
      <c r="O314" s="3">
        <v>0.2153957675117841</v>
      </c>
      <c r="P314" t="s">
        <v>178</v>
      </c>
    </row>
    <row r="315" spans="1:16">
      <c r="A315" t="s">
        <v>169</v>
      </c>
      <c r="B315" t="s">
        <v>68</v>
      </c>
      <c r="C315" t="s">
        <v>112</v>
      </c>
      <c r="D315" t="s">
        <v>51</v>
      </c>
      <c r="E315" t="s">
        <v>56</v>
      </c>
      <c r="F315" s="2">
        <v>2</v>
      </c>
      <c r="G315" s="3">
        <v>6.8965517241379309E-2</v>
      </c>
      <c r="H315" s="3">
        <v>6.6666666666666666E-2</v>
      </c>
      <c r="I315" s="3">
        <v>0.96666666666666667</v>
      </c>
      <c r="J315" s="3">
        <v>0.24074074074074081</v>
      </c>
      <c r="K315" s="3">
        <v>0</v>
      </c>
      <c r="L315" s="3">
        <v>0</v>
      </c>
      <c r="M315" s="3">
        <v>0</v>
      </c>
      <c r="N315" s="3">
        <v>0</v>
      </c>
      <c r="O315" s="3">
        <v>0.5</v>
      </c>
      <c r="P315" t="s">
        <v>178</v>
      </c>
    </row>
    <row r="316" spans="1:16">
      <c r="A316" t="s">
        <v>169</v>
      </c>
      <c r="B316" t="s">
        <v>68</v>
      </c>
      <c r="C316" t="s">
        <v>112</v>
      </c>
      <c r="D316" t="s">
        <v>51</v>
      </c>
      <c r="E316" t="s">
        <v>57</v>
      </c>
      <c r="F316" s="2">
        <v>1</v>
      </c>
      <c r="G316" s="3">
        <v>3.4482758620689648E-2</v>
      </c>
      <c r="H316" s="3">
        <v>0.04</v>
      </c>
      <c r="I316" s="3">
        <v>1.1599999999999999</v>
      </c>
      <c r="J316" s="3">
        <v>0.1428571428571429</v>
      </c>
      <c r="K316" s="3">
        <v>-0.10660035817780519</v>
      </c>
      <c r="L316" s="3">
        <v>0</v>
      </c>
      <c r="M316" s="3">
        <v>0</v>
      </c>
      <c r="N316" s="3">
        <v>0</v>
      </c>
      <c r="O316" s="3">
        <v>7.9087973109825294E-2</v>
      </c>
      <c r="P316" t="s">
        <v>178</v>
      </c>
    </row>
    <row r="317" spans="1:16">
      <c r="A317" t="s">
        <v>169</v>
      </c>
      <c r="B317" t="s">
        <v>68</v>
      </c>
      <c r="C317" t="s">
        <v>66</v>
      </c>
      <c r="D317" t="s">
        <v>51</v>
      </c>
      <c r="E317" t="s">
        <v>52</v>
      </c>
      <c r="F317" s="2">
        <v>1</v>
      </c>
      <c r="G317" s="3">
        <v>3.4482758620689648E-2</v>
      </c>
      <c r="H317" s="3">
        <v>1</v>
      </c>
      <c r="I317" s="3">
        <v>29</v>
      </c>
      <c r="J317" s="3">
        <v>1</v>
      </c>
      <c r="K317" s="3">
        <v>0</v>
      </c>
      <c r="L317" s="3">
        <v>0</v>
      </c>
      <c r="M317" s="3">
        <v>0</v>
      </c>
      <c r="N317" s="3">
        <v>0</v>
      </c>
      <c r="O317" s="3">
        <v>0.5</v>
      </c>
      <c r="P317" t="s">
        <v>179</v>
      </c>
    </row>
    <row r="318" spans="1:16">
      <c r="A318" t="s">
        <v>169</v>
      </c>
      <c r="B318" t="s">
        <v>68</v>
      </c>
      <c r="C318" t="s">
        <v>66</v>
      </c>
      <c r="D318" t="s">
        <v>51</v>
      </c>
      <c r="E318" t="s">
        <v>54</v>
      </c>
      <c r="F318" s="2">
        <v>5</v>
      </c>
      <c r="G318" s="3">
        <v>0.17241379310344829</v>
      </c>
      <c r="H318" s="3">
        <v>0.69619047619047625</v>
      </c>
      <c r="I318" s="3">
        <v>4.0379047619047617</v>
      </c>
      <c r="J318" s="3">
        <v>0.93333333333333335</v>
      </c>
      <c r="K318" s="3">
        <v>0.41403933560541262</v>
      </c>
      <c r="L318" s="3">
        <v>0.23809523809523811</v>
      </c>
      <c r="M318" s="3">
        <v>1</v>
      </c>
      <c r="N318" s="3">
        <v>0.2</v>
      </c>
      <c r="O318" s="3">
        <v>0.41470415736868987</v>
      </c>
      <c r="P318" t="s">
        <v>179</v>
      </c>
    </row>
    <row r="319" spans="1:16">
      <c r="A319" t="s">
        <v>169</v>
      </c>
      <c r="B319" t="s">
        <v>68</v>
      </c>
      <c r="C319" t="s">
        <v>66</v>
      </c>
      <c r="D319" t="s">
        <v>51</v>
      </c>
      <c r="E319" t="s">
        <v>55</v>
      </c>
      <c r="F319" s="2">
        <v>4</v>
      </c>
      <c r="G319" s="3">
        <v>0.13793103448275859</v>
      </c>
      <c r="H319" s="3">
        <v>0.95</v>
      </c>
      <c r="I319" s="3">
        <v>6.8875000000000002</v>
      </c>
      <c r="J319" s="3">
        <v>0.99</v>
      </c>
      <c r="K319" s="3">
        <v>0.70912420834233469</v>
      </c>
      <c r="L319" s="3">
        <v>0.86956521739130432</v>
      </c>
      <c r="M319" s="3">
        <v>0.5714285714285714</v>
      </c>
      <c r="N319" s="3">
        <v>1</v>
      </c>
      <c r="O319" s="3">
        <v>0.31561674881458512</v>
      </c>
      <c r="P319" t="s">
        <v>179</v>
      </c>
    </row>
    <row r="320" spans="1:16">
      <c r="A320" t="s">
        <v>169</v>
      </c>
      <c r="B320" t="s">
        <v>68</v>
      </c>
      <c r="C320" t="s">
        <v>66</v>
      </c>
      <c r="D320" t="s">
        <v>51</v>
      </c>
      <c r="E320" t="s">
        <v>56</v>
      </c>
      <c r="F320" s="2">
        <v>2</v>
      </c>
      <c r="G320" s="3">
        <v>6.8965517241379309E-2</v>
      </c>
      <c r="H320" s="3">
        <v>0.28703703703703698</v>
      </c>
      <c r="I320" s="3">
        <v>4.1620370370370372</v>
      </c>
      <c r="J320" s="3">
        <v>0.51851851851851849</v>
      </c>
      <c r="K320" s="3">
        <v>0</v>
      </c>
      <c r="L320" s="3">
        <v>0</v>
      </c>
      <c r="M320" s="3">
        <v>0</v>
      </c>
      <c r="N320" s="3">
        <v>0</v>
      </c>
      <c r="O320" s="3">
        <v>0.5</v>
      </c>
      <c r="P320" t="s">
        <v>179</v>
      </c>
    </row>
    <row r="321" spans="1:16">
      <c r="A321" t="s">
        <v>169</v>
      </c>
      <c r="B321" t="s">
        <v>68</v>
      </c>
      <c r="C321" t="s">
        <v>66</v>
      </c>
      <c r="D321" t="s">
        <v>51</v>
      </c>
      <c r="E321" t="s">
        <v>57</v>
      </c>
      <c r="F321" s="2">
        <v>1</v>
      </c>
      <c r="G321" s="3">
        <v>3.4482758620689648E-2</v>
      </c>
      <c r="H321" s="3">
        <v>0.33333333333333331</v>
      </c>
      <c r="I321" s="3">
        <v>9.6666666666666661</v>
      </c>
      <c r="J321" s="3">
        <v>0.9285714285714286</v>
      </c>
      <c r="K321" s="3">
        <v>0.33502969713024489</v>
      </c>
      <c r="L321" s="3">
        <v>0.45454545454545447</v>
      </c>
      <c r="M321" s="3">
        <v>0.14285714285714279</v>
      </c>
      <c r="N321" s="3">
        <v>1</v>
      </c>
      <c r="O321" s="3">
        <v>0.17401578557815059</v>
      </c>
      <c r="P321" t="s">
        <v>179</v>
      </c>
    </row>
    <row r="322" spans="1:16">
      <c r="A322" t="s">
        <v>169</v>
      </c>
      <c r="B322" t="s">
        <v>68</v>
      </c>
      <c r="C322" t="s">
        <v>115</v>
      </c>
      <c r="D322" t="s">
        <v>51</v>
      </c>
      <c r="E322" t="s">
        <v>52</v>
      </c>
      <c r="F322" s="2">
        <v>1</v>
      </c>
      <c r="G322" s="3">
        <v>3.4482758620689648E-2</v>
      </c>
      <c r="H322" s="3">
        <v>3.7037037037037028E-2</v>
      </c>
      <c r="I322" s="3">
        <v>1.074074074074074</v>
      </c>
      <c r="J322" s="3">
        <v>7.1428571428571397E-2</v>
      </c>
      <c r="K322" s="3">
        <v>0</v>
      </c>
      <c r="L322" s="3">
        <v>0</v>
      </c>
      <c r="M322" s="3">
        <v>0</v>
      </c>
      <c r="N322" s="3">
        <v>0</v>
      </c>
      <c r="O322" s="3">
        <v>0.5</v>
      </c>
      <c r="P322" t="s">
        <v>180</v>
      </c>
    </row>
    <row r="323" spans="1:16">
      <c r="A323" t="s">
        <v>169</v>
      </c>
      <c r="B323" t="s">
        <v>68</v>
      </c>
      <c r="C323" t="s">
        <v>115</v>
      </c>
      <c r="D323" t="s">
        <v>51</v>
      </c>
      <c r="E323" t="s">
        <v>54</v>
      </c>
      <c r="F323" s="2">
        <v>5</v>
      </c>
      <c r="G323" s="3">
        <v>0.17241379310344829</v>
      </c>
      <c r="H323" s="3">
        <v>0.56215686274509813</v>
      </c>
      <c r="I323" s="3">
        <v>3.2605098039215692</v>
      </c>
      <c r="J323" s="3">
        <v>0.7583333333333333</v>
      </c>
      <c r="K323" s="3">
        <v>0</v>
      </c>
      <c r="L323" s="3">
        <v>0</v>
      </c>
      <c r="M323" s="3">
        <v>0</v>
      </c>
      <c r="N323" s="3">
        <v>0</v>
      </c>
      <c r="O323" s="3">
        <v>0.33125461703859532</v>
      </c>
      <c r="P323" t="s">
        <v>180</v>
      </c>
    </row>
    <row r="324" spans="1:16">
      <c r="A324" t="s">
        <v>169</v>
      </c>
      <c r="B324" t="s">
        <v>68</v>
      </c>
      <c r="C324" t="s">
        <v>115</v>
      </c>
      <c r="D324" t="s">
        <v>51</v>
      </c>
      <c r="E324" t="s">
        <v>55</v>
      </c>
      <c r="F324" s="2">
        <v>4</v>
      </c>
      <c r="G324" s="3">
        <v>0.13793103448275859</v>
      </c>
      <c r="H324" s="3">
        <v>0.74013157894736836</v>
      </c>
      <c r="I324" s="3">
        <v>5.3659539473684204</v>
      </c>
      <c r="J324" s="3">
        <v>0.84</v>
      </c>
      <c r="K324" s="3">
        <v>0.68041381743977158</v>
      </c>
      <c r="L324" s="3">
        <v>0.55555555555555558</v>
      </c>
      <c r="M324" s="3">
        <v>1</v>
      </c>
      <c r="N324" s="3">
        <v>0.5</v>
      </c>
      <c r="O324" s="3">
        <v>7.634981302700658E-2</v>
      </c>
      <c r="P324" t="s">
        <v>180</v>
      </c>
    </row>
    <row r="325" spans="1:16">
      <c r="A325" t="s">
        <v>169</v>
      </c>
      <c r="B325" t="s">
        <v>68</v>
      </c>
      <c r="C325" t="s">
        <v>115</v>
      </c>
      <c r="D325" t="s">
        <v>51</v>
      </c>
      <c r="E325" t="s">
        <v>56</v>
      </c>
      <c r="F325" s="2">
        <v>2</v>
      </c>
      <c r="G325" s="3">
        <v>6.8965517241379309E-2</v>
      </c>
      <c r="H325" s="3">
        <v>0.54</v>
      </c>
      <c r="I325" s="3">
        <v>7.830000000000001</v>
      </c>
      <c r="J325" s="3">
        <v>0.57407407407407407</v>
      </c>
      <c r="K325" s="3">
        <v>0</v>
      </c>
      <c r="L325" s="3">
        <v>0</v>
      </c>
      <c r="M325" s="3">
        <v>0</v>
      </c>
      <c r="N325" s="3">
        <v>0</v>
      </c>
      <c r="O325" s="3">
        <v>0.5</v>
      </c>
      <c r="P325" t="s">
        <v>180</v>
      </c>
    </row>
    <row r="326" spans="1:16">
      <c r="A326" t="s">
        <v>169</v>
      </c>
      <c r="B326" t="s">
        <v>68</v>
      </c>
      <c r="C326" t="s">
        <v>115</v>
      </c>
      <c r="D326" t="s">
        <v>51</v>
      </c>
      <c r="E326" t="s">
        <v>57</v>
      </c>
      <c r="F326" s="2">
        <v>1</v>
      </c>
      <c r="G326" s="3">
        <v>3.4482758620689648E-2</v>
      </c>
      <c r="H326" s="3">
        <v>0.2</v>
      </c>
      <c r="I326" s="3">
        <v>5.8000000000000007</v>
      </c>
      <c r="J326" s="3">
        <v>0.85714285714285721</v>
      </c>
      <c r="K326" s="3">
        <v>6.4194073876636934E-2</v>
      </c>
      <c r="L326" s="3">
        <v>0.16666666666666671</v>
      </c>
      <c r="M326" s="3">
        <v>3.8461538461538457E-2</v>
      </c>
      <c r="N326" s="3">
        <v>1</v>
      </c>
      <c r="O326" s="3">
        <v>7.87521661970947E-2</v>
      </c>
      <c r="P326" t="s">
        <v>180</v>
      </c>
    </row>
    <row r="327" spans="1:16">
      <c r="A327" t="s">
        <v>169</v>
      </c>
      <c r="B327" t="s">
        <v>68</v>
      </c>
      <c r="C327" t="s">
        <v>117</v>
      </c>
      <c r="D327" t="s">
        <v>51</v>
      </c>
      <c r="E327" t="s">
        <v>52</v>
      </c>
      <c r="F327" s="2">
        <v>1</v>
      </c>
      <c r="G327" s="3">
        <v>3.4482758620689648E-2</v>
      </c>
      <c r="H327" s="3">
        <v>0.5</v>
      </c>
      <c r="I327" s="3">
        <v>14.5</v>
      </c>
      <c r="J327" s="3">
        <v>0.9642857142857143</v>
      </c>
      <c r="K327" s="3">
        <v>-3.5714285714285712E-2</v>
      </c>
      <c r="L327" s="3">
        <v>0</v>
      </c>
      <c r="M327" s="3">
        <v>0</v>
      </c>
      <c r="N327" s="3">
        <v>0</v>
      </c>
      <c r="O327" s="3">
        <v>0.5</v>
      </c>
      <c r="P327" t="s">
        <v>181</v>
      </c>
    </row>
    <row r="328" spans="1:16">
      <c r="A328" t="s">
        <v>169</v>
      </c>
      <c r="B328" t="s">
        <v>68</v>
      </c>
      <c r="C328" t="s">
        <v>117</v>
      </c>
      <c r="D328" t="s">
        <v>51</v>
      </c>
      <c r="E328" t="s">
        <v>54</v>
      </c>
      <c r="F328" s="2">
        <v>5</v>
      </c>
      <c r="G328" s="3">
        <v>0.17241379310344829</v>
      </c>
      <c r="H328" s="3">
        <v>0.48596491228070182</v>
      </c>
      <c r="I328" s="3">
        <v>2.8185964912280701</v>
      </c>
      <c r="J328" s="3">
        <v>0.75</v>
      </c>
      <c r="K328" s="3">
        <v>0.34689095308660522</v>
      </c>
      <c r="L328" s="3">
        <v>0.41666666666666669</v>
      </c>
      <c r="M328" s="3">
        <v>0.5</v>
      </c>
      <c r="N328" s="3">
        <v>0.4</v>
      </c>
      <c r="O328" s="3">
        <v>0.50336798082044976</v>
      </c>
      <c r="P328" t="s">
        <v>181</v>
      </c>
    </row>
    <row r="329" spans="1:16">
      <c r="A329" t="s">
        <v>169</v>
      </c>
      <c r="B329" t="s">
        <v>68</v>
      </c>
      <c r="C329" t="s">
        <v>117</v>
      </c>
      <c r="D329" t="s">
        <v>51</v>
      </c>
      <c r="E329" t="s">
        <v>55</v>
      </c>
      <c r="F329" s="2">
        <v>4</v>
      </c>
      <c r="G329" s="3">
        <v>0.13793103448275859</v>
      </c>
      <c r="H329" s="3">
        <v>0.95</v>
      </c>
      <c r="I329" s="3">
        <v>6.8875000000000002</v>
      </c>
      <c r="J329" s="3">
        <v>0.99</v>
      </c>
      <c r="K329" s="3">
        <v>0.70912420834233469</v>
      </c>
      <c r="L329" s="3">
        <v>0.86956521739130432</v>
      </c>
      <c r="M329" s="3">
        <v>0.5714285714285714</v>
      </c>
      <c r="N329" s="3">
        <v>1</v>
      </c>
      <c r="O329" s="3">
        <v>3.8462838075830771E-2</v>
      </c>
      <c r="P329" t="s">
        <v>181</v>
      </c>
    </row>
    <row r="330" spans="1:16">
      <c r="A330" t="s">
        <v>169</v>
      </c>
      <c r="B330" t="s">
        <v>68</v>
      </c>
      <c r="C330" t="s">
        <v>117</v>
      </c>
      <c r="D330" t="s">
        <v>51</v>
      </c>
      <c r="E330" t="s">
        <v>56</v>
      </c>
      <c r="F330" s="2">
        <v>2</v>
      </c>
      <c r="G330" s="3">
        <v>6.8965517241379309E-2</v>
      </c>
      <c r="H330" s="3">
        <v>0.54166666666666663</v>
      </c>
      <c r="I330" s="3">
        <v>7.8541666666666661</v>
      </c>
      <c r="J330" s="3">
        <v>0.59259259259259256</v>
      </c>
      <c r="K330" s="3">
        <v>0.69436507482941356</v>
      </c>
      <c r="L330" s="3">
        <v>0.55555555555555558</v>
      </c>
      <c r="M330" s="3">
        <v>1</v>
      </c>
      <c r="N330" s="3">
        <v>0.5</v>
      </c>
      <c r="O330" s="3">
        <v>0.5</v>
      </c>
      <c r="P330" t="s">
        <v>181</v>
      </c>
    </row>
    <row r="331" spans="1:16">
      <c r="A331" t="s">
        <v>169</v>
      </c>
      <c r="B331" t="s">
        <v>68</v>
      </c>
      <c r="C331" t="s">
        <v>117</v>
      </c>
      <c r="D331" t="s">
        <v>51</v>
      </c>
      <c r="E331" t="s">
        <v>57</v>
      </c>
      <c r="F331" s="2">
        <v>1</v>
      </c>
      <c r="G331" s="3">
        <v>3.4482758620689648E-2</v>
      </c>
      <c r="H331" s="3">
        <v>5.8823529411764712E-2</v>
      </c>
      <c r="I331" s="3">
        <v>1.705882352941176</v>
      </c>
      <c r="J331" s="3">
        <v>0.4285714285714286</v>
      </c>
      <c r="K331" s="3">
        <v>0.1477342100713197</v>
      </c>
      <c r="L331" s="3">
        <v>0.22727272727272729</v>
      </c>
      <c r="M331" s="3">
        <v>5.5555555555555552E-2</v>
      </c>
      <c r="N331" s="3">
        <v>1</v>
      </c>
      <c r="O331" s="3">
        <v>1.429999758110349E-2</v>
      </c>
      <c r="P331" t="s">
        <v>181</v>
      </c>
    </row>
    <row r="332" spans="1:16">
      <c r="A332" t="s">
        <v>169</v>
      </c>
      <c r="B332" t="s">
        <v>75</v>
      </c>
      <c r="C332" t="s">
        <v>108</v>
      </c>
      <c r="D332" t="s">
        <v>51</v>
      </c>
      <c r="E332" t="s">
        <v>52</v>
      </c>
      <c r="F332" s="2">
        <v>1</v>
      </c>
      <c r="G332" s="3">
        <v>3.4482758620689648E-2</v>
      </c>
      <c r="H332" s="3">
        <v>1</v>
      </c>
      <c r="I332" s="3">
        <v>29</v>
      </c>
      <c r="J332" s="3">
        <v>1</v>
      </c>
      <c r="K332" s="3">
        <v>0.47245559126153402</v>
      </c>
      <c r="L332" s="3">
        <v>0.625</v>
      </c>
      <c r="M332" s="3">
        <v>0.25</v>
      </c>
      <c r="N332" s="3">
        <v>1</v>
      </c>
      <c r="O332" s="3">
        <v>0.5</v>
      </c>
      <c r="P332" t="s">
        <v>182</v>
      </c>
    </row>
    <row r="333" spans="1:16">
      <c r="A333" t="s">
        <v>169</v>
      </c>
      <c r="B333" t="s">
        <v>75</v>
      </c>
      <c r="C333" t="s">
        <v>108</v>
      </c>
      <c r="D333" t="s">
        <v>51</v>
      </c>
      <c r="E333" t="s">
        <v>54</v>
      </c>
      <c r="F333" s="2">
        <v>5</v>
      </c>
      <c r="G333" s="3">
        <v>0.17241379310344829</v>
      </c>
      <c r="H333" s="3">
        <v>0.33571428571428569</v>
      </c>
      <c r="I333" s="3">
        <v>1.9471428571428571</v>
      </c>
      <c r="J333" s="3">
        <v>0.65833333333333333</v>
      </c>
      <c r="K333" s="3">
        <v>0.34689095308660522</v>
      </c>
      <c r="L333" s="3">
        <v>0.41666666666666669</v>
      </c>
      <c r="M333" s="3">
        <v>0.5</v>
      </c>
      <c r="N333" s="3">
        <v>0.4</v>
      </c>
      <c r="O333" s="3">
        <v>7.3583175053775193E-2</v>
      </c>
      <c r="P333" t="s">
        <v>182</v>
      </c>
    </row>
    <row r="334" spans="1:16">
      <c r="A334" t="s">
        <v>169</v>
      </c>
      <c r="B334" t="s">
        <v>75</v>
      </c>
      <c r="C334" t="s">
        <v>108</v>
      </c>
      <c r="D334" t="s">
        <v>51</v>
      </c>
      <c r="E334" t="s">
        <v>55</v>
      </c>
      <c r="F334" s="2">
        <v>4</v>
      </c>
      <c r="G334" s="3">
        <v>0.13793103448275859</v>
      </c>
      <c r="H334" s="3">
        <v>0.68846153846153846</v>
      </c>
      <c r="I334" s="3">
        <v>4.9913461538461537</v>
      </c>
      <c r="J334" s="3">
        <v>0.76000000000000012</v>
      </c>
      <c r="K334" s="3">
        <v>0.68041381743977158</v>
      </c>
      <c r="L334" s="3">
        <v>0.55555555555555558</v>
      </c>
      <c r="M334" s="3">
        <v>1</v>
      </c>
      <c r="N334" s="3">
        <v>0.5</v>
      </c>
      <c r="O334" s="3">
        <v>0.1051627961204757</v>
      </c>
      <c r="P334" t="s">
        <v>182</v>
      </c>
    </row>
    <row r="335" spans="1:16">
      <c r="A335" t="s">
        <v>169</v>
      </c>
      <c r="B335" t="s">
        <v>75</v>
      </c>
      <c r="C335" t="s">
        <v>108</v>
      </c>
      <c r="D335" t="s">
        <v>51</v>
      </c>
      <c r="E335" t="s">
        <v>56</v>
      </c>
      <c r="F335" s="2">
        <v>2</v>
      </c>
      <c r="G335" s="3">
        <v>6.8965517241379309E-2</v>
      </c>
      <c r="H335" s="3">
        <v>0.16666666666666671</v>
      </c>
      <c r="I335" s="3">
        <v>2.416666666666667</v>
      </c>
      <c r="J335" s="3">
        <v>0.53703703703703709</v>
      </c>
      <c r="K335" s="3">
        <v>-7.407407407407407E-2</v>
      </c>
      <c r="L335" s="3">
        <v>0</v>
      </c>
      <c r="M335" s="3">
        <v>0</v>
      </c>
      <c r="N335" s="3">
        <v>0</v>
      </c>
      <c r="O335" s="3">
        <v>0.5</v>
      </c>
      <c r="P335" t="s">
        <v>182</v>
      </c>
    </row>
    <row r="336" spans="1:16">
      <c r="A336" t="s">
        <v>169</v>
      </c>
      <c r="B336" t="s">
        <v>75</v>
      </c>
      <c r="C336" t="s">
        <v>108</v>
      </c>
      <c r="D336" t="s">
        <v>51</v>
      </c>
      <c r="E336" t="s">
        <v>57</v>
      </c>
      <c r="F336" s="2">
        <v>1</v>
      </c>
      <c r="G336" s="3">
        <v>3.4482758620689648E-2</v>
      </c>
      <c r="H336" s="3">
        <v>0.5</v>
      </c>
      <c r="I336" s="3">
        <v>14.5</v>
      </c>
      <c r="J336" s="3">
        <v>0.9642857142857143</v>
      </c>
      <c r="K336" s="3">
        <v>0.12677313820927749</v>
      </c>
      <c r="L336" s="3">
        <v>0.20833333333333329</v>
      </c>
      <c r="M336" s="3">
        <v>0.05</v>
      </c>
      <c r="N336" s="3">
        <v>1</v>
      </c>
      <c r="O336" s="3">
        <v>6.4478061396230453E-3</v>
      </c>
      <c r="P336" t="s">
        <v>182</v>
      </c>
    </row>
    <row r="337" spans="1:16">
      <c r="A337" t="s">
        <v>169</v>
      </c>
      <c r="B337" t="s">
        <v>75</v>
      </c>
      <c r="C337" t="s">
        <v>110</v>
      </c>
      <c r="D337" t="s">
        <v>51</v>
      </c>
      <c r="E337" t="s">
        <v>52</v>
      </c>
      <c r="F337" s="2">
        <v>1</v>
      </c>
      <c r="G337" s="3">
        <v>3.4482758620689648E-2</v>
      </c>
      <c r="H337" s="3">
        <v>1</v>
      </c>
      <c r="I337" s="3">
        <v>29</v>
      </c>
      <c r="J337" s="3">
        <v>1</v>
      </c>
      <c r="K337" s="3">
        <v>0</v>
      </c>
      <c r="L337" s="3">
        <v>0</v>
      </c>
      <c r="M337" s="3">
        <v>0</v>
      </c>
      <c r="N337" s="3">
        <v>0</v>
      </c>
      <c r="O337" s="3">
        <v>0.5</v>
      </c>
      <c r="P337" t="s">
        <v>183</v>
      </c>
    </row>
    <row r="338" spans="1:16">
      <c r="A338" t="s">
        <v>169</v>
      </c>
      <c r="B338" t="s">
        <v>75</v>
      </c>
      <c r="C338" t="s">
        <v>110</v>
      </c>
      <c r="D338" t="s">
        <v>51</v>
      </c>
      <c r="E338" t="s">
        <v>54</v>
      </c>
      <c r="F338" s="2">
        <v>5</v>
      </c>
      <c r="G338" s="3">
        <v>0.17241379310344829</v>
      </c>
      <c r="H338" s="3">
        <v>0.28801313628899827</v>
      </c>
      <c r="I338" s="3">
        <v>1.67047619047619</v>
      </c>
      <c r="J338" s="3">
        <v>0.68333333333333346</v>
      </c>
      <c r="K338" s="3">
        <v>0.1447071903540765</v>
      </c>
      <c r="L338" s="3">
        <v>0.21739130434782611</v>
      </c>
      <c r="M338" s="3">
        <v>0.33333333333333331</v>
      </c>
      <c r="N338" s="3">
        <v>0.2</v>
      </c>
      <c r="O338" s="3">
        <v>0.20658654163974641</v>
      </c>
      <c r="P338" t="s">
        <v>183</v>
      </c>
    </row>
    <row r="339" spans="1:16">
      <c r="A339" t="s">
        <v>169</v>
      </c>
      <c r="B339" t="s">
        <v>75</v>
      </c>
      <c r="C339" t="s">
        <v>110</v>
      </c>
      <c r="D339" t="s">
        <v>51</v>
      </c>
      <c r="E339" t="s">
        <v>55</v>
      </c>
      <c r="F339" s="2">
        <v>4</v>
      </c>
      <c r="G339" s="3">
        <v>0.13793103448275859</v>
      </c>
      <c r="H339" s="3">
        <v>0.85416666666666663</v>
      </c>
      <c r="I339" s="3">
        <v>6.192708333333333</v>
      </c>
      <c r="J339" s="3">
        <v>0.97</v>
      </c>
      <c r="K339" s="3">
        <v>0.71</v>
      </c>
      <c r="L339" s="3">
        <v>0.75</v>
      </c>
      <c r="M339" s="3">
        <v>0.75</v>
      </c>
      <c r="N339" s="3">
        <v>0.75</v>
      </c>
      <c r="O339" s="3">
        <v>0.40715137378028421</v>
      </c>
      <c r="P339" t="s">
        <v>183</v>
      </c>
    </row>
    <row r="340" spans="1:16">
      <c r="A340" t="s">
        <v>169</v>
      </c>
      <c r="B340" t="s">
        <v>75</v>
      </c>
      <c r="C340" t="s">
        <v>110</v>
      </c>
      <c r="D340" t="s">
        <v>51</v>
      </c>
      <c r="E340" t="s">
        <v>56</v>
      </c>
      <c r="F340" s="2">
        <v>2</v>
      </c>
      <c r="G340" s="3">
        <v>6.8965517241379309E-2</v>
      </c>
      <c r="H340" s="3">
        <v>6.8965517241379309E-2</v>
      </c>
      <c r="I340" s="3">
        <v>1</v>
      </c>
      <c r="J340" s="3">
        <v>0.48148148148148151</v>
      </c>
      <c r="K340" s="3">
        <v>0</v>
      </c>
      <c r="L340" s="3">
        <v>0</v>
      </c>
      <c r="M340" s="3">
        <v>0</v>
      </c>
      <c r="N340" s="3">
        <v>0</v>
      </c>
      <c r="O340" s="3">
        <v>0.5</v>
      </c>
      <c r="P340" t="s">
        <v>183</v>
      </c>
    </row>
    <row r="341" spans="1:16">
      <c r="A341" t="s">
        <v>169</v>
      </c>
      <c r="B341" t="s">
        <v>75</v>
      </c>
      <c r="C341" t="s">
        <v>110</v>
      </c>
      <c r="D341" t="s">
        <v>51</v>
      </c>
      <c r="E341" t="s">
        <v>57</v>
      </c>
      <c r="F341" s="2">
        <v>1</v>
      </c>
      <c r="G341" s="3">
        <v>3.4482758620689648E-2</v>
      </c>
      <c r="H341" s="3">
        <v>0.25</v>
      </c>
      <c r="I341" s="3">
        <v>7.25</v>
      </c>
      <c r="J341" s="3">
        <v>0.8928571428571429</v>
      </c>
      <c r="K341" s="3">
        <v>0</v>
      </c>
      <c r="L341" s="3">
        <v>0.15151515151515149</v>
      </c>
      <c r="M341" s="3">
        <v>3.4482758620689648E-2</v>
      </c>
      <c r="N341" s="3">
        <v>1</v>
      </c>
      <c r="O341" s="3">
        <v>0</v>
      </c>
      <c r="P341" t="s">
        <v>183</v>
      </c>
    </row>
    <row r="342" spans="1:16">
      <c r="A342" t="s">
        <v>169</v>
      </c>
      <c r="B342" t="s">
        <v>75</v>
      </c>
      <c r="C342" t="s">
        <v>112</v>
      </c>
      <c r="D342" t="s">
        <v>51</v>
      </c>
      <c r="E342" t="s">
        <v>52</v>
      </c>
      <c r="F342" s="2">
        <v>1</v>
      </c>
      <c r="G342" s="3">
        <v>3.4482758620689648E-2</v>
      </c>
      <c r="H342" s="3">
        <v>4.7619047619047623E-2</v>
      </c>
      <c r="I342" s="3">
        <v>1.3809523809523809</v>
      </c>
      <c r="J342" s="3">
        <v>0.2857142857142857</v>
      </c>
      <c r="K342" s="3">
        <v>-8.6258194917794281E-2</v>
      </c>
      <c r="L342" s="3">
        <v>0</v>
      </c>
      <c r="M342" s="3">
        <v>0</v>
      </c>
      <c r="N342" s="3">
        <v>0</v>
      </c>
      <c r="O342" s="3">
        <v>0.5</v>
      </c>
      <c r="P342" t="s">
        <v>184</v>
      </c>
    </row>
    <row r="343" spans="1:16">
      <c r="A343" t="s">
        <v>169</v>
      </c>
      <c r="B343" t="s">
        <v>75</v>
      </c>
      <c r="C343" t="s">
        <v>112</v>
      </c>
      <c r="D343" t="s">
        <v>51</v>
      </c>
      <c r="E343" t="s">
        <v>54</v>
      </c>
      <c r="F343" s="2">
        <v>5</v>
      </c>
      <c r="G343" s="3">
        <v>0.17241379310344829</v>
      </c>
      <c r="H343" s="3">
        <v>0.41683325961963741</v>
      </c>
      <c r="I343" s="3">
        <v>2.417632905793897</v>
      </c>
      <c r="J343" s="3">
        <v>0.67500000000000004</v>
      </c>
      <c r="K343" s="3">
        <v>0.30618621784789718</v>
      </c>
      <c r="L343" s="3">
        <v>0.625</v>
      </c>
      <c r="M343" s="3">
        <v>0.25</v>
      </c>
      <c r="N343" s="3">
        <v>1</v>
      </c>
      <c r="O343" s="3">
        <v>0.63520792936740389</v>
      </c>
      <c r="P343" t="s">
        <v>184</v>
      </c>
    </row>
    <row r="344" spans="1:16">
      <c r="A344" t="s">
        <v>169</v>
      </c>
      <c r="B344" t="s">
        <v>75</v>
      </c>
      <c r="C344" t="s">
        <v>112</v>
      </c>
      <c r="D344" t="s">
        <v>51</v>
      </c>
      <c r="E344" t="s">
        <v>55</v>
      </c>
      <c r="F344" s="2">
        <v>4</v>
      </c>
      <c r="G344" s="3">
        <v>0.13793103448275859</v>
      </c>
      <c r="H344" s="3">
        <v>0.26934523809523808</v>
      </c>
      <c r="I344" s="3">
        <v>1.9527529761904761</v>
      </c>
      <c r="J344" s="3">
        <v>0.73</v>
      </c>
      <c r="K344" s="3">
        <v>0.21392032339612979</v>
      </c>
      <c r="L344" s="3">
        <v>0.5</v>
      </c>
      <c r="M344" s="3">
        <v>0.2142857142857143</v>
      </c>
      <c r="N344" s="3">
        <v>0.75</v>
      </c>
      <c r="O344" s="3">
        <v>0.27842405992620972</v>
      </c>
      <c r="P344" t="s">
        <v>184</v>
      </c>
    </row>
    <row r="345" spans="1:16">
      <c r="A345" t="s">
        <v>169</v>
      </c>
      <c r="B345" t="s">
        <v>75</v>
      </c>
      <c r="C345" t="s">
        <v>112</v>
      </c>
      <c r="D345" t="s">
        <v>51</v>
      </c>
      <c r="E345" t="s">
        <v>56</v>
      </c>
      <c r="F345" s="2">
        <v>2</v>
      </c>
      <c r="G345" s="3">
        <v>6.8965517241379309E-2</v>
      </c>
      <c r="H345" s="3">
        <v>8.2043343653250778E-2</v>
      </c>
      <c r="I345" s="3">
        <v>1.189628482972136</v>
      </c>
      <c r="J345" s="3">
        <v>0.3888888888888889</v>
      </c>
      <c r="K345" s="3">
        <v>0.1242259987499883</v>
      </c>
      <c r="L345" s="3">
        <v>0.3125</v>
      </c>
      <c r="M345" s="3">
        <v>8.3333333333333329E-2</v>
      </c>
      <c r="N345" s="3">
        <v>1</v>
      </c>
      <c r="O345" s="3">
        <v>0.5</v>
      </c>
      <c r="P345" t="s">
        <v>184</v>
      </c>
    </row>
    <row r="346" spans="1:16">
      <c r="A346" t="s">
        <v>169</v>
      </c>
      <c r="B346" t="s">
        <v>75</v>
      </c>
      <c r="C346" t="s">
        <v>112</v>
      </c>
      <c r="D346" t="s">
        <v>51</v>
      </c>
      <c r="E346" t="s">
        <v>57</v>
      </c>
      <c r="F346" s="2">
        <v>1</v>
      </c>
      <c r="G346" s="3">
        <v>3.4482758620689648E-2</v>
      </c>
      <c r="H346" s="3">
        <v>0.14285714285714279</v>
      </c>
      <c r="I346" s="3">
        <v>4.1428571428571423</v>
      </c>
      <c r="J346" s="3">
        <v>0.7857142857142857</v>
      </c>
      <c r="K346" s="3">
        <v>-6.4194073876636934E-2</v>
      </c>
      <c r="L346" s="3">
        <v>0</v>
      </c>
      <c r="M346" s="3">
        <v>0</v>
      </c>
      <c r="N346" s="3">
        <v>0</v>
      </c>
      <c r="O346" s="3">
        <v>0.99999999143239204</v>
      </c>
      <c r="P346" t="s">
        <v>184</v>
      </c>
    </row>
    <row r="347" spans="1:16">
      <c r="A347" t="s">
        <v>169</v>
      </c>
      <c r="B347" t="s">
        <v>75</v>
      </c>
      <c r="C347" t="s">
        <v>66</v>
      </c>
      <c r="D347" t="s">
        <v>51</v>
      </c>
      <c r="E347" t="s">
        <v>52</v>
      </c>
      <c r="F347" s="2">
        <v>1</v>
      </c>
      <c r="G347" s="3">
        <v>3.4482758620689648E-2</v>
      </c>
      <c r="H347" s="3">
        <v>0.5</v>
      </c>
      <c r="I347" s="3">
        <v>14.5</v>
      </c>
      <c r="J347" s="3">
        <v>0.9642857142857143</v>
      </c>
      <c r="K347" s="3">
        <v>0</v>
      </c>
      <c r="L347" s="3">
        <v>0</v>
      </c>
      <c r="M347" s="3">
        <v>0</v>
      </c>
      <c r="N347" s="3">
        <v>0</v>
      </c>
      <c r="O347" s="3">
        <v>0.5</v>
      </c>
      <c r="P347" t="s">
        <v>185</v>
      </c>
    </row>
    <row r="348" spans="1:16">
      <c r="A348" t="s">
        <v>169</v>
      </c>
      <c r="B348" t="s">
        <v>75</v>
      </c>
      <c r="C348" t="s">
        <v>66</v>
      </c>
      <c r="D348" t="s">
        <v>51</v>
      </c>
      <c r="E348" t="s">
        <v>54</v>
      </c>
      <c r="F348" s="2">
        <v>5</v>
      </c>
      <c r="G348" s="3">
        <v>0.17241379310344829</v>
      </c>
      <c r="H348" s="3">
        <v>0.69619047619047625</v>
      </c>
      <c r="I348" s="3">
        <v>4.0379047619047617</v>
      </c>
      <c r="J348" s="3">
        <v>0.93333333333333335</v>
      </c>
      <c r="K348" s="3">
        <v>0.23602939762497779</v>
      </c>
      <c r="L348" s="3">
        <v>0.22727272727272729</v>
      </c>
      <c r="M348" s="3">
        <v>0.5</v>
      </c>
      <c r="N348" s="3">
        <v>0.2</v>
      </c>
      <c r="O348" s="3">
        <v>0.37617470186684909</v>
      </c>
      <c r="P348" t="s">
        <v>185</v>
      </c>
    </row>
    <row r="349" spans="1:16">
      <c r="A349" t="s">
        <v>169</v>
      </c>
      <c r="B349" t="s">
        <v>75</v>
      </c>
      <c r="C349" t="s">
        <v>66</v>
      </c>
      <c r="D349" t="s">
        <v>51</v>
      </c>
      <c r="E349" t="s">
        <v>55</v>
      </c>
      <c r="F349" s="2">
        <v>4</v>
      </c>
      <c r="G349" s="3">
        <v>0.13793103448275859</v>
      </c>
      <c r="H349" s="3">
        <v>1</v>
      </c>
      <c r="I349" s="3">
        <v>7.25</v>
      </c>
      <c r="J349" s="3">
        <v>1</v>
      </c>
      <c r="K349" s="3">
        <v>0.70912420834233469</v>
      </c>
      <c r="L349" s="3">
        <v>0.86956521739130432</v>
      </c>
      <c r="M349" s="3">
        <v>0.5714285714285714</v>
      </c>
      <c r="N349" s="3">
        <v>1</v>
      </c>
      <c r="O349" s="3">
        <v>0.29074518389285681</v>
      </c>
      <c r="P349" t="s">
        <v>185</v>
      </c>
    </row>
    <row r="350" spans="1:16">
      <c r="A350" t="s">
        <v>169</v>
      </c>
      <c r="B350" t="s">
        <v>75</v>
      </c>
      <c r="C350" t="s">
        <v>66</v>
      </c>
      <c r="D350" t="s">
        <v>51</v>
      </c>
      <c r="E350" t="s">
        <v>56</v>
      </c>
      <c r="F350" s="2">
        <v>2</v>
      </c>
      <c r="G350" s="3">
        <v>6.8965517241379309E-2</v>
      </c>
      <c r="H350" s="3">
        <v>0.2857142857142857</v>
      </c>
      <c r="I350" s="3">
        <v>4.1428571428571423</v>
      </c>
      <c r="J350" s="3">
        <v>0.5</v>
      </c>
      <c r="K350" s="3">
        <v>0</v>
      </c>
      <c r="L350" s="3">
        <v>0</v>
      </c>
      <c r="M350" s="3">
        <v>0</v>
      </c>
      <c r="N350" s="3">
        <v>0</v>
      </c>
      <c r="O350" s="3">
        <v>0.5</v>
      </c>
      <c r="P350" t="s">
        <v>185</v>
      </c>
    </row>
    <row r="351" spans="1:16">
      <c r="A351" t="s">
        <v>169</v>
      </c>
      <c r="B351" t="s">
        <v>75</v>
      </c>
      <c r="C351" t="s">
        <v>66</v>
      </c>
      <c r="D351" t="s">
        <v>51</v>
      </c>
      <c r="E351" t="s">
        <v>57</v>
      </c>
      <c r="F351" s="2">
        <v>1</v>
      </c>
      <c r="G351" s="3">
        <v>3.4482758620689648E-2</v>
      </c>
      <c r="H351" s="3">
        <v>0.33333333333333331</v>
      </c>
      <c r="I351" s="3">
        <v>9.6666666666666661</v>
      </c>
      <c r="J351" s="3">
        <v>0.9285714285714286</v>
      </c>
      <c r="K351" s="3">
        <v>0.22493385271060931</v>
      </c>
      <c r="L351" s="3">
        <v>0.3125</v>
      </c>
      <c r="M351" s="3">
        <v>8.3333333333333329E-2</v>
      </c>
      <c r="N351" s="3">
        <v>1</v>
      </c>
      <c r="O351" s="3">
        <v>0.1475717945106032</v>
      </c>
      <c r="P351" t="s">
        <v>185</v>
      </c>
    </row>
    <row r="352" spans="1:16">
      <c r="A352" t="s">
        <v>169</v>
      </c>
      <c r="B352" t="s">
        <v>75</v>
      </c>
      <c r="C352" t="s">
        <v>115</v>
      </c>
      <c r="D352" t="s">
        <v>51</v>
      </c>
      <c r="E352" t="s">
        <v>52</v>
      </c>
      <c r="F352" s="2">
        <v>1</v>
      </c>
      <c r="G352" s="3">
        <v>3.4482758620689648E-2</v>
      </c>
      <c r="H352" s="3">
        <v>3.7037037037037028E-2</v>
      </c>
      <c r="I352" s="3">
        <v>1.074074074074074</v>
      </c>
      <c r="J352" s="3">
        <v>7.1428571428571397E-2</v>
      </c>
      <c r="K352" s="3">
        <v>0</v>
      </c>
      <c r="L352" s="3">
        <v>0</v>
      </c>
      <c r="M352" s="3">
        <v>0</v>
      </c>
      <c r="N352" s="3">
        <v>0</v>
      </c>
      <c r="O352" s="3">
        <v>0.5</v>
      </c>
      <c r="P352" t="s">
        <v>186</v>
      </c>
    </row>
    <row r="353" spans="1:16">
      <c r="A353" t="s">
        <v>169</v>
      </c>
      <c r="B353" t="s">
        <v>75</v>
      </c>
      <c r="C353" t="s">
        <v>115</v>
      </c>
      <c r="D353" t="s">
        <v>51</v>
      </c>
      <c r="E353" t="s">
        <v>54</v>
      </c>
      <c r="F353" s="2">
        <v>5</v>
      </c>
      <c r="G353" s="3">
        <v>0.17241379310344829</v>
      </c>
      <c r="H353" s="3">
        <v>0.54876822523881352</v>
      </c>
      <c r="I353" s="3">
        <v>3.1828557063851179</v>
      </c>
      <c r="J353" s="3">
        <v>0.73333333333333339</v>
      </c>
      <c r="K353" s="3">
        <v>0</v>
      </c>
      <c r="L353" s="3">
        <v>0</v>
      </c>
      <c r="M353" s="3">
        <v>0</v>
      </c>
      <c r="N353" s="3">
        <v>0</v>
      </c>
      <c r="O353" s="3">
        <v>0.38715995296835543</v>
      </c>
      <c r="P353" t="s">
        <v>186</v>
      </c>
    </row>
    <row r="354" spans="1:16">
      <c r="A354" t="s">
        <v>169</v>
      </c>
      <c r="B354" t="s">
        <v>75</v>
      </c>
      <c r="C354" t="s">
        <v>115</v>
      </c>
      <c r="D354" t="s">
        <v>51</v>
      </c>
      <c r="E354" t="s">
        <v>55</v>
      </c>
      <c r="F354" s="2">
        <v>4</v>
      </c>
      <c r="G354" s="3">
        <v>0.13793103448275859</v>
      </c>
      <c r="H354" s="3">
        <v>0.69347826086956521</v>
      </c>
      <c r="I354" s="3">
        <v>5.027717391304348</v>
      </c>
      <c r="J354" s="3">
        <v>0.79</v>
      </c>
      <c r="K354" s="3">
        <v>0.68041381743977158</v>
      </c>
      <c r="L354" s="3">
        <v>0.55555555555555558</v>
      </c>
      <c r="M354" s="3">
        <v>1</v>
      </c>
      <c r="N354" s="3">
        <v>0.5</v>
      </c>
      <c r="O354" s="3">
        <v>7.9246645533867927E-2</v>
      </c>
      <c r="P354" t="s">
        <v>186</v>
      </c>
    </row>
    <row r="355" spans="1:16">
      <c r="A355" t="s">
        <v>169</v>
      </c>
      <c r="B355" t="s">
        <v>75</v>
      </c>
      <c r="C355" t="s">
        <v>115</v>
      </c>
      <c r="D355" t="s">
        <v>51</v>
      </c>
      <c r="E355" t="s">
        <v>56</v>
      </c>
      <c r="F355" s="2">
        <v>2</v>
      </c>
      <c r="G355" s="3">
        <v>6.8965517241379309E-2</v>
      </c>
      <c r="H355" s="3">
        <v>0.54</v>
      </c>
      <c r="I355" s="3">
        <v>7.830000000000001</v>
      </c>
      <c r="J355" s="3">
        <v>0.57407407407407407</v>
      </c>
      <c r="K355" s="3">
        <v>0</v>
      </c>
      <c r="L355" s="3">
        <v>0</v>
      </c>
      <c r="M355" s="3">
        <v>0</v>
      </c>
      <c r="N355" s="3">
        <v>0</v>
      </c>
      <c r="O355" s="3">
        <v>0.5</v>
      </c>
      <c r="P355" t="s">
        <v>186</v>
      </c>
    </row>
    <row r="356" spans="1:16">
      <c r="A356" t="s">
        <v>169</v>
      </c>
      <c r="B356" t="s">
        <v>75</v>
      </c>
      <c r="C356" t="s">
        <v>115</v>
      </c>
      <c r="D356" t="s">
        <v>51</v>
      </c>
      <c r="E356" t="s">
        <v>57</v>
      </c>
      <c r="F356" s="2">
        <v>1</v>
      </c>
      <c r="G356" s="3">
        <v>3.4482758620689648E-2</v>
      </c>
      <c r="H356" s="3">
        <v>0.2</v>
      </c>
      <c r="I356" s="3">
        <v>5.8000000000000007</v>
      </c>
      <c r="J356" s="3">
        <v>0.85714285714285721</v>
      </c>
      <c r="K356" s="3">
        <v>8.6258194917794281E-2</v>
      </c>
      <c r="L356" s="3">
        <v>0.1785714285714286</v>
      </c>
      <c r="M356" s="3">
        <v>4.1666666666666657E-2</v>
      </c>
      <c r="N356" s="3">
        <v>1</v>
      </c>
      <c r="O356" s="3">
        <v>7.8873598898415637E-2</v>
      </c>
      <c r="P356" t="s">
        <v>186</v>
      </c>
    </row>
    <row r="357" spans="1:16">
      <c r="A357" t="s">
        <v>169</v>
      </c>
      <c r="B357" t="s">
        <v>75</v>
      </c>
      <c r="C357" t="s">
        <v>117</v>
      </c>
      <c r="D357" t="s">
        <v>51</v>
      </c>
      <c r="E357" t="s">
        <v>52</v>
      </c>
      <c r="F357" s="2">
        <v>1</v>
      </c>
      <c r="G357" s="3">
        <v>3.4482758620689648E-2</v>
      </c>
      <c r="H357" s="3">
        <v>0.33333333333333331</v>
      </c>
      <c r="I357" s="3">
        <v>9.6666666666666661</v>
      </c>
      <c r="J357" s="3">
        <v>0.9285714285714286</v>
      </c>
      <c r="K357" s="3">
        <v>-3.5714285714285712E-2</v>
      </c>
      <c r="L357" s="3">
        <v>0</v>
      </c>
      <c r="M357" s="3">
        <v>0</v>
      </c>
      <c r="N357" s="3">
        <v>0</v>
      </c>
      <c r="O357" s="3">
        <v>0.5</v>
      </c>
      <c r="P357" t="s">
        <v>187</v>
      </c>
    </row>
    <row r="358" spans="1:16">
      <c r="A358" t="s">
        <v>169</v>
      </c>
      <c r="B358" t="s">
        <v>75</v>
      </c>
      <c r="C358" t="s">
        <v>117</v>
      </c>
      <c r="D358" t="s">
        <v>51</v>
      </c>
      <c r="E358" t="s">
        <v>54</v>
      </c>
      <c r="F358" s="2">
        <v>5</v>
      </c>
      <c r="G358" s="3">
        <v>0.17241379310344829</v>
      </c>
      <c r="H358" s="3">
        <v>0.4587878787878788</v>
      </c>
      <c r="I358" s="3">
        <v>2.6609696969696972</v>
      </c>
      <c r="J358" s="3">
        <v>0.69166666666666665</v>
      </c>
      <c r="K358" s="3">
        <v>0.34689095308660522</v>
      </c>
      <c r="L358" s="3">
        <v>0.41666666666666669</v>
      </c>
      <c r="M358" s="3">
        <v>0.5</v>
      </c>
      <c r="N358" s="3">
        <v>0.4</v>
      </c>
      <c r="O358" s="3">
        <v>0.28885245342650018</v>
      </c>
      <c r="P358" t="s">
        <v>187</v>
      </c>
    </row>
    <row r="359" spans="1:16">
      <c r="A359" t="s">
        <v>169</v>
      </c>
      <c r="B359" t="s">
        <v>75</v>
      </c>
      <c r="C359" t="s">
        <v>117</v>
      </c>
      <c r="D359" t="s">
        <v>51</v>
      </c>
      <c r="E359" t="s">
        <v>55</v>
      </c>
      <c r="F359" s="2">
        <v>4</v>
      </c>
      <c r="G359" s="3">
        <v>0.13793103448275859</v>
      </c>
      <c r="H359" s="3">
        <v>1</v>
      </c>
      <c r="I359" s="3">
        <v>7.25</v>
      </c>
      <c r="J359" s="3">
        <v>1</v>
      </c>
      <c r="K359" s="3">
        <v>0.70912420834233469</v>
      </c>
      <c r="L359" s="3">
        <v>0.86956521739130432</v>
      </c>
      <c r="M359" s="3">
        <v>0.5714285714285714</v>
      </c>
      <c r="N359" s="3">
        <v>1</v>
      </c>
      <c r="O359" s="3">
        <v>1.084578285049928E-2</v>
      </c>
      <c r="P359" t="s">
        <v>187</v>
      </c>
    </row>
    <row r="360" spans="1:16">
      <c r="A360" t="s">
        <v>169</v>
      </c>
      <c r="B360" t="s">
        <v>75</v>
      </c>
      <c r="C360" t="s">
        <v>117</v>
      </c>
      <c r="D360" t="s">
        <v>51</v>
      </c>
      <c r="E360" t="s">
        <v>56</v>
      </c>
      <c r="F360" s="2">
        <v>2</v>
      </c>
      <c r="G360" s="3">
        <v>6.8965517241379309E-2</v>
      </c>
      <c r="H360" s="3">
        <v>0.54</v>
      </c>
      <c r="I360" s="3">
        <v>7.830000000000001</v>
      </c>
      <c r="J360" s="3">
        <v>0.57407407407407407</v>
      </c>
      <c r="K360" s="3">
        <v>0.69436507482941356</v>
      </c>
      <c r="L360" s="3">
        <v>0.55555555555555558</v>
      </c>
      <c r="M360" s="3">
        <v>1</v>
      </c>
      <c r="N360" s="3">
        <v>0.5</v>
      </c>
      <c r="O360" s="3">
        <v>0.5</v>
      </c>
      <c r="P360" t="s">
        <v>187</v>
      </c>
    </row>
    <row r="361" spans="1:16">
      <c r="A361" t="s">
        <v>169</v>
      </c>
      <c r="B361" t="s">
        <v>75</v>
      </c>
      <c r="C361" t="s">
        <v>117</v>
      </c>
      <c r="D361" t="s">
        <v>51</v>
      </c>
      <c r="E361" t="s">
        <v>57</v>
      </c>
      <c r="F361" s="2">
        <v>1</v>
      </c>
      <c r="G361" s="3">
        <v>3.4482758620689648E-2</v>
      </c>
      <c r="H361" s="3">
        <v>5.2631578947368418E-2</v>
      </c>
      <c r="I361" s="3">
        <v>1.5263157894736841</v>
      </c>
      <c r="J361" s="3">
        <v>0.3571428571428571</v>
      </c>
      <c r="K361" s="3">
        <v>-0.22493385271060931</v>
      </c>
      <c r="L361" s="3">
        <v>0</v>
      </c>
      <c r="M361" s="3">
        <v>0</v>
      </c>
      <c r="N361" s="3">
        <v>0</v>
      </c>
      <c r="O361" s="3">
        <v>1.0023556425044289E-2</v>
      </c>
      <c r="P361" t="s">
        <v>187</v>
      </c>
    </row>
    <row r="362" spans="1:16">
      <c r="A362" t="s">
        <v>188</v>
      </c>
      <c r="B362" t="s">
        <v>49</v>
      </c>
      <c r="C362" t="s">
        <v>108</v>
      </c>
      <c r="D362" t="s">
        <v>51</v>
      </c>
      <c r="E362" t="s">
        <v>52</v>
      </c>
      <c r="F362" s="2">
        <v>1</v>
      </c>
      <c r="G362" s="3">
        <v>3.4482758620689648E-2</v>
      </c>
      <c r="H362" s="3">
        <v>1</v>
      </c>
      <c r="I362" s="3">
        <v>29</v>
      </c>
      <c r="J362" s="3">
        <v>1</v>
      </c>
      <c r="K362" s="3">
        <v>1</v>
      </c>
      <c r="L362" s="3">
        <v>1</v>
      </c>
      <c r="M362" s="3">
        <v>1</v>
      </c>
      <c r="N362" s="3">
        <v>1</v>
      </c>
      <c r="O362" s="3">
        <v>0.5</v>
      </c>
      <c r="P362" t="s">
        <v>189</v>
      </c>
    </row>
    <row r="363" spans="1:16">
      <c r="A363" t="s">
        <v>188</v>
      </c>
      <c r="B363" t="s">
        <v>49</v>
      </c>
      <c r="C363" t="s">
        <v>108</v>
      </c>
      <c r="D363" t="s">
        <v>51</v>
      </c>
      <c r="E363" t="s">
        <v>54</v>
      </c>
      <c r="F363" s="2">
        <v>5</v>
      </c>
      <c r="G363" s="3">
        <v>0.17241379310344829</v>
      </c>
      <c r="H363" s="3">
        <v>0.15895843287147629</v>
      </c>
      <c r="I363" s="3">
        <v>0.92195891065456259</v>
      </c>
      <c r="J363" s="3">
        <v>0.3666666666666667</v>
      </c>
      <c r="K363" s="3">
        <v>-4.4136741475237468E-2</v>
      </c>
      <c r="L363" s="3">
        <v>0.1851851851851852</v>
      </c>
      <c r="M363" s="3">
        <v>0.14285714285714279</v>
      </c>
      <c r="N363" s="3">
        <v>0.2</v>
      </c>
      <c r="O363" s="3">
        <v>0.14426452949017929</v>
      </c>
      <c r="P363" t="s">
        <v>189</v>
      </c>
    </row>
    <row r="364" spans="1:16">
      <c r="A364" t="s">
        <v>188</v>
      </c>
      <c r="B364" t="s">
        <v>49</v>
      </c>
      <c r="C364" t="s">
        <v>108</v>
      </c>
      <c r="D364" t="s">
        <v>51</v>
      </c>
      <c r="E364" t="s">
        <v>55</v>
      </c>
      <c r="F364" s="2">
        <v>4</v>
      </c>
      <c r="G364" s="3">
        <v>0.13793103448275859</v>
      </c>
      <c r="H364" s="3">
        <v>0.51785714285714279</v>
      </c>
      <c r="I364" s="3">
        <v>3.7544642857142851</v>
      </c>
      <c r="J364" s="3">
        <v>0.91</v>
      </c>
      <c r="K364" s="3">
        <v>0.59628479399994394</v>
      </c>
      <c r="L364" s="3">
        <v>0.8</v>
      </c>
      <c r="M364" s="3">
        <v>0.44444444444444442</v>
      </c>
      <c r="N364" s="3">
        <v>1</v>
      </c>
      <c r="O364" s="3">
        <v>6.0607838408443748E-2</v>
      </c>
      <c r="P364" t="s">
        <v>189</v>
      </c>
    </row>
    <row r="365" spans="1:16">
      <c r="A365" t="s">
        <v>188</v>
      </c>
      <c r="B365" t="s">
        <v>49</v>
      </c>
      <c r="C365" t="s">
        <v>108</v>
      </c>
      <c r="D365" t="s">
        <v>51</v>
      </c>
      <c r="E365" t="s">
        <v>56</v>
      </c>
      <c r="F365" s="2">
        <v>2</v>
      </c>
      <c r="G365" s="3">
        <v>6.8965517241379309E-2</v>
      </c>
      <c r="H365" s="3">
        <v>0.11688311688311689</v>
      </c>
      <c r="I365" s="3">
        <v>1.694805194805195</v>
      </c>
      <c r="J365" s="3">
        <v>0.59259259259259256</v>
      </c>
      <c r="K365" s="3">
        <v>-0.1242259987499883</v>
      </c>
      <c r="L365" s="3">
        <v>0</v>
      </c>
      <c r="M365" s="3">
        <v>0</v>
      </c>
      <c r="N365" s="3">
        <v>0</v>
      </c>
      <c r="O365" s="3">
        <v>0.5</v>
      </c>
      <c r="P365" t="s">
        <v>189</v>
      </c>
    </row>
    <row r="366" spans="1:16">
      <c r="A366" t="s">
        <v>188</v>
      </c>
      <c r="B366" t="s">
        <v>49</v>
      </c>
      <c r="C366" t="s">
        <v>108</v>
      </c>
      <c r="D366" t="s">
        <v>51</v>
      </c>
      <c r="E366" t="s">
        <v>57</v>
      </c>
      <c r="F366" s="2">
        <v>1</v>
      </c>
      <c r="G366" s="3">
        <v>3.4482758620689648E-2</v>
      </c>
      <c r="H366" s="3">
        <v>0.14285714285714279</v>
      </c>
      <c r="I366" s="3">
        <v>4.1428571428571423</v>
      </c>
      <c r="J366" s="3">
        <v>0.7857142857142857</v>
      </c>
      <c r="K366" s="3">
        <v>0.15877683720748889</v>
      </c>
      <c r="L366" s="3">
        <v>0.23809523809523811</v>
      </c>
      <c r="M366" s="3">
        <v>5.8823529411764712E-2</v>
      </c>
      <c r="N366" s="3">
        <v>1</v>
      </c>
      <c r="O366" s="3">
        <v>1.1213310482961061E-2</v>
      </c>
      <c r="P366" t="s">
        <v>189</v>
      </c>
    </row>
    <row r="367" spans="1:16">
      <c r="A367" t="s">
        <v>188</v>
      </c>
      <c r="B367" t="s">
        <v>49</v>
      </c>
      <c r="C367" t="s">
        <v>110</v>
      </c>
      <c r="D367" t="s">
        <v>51</v>
      </c>
      <c r="E367" t="s">
        <v>52</v>
      </c>
      <c r="F367" s="2">
        <v>1</v>
      </c>
      <c r="G367" s="3">
        <v>3.4482758620689648E-2</v>
      </c>
      <c r="H367" s="3">
        <v>3.4482758620689648E-2</v>
      </c>
      <c r="I367" s="3">
        <v>1</v>
      </c>
      <c r="J367" s="3">
        <v>0.5</v>
      </c>
      <c r="K367" s="3">
        <v>0</v>
      </c>
      <c r="L367" s="3">
        <v>0</v>
      </c>
      <c r="M367" s="3">
        <v>0</v>
      </c>
      <c r="N367" s="3">
        <v>0</v>
      </c>
      <c r="O367" s="3">
        <v>0.5</v>
      </c>
      <c r="P367" t="s">
        <v>190</v>
      </c>
    </row>
    <row r="368" spans="1:16">
      <c r="A368" t="s">
        <v>188</v>
      </c>
      <c r="B368" t="s">
        <v>49</v>
      </c>
      <c r="C368" t="s">
        <v>110</v>
      </c>
      <c r="D368" t="s">
        <v>51</v>
      </c>
      <c r="E368" t="s">
        <v>54</v>
      </c>
      <c r="F368" s="2">
        <v>5</v>
      </c>
      <c r="G368" s="3">
        <v>0.17241379310344829</v>
      </c>
      <c r="H368" s="3">
        <v>0.17241379310344829</v>
      </c>
      <c r="I368" s="3">
        <v>1</v>
      </c>
      <c r="J368" s="3">
        <v>0.375</v>
      </c>
      <c r="K368" s="3">
        <v>0</v>
      </c>
      <c r="L368" s="3">
        <v>0</v>
      </c>
      <c r="M368" s="3">
        <v>0</v>
      </c>
      <c r="N368" s="3">
        <v>0</v>
      </c>
      <c r="O368" s="3">
        <v>0.57509892276814312</v>
      </c>
      <c r="P368" t="s">
        <v>190</v>
      </c>
    </row>
    <row r="369" spans="1:16">
      <c r="A369" t="s">
        <v>188</v>
      </c>
      <c r="B369" t="s">
        <v>49</v>
      </c>
      <c r="C369" t="s">
        <v>110</v>
      </c>
      <c r="D369" t="s">
        <v>51</v>
      </c>
      <c r="E369" t="s">
        <v>55</v>
      </c>
      <c r="F369" s="2">
        <v>4</v>
      </c>
      <c r="G369" s="3">
        <v>0.13793103448275859</v>
      </c>
      <c r="H369" s="3">
        <v>0.50119047619047619</v>
      </c>
      <c r="I369" s="3">
        <v>3.633630952380952</v>
      </c>
      <c r="J369" s="3">
        <v>0.90999999999999992</v>
      </c>
      <c r="K369" s="3">
        <v>0.64807406984078608</v>
      </c>
      <c r="L369" s="3">
        <v>0.83333333333333337</v>
      </c>
      <c r="M369" s="3">
        <v>0.5</v>
      </c>
      <c r="N369" s="3">
        <v>1</v>
      </c>
      <c r="O369" s="3">
        <v>5.3053936954975393E-2</v>
      </c>
      <c r="P369" t="s">
        <v>190</v>
      </c>
    </row>
    <row r="370" spans="1:16">
      <c r="A370" t="s">
        <v>188</v>
      </c>
      <c r="B370" t="s">
        <v>49</v>
      </c>
      <c r="C370" t="s">
        <v>110</v>
      </c>
      <c r="D370" t="s">
        <v>51</v>
      </c>
      <c r="E370" t="s">
        <v>56</v>
      </c>
      <c r="F370" s="2">
        <v>2</v>
      </c>
      <c r="G370" s="3">
        <v>6.8965517241379309E-2</v>
      </c>
      <c r="H370" s="3">
        <v>6.8965517241379309E-2</v>
      </c>
      <c r="I370" s="3">
        <v>1</v>
      </c>
      <c r="J370" s="3">
        <v>0.42592592592592587</v>
      </c>
      <c r="K370" s="3">
        <v>0</v>
      </c>
      <c r="L370" s="3">
        <v>0</v>
      </c>
      <c r="M370" s="3">
        <v>0</v>
      </c>
      <c r="N370" s="3">
        <v>0</v>
      </c>
      <c r="O370" s="3">
        <v>0.5</v>
      </c>
      <c r="P370" t="s">
        <v>190</v>
      </c>
    </row>
    <row r="371" spans="1:16">
      <c r="A371" t="s">
        <v>188</v>
      </c>
      <c r="B371" t="s">
        <v>49</v>
      </c>
      <c r="C371" t="s">
        <v>110</v>
      </c>
      <c r="D371" t="s">
        <v>51</v>
      </c>
      <c r="E371" t="s">
        <v>57</v>
      </c>
      <c r="F371" s="2">
        <v>1</v>
      </c>
      <c r="G371" s="3">
        <v>3.4482758620689648E-2</v>
      </c>
      <c r="H371" s="3">
        <v>3.4482758620689648E-2</v>
      </c>
      <c r="I371" s="3">
        <v>1</v>
      </c>
      <c r="J371" s="3">
        <v>0.4285714285714286</v>
      </c>
      <c r="K371" s="3">
        <v>0</v>
      </c>
      <c r="L371" s="3">
        <v>0.15151515151515149</v>
      </c>
      <c r="M371" s="3">
        <v>3.4482758620689648E-2</v>
      </c>
      <c r="N371" s="3">
        <v>1</v>
      </c>
      <c r="O371" s="3">
        <v>0</v>
      </c>
      <c r="P371" t="s">
        <v>190</v>
      </c>
    </row>
    <row r="372" spans="1:16">
      <c r="A372" t="s">
        <v>188</v>
      </c>
      <c r="B372" t="s">
        <v>49</v>
      </c>
      <c r="C372" t="s">
        <v>112</v>
      </c>
      <c r="D372" t="s">
        <v>51</v>
      </c>
      <c r="E372" t="s">
        <v>52</v>
      </c>
      <c r="F372" s="2">
        <v>1</v>
      </c>
      <c r="G372" s="3">
        <v>3.4482758620689648E-2</v>
      </c>
      <c r="H372" s="3">
        <v>0.05</v>
      </c>
      <c r="I372" s="3">
        <v>1.45</v>
      </c>
      <c r="J372" s="3">
        <v>0.3214285714285714</v>
      </c>
      <c r="K372" s="3">
        <v>0</v>
      </c>
      <c r="L372" s="3">
        <v>0</v>
      </c>
      <c r="M372" s="3">
        <v>0</v>
      </c>
      <c r="N372" s="3">
        <v>0</v>
      </c>
      <c r="O372" s="3">
        <v>0.5</v>
      </c>
      <c r="P372" t="s">
        <v>191</v>
      </c>
    </row>
    <row r="373" spans="1:16">
      <c r="A373" t="s">
        <v>188</v>
      </c>
      <c r="B373" t="s">
        <v>49</v>
      </c>
      <c r="C373" t="s">
        <v>112</v>
      </c>
      <c r="D373" t="s">
        <v>51</v>
      </c>
      <c r="E373" t="s">
        <v>54</v>
      </c>
      <c r="F373" s="2">
        <v>5</v>
      </c>
      <c r="G373" s="3">
        <v>0.17241379310344829</v>
      </c>
      <c r="H373" s="3">
        <v>0.23520817417876241</v>
      </c>
      <c r="I373" s="3">
        <v>1.364207410236822</v>
      </c>
      <c r="J373" s="3">
        <v>0.55833333333333335</v>
      </c>
      <c r="K373" s="3">
        <v>-7.5592894601845442E-2</v>
      </c>
      <c r="L373" s="3">
        <v>0.29411764705882348</v>
      </c>
      <c r="M373" s="3">
        <v>0.14285714285714279</v>
      </c>
      <c r="N373" s="3">
        <v>0.4</v>
      </c>
      <c r="O373" s="3">
        <v>0.29764969800105862</v>
      </c>
      <c r="P373" t="s">
        <v>191</v>
      </c>
    </row>
    <row r="374" spans="1:16">
      <c r="A374" t="s">
        <v>188</v>
      </c>
      <c r="B374" t="s">
        <v>49</v>
      </c>
      <c r="C374" t="s">
        <v>112</v>
      </c>
      <c r="D374" t="s">
        <v>51</v>
      </c>
      <c r="E374" t="s">
        <v>55</v>
      </c>
      <c r="F374" s="2">
        <v>4</v>
      </c>
      <c r="G374" s="3">
        <v>0.13793103448275859</v>
      </c>
      <c r="H374" s="3">
        <v>0.22763157894736841</v>
      </c>
      <c r="I374" s="3">
        <v>1.6503289473684211</v>
      </c>
      <c r="J374" s="3">
        <v>0.61</v>
      </c>
      <c r="K374" s="3">
        <v>0.15947630641475341</v>
      </c>
      <c r="L374" s="3">
        <v>0.46875</v>
      </c>
      <c r="M374" s="3">
        <v>0.1875</v>
      </c>
      <c r="N374" s="3">
        <v>0.75</v>
      </c>
      <c r="O374" s="3">
        <v>0.34027323449365221</v>
      </c>
      <c r="P374" t="s">
        <v>191</v>
      </c>
    </row>
    <row r="375" spans="1:16">
      <c r="A375" t="s">
        <v>188</v>
      </c>
      <c r="B375" t="s">
        <v>49</v>
      </c>
      <c r="C375" t="s">
        <v>112</v>
      </c>
      <c r="D375" t="s">
        <v>51</v>
      </c>
      <c r="E375" t="s">
        <v>56</v>
      </c>
      <c r="F375" s="2">
        <v>2</v>
      </c>
      <c r="G375" s="3">
        <v>6.8965517241379309E-2</v>
      </c>
      <c r="H375" s="3">
        <v>8.4967320261437912E-2</v>
      </c>
      <c r="I375" s="3">
        <v>1.23202614379085</v>
      </c>
      <c r="J375" s="3">
        <v>0.40740740740740738</v>
      </c>
      <c r="K375" s="3">
        <v>-5.1434449987363969E-2</v>
      </c>
      <c r="L375" s="3">
        <v>0</v>
      </c>
      <c r="M375" s="3">
        <v>0</v>
      </c>
      <c r="N375" s="3">
        <v>0</v>
      </c>
      <c r="O375" s="3">
        <v>0.5</v>
      </c>
      <c r="P375" t="s">
        <v>191</v>
      </c>
    </row>
    <row r="376" spans="1:16">
      <c r="A376" t="s">
        <v>188</v>
      </c>
      <c r="B376" t="s">
        <v>49</v>
      </c>
      <c r="C376" t="s">
        <v>112</v>
      </c>
      <c r="D376" t="s">
        <v>51</v>
      </c>
      <c r="E376" t="s">
        <v>57</v>
      </c>
      <c r="F376" s="2">
        <v>1</v>
      </c>
      <c r="G376" s="3">
        <v>3.4482758620689648E-2</v>
      </c>
      <c r="H376" s="3">
        <v>9.0909090909090912E-2</v>
      </c>
      <c r="I376" s="3">
        <v>2.6363636363636371</v>
      </c>
      <c r="J376" s="3">
        <v>0.64285714285714279</v>
      </c>
      <c r="K376" s="3">
        <v>-0.10660035817780519</v>
      </c>
      <c r="L376" s="3">
        <v>0</v>
      </c>
      <c r="M376" s="3">
        <v>0</v>
      </c>
      <c r="N376" s="3">
        <v>0</v>
      </c>
      <c r="O376" s="3">
        <v>0.47857218436344118</v>
      </c>
      <c r="P376" t="s">
        <v>191</v>
      </c>
    </row>
    <row r="377" spans="1:16">
      <c r="A377" t="s">
        <v>188</v>
      </c>
      <c r="B377" t="s">
        <v>49</v>
      </c>
      <c r="C377" t="s">
        <v>66</v>
      </c>
      <c r="D377" t="s">
        <v>51</v>
      </c>
      <c r="E377" t="s">
        <v>52</v>
      </c>
      <c r="F377" s="2">
        <v>1</v>
      </c>
      <c r="G377" s="3">
        <v>3.4482758620689648E-2</v>
      </c>
      <c r="H377" s="3">
        <v>0.5</v>
      </c>
      <c r="I377" s="3">
        <v>14.5</v>
      </c>
      <c r="J377" s="3">
        <v>0.9642857142857143</v>
      </c>
      <c r="K377" s="3">
        <v>0</v>
      </c>
      <c r="L377" s="3">
        <v>0</v>
      </c>
      <c r="M377" s="3">
        <v>0</v>
      </c>
      <c r="N377" s="3">
        <v>0</v>
      </c>
      <c r="O377" s="3">
        <v>0.5</v>
      </c>
      <c r="P377" t="s">
        <v>192</v>
      </c>
    </row>
    <row r="378" spans="1:16">
      <c r="A378" t="s">
        <v>188</v>
      </c>
      <c r="B378" t="s">
        <v>49</v>
      </c>
      <c r="C378" t="s">
        <v>66</v>
      </c>
      <c r="D378" t="s">
        <v>51</v>
      </c>
      <c r="E378" t="s">
        <v>54</v>
      </c>
      <c r="F378" s="2">
        <v>5</v>
      </c>
      <c r="G378" s="3">
        <v>0.17241379310344829</v>
      </c>
      <c r="H378" s="3">
        <v>0.22006556245686679</v>
      </c>
      <c r="I378" s="3">
        <v>1.276380262249827</v>
      </c>
      <c r="J378" s="3">
        <v>0.57499999999999996</v>
      </c>
      <c r="K378" s="3">
        <v>0</v>
      </c>
      <c r="L378" s="3">
        <v>0</v>
      </c>
      <c r="M378" s="3">
        <v>0</v>
      </c>
      <c r="N378" s="3">
        <v>0</v>
      </c>
      <c r="O378" s="3">
        <v>0.51710928057143646</v>
      </c>
      <c r="P378" t="s">
        <v>192</v>
      </c>
    </row>
    <row r="379" spans="1:16">
      <c r="A379" t="s">
        <v>188</v>
      </c>
      <c r="B379" t="s">
        <v>49</v>
      </c>
      <c r="C379" t="s">
        <v>66</v>
      </c>
      <c r="D379" t="s">
        <v>51</v>
      </c>
      <c r="E379" t="s">
        <v>55</v>
      </c>
      <c r="F379" s="2">
        <v>4</v>
      </c>
      <c r="G379" s="3">
        <v>0.13793103448275859</v>
      </c>
      <c r="H379" s="3">
        <v>0.60416666666666663</v>
      </c>
      <c r="I379" s="3">
        <v>4.380208333333333</v>
      </c>
      <c r="J379" s="3">
        <v>0.92999999999999994</v>
      </c>
      <c r="K379" s="3">
        <v>0.59628479399994394</v>
      </c>
      <c r="L379" s="3">
        <v>0.8</v>
      </c>
      <c r="M379" s="3">
        <v>0.44444444444444442</v>
      </c>
      <c r="N379" s="3">
        <v>1</v>
      </c>
      <c r="O379" s="3">
        <v>0.17630693126541599</v>
      </c>
      <c r="P379" t="s">
        <v>192</v>
      </c>
    </row>
    <row r="380" spans="1:16">
      <c r="A380" t="s">
        <v>188</v>
      </c>
      <c r="B380" t="s">
        <v>49</v>
      </c>
      <c r="C380" t="s">
        <v>66</v>
      </c>
      <c r="D380" t="s">
        <v>51</v>
      </c>
      <c r="E380" t="s">
        <v>56</v>
      </c>
      <c r="F380" s="2">
        <v>2</v>
      </c>
      <c r="G380" s="3">
        <v>6.8965517241379309E-2</v>
      </c>
      <c r="H380" s="3">
        <v>0.14347826086956519</v>
      </c>
      <c r="I380" s="3">
        <v>2.080434782608696</v>
      </c>
      <c r="J380" s="3">
        <v>0.53703703703703698</v>
      </c>
      <c r="K380" s="3">
        <v>0</v>
      </c>
      <c r="L380" s="3">
        <v>0</v>
      </c>
      <c r="M380" s="3">
        <v>0</v>
      </c>
      <c r="N380" s="3">
        <v>0</v>
      </c>
      <c r="O380" s="3">
        <v>0.5</v>
      </c>
      <c r="P380" t="s">
        <v>192</v>
      </c>
    </row>
    <row r="381" spans="1:16">
      <c r="A381" t="s">
        <v>188</v>
      </c>
      <c r="B381" t="s">
        <v>49</v>
      </c>
      <c r="C381" t="s">
        <v>66</v>
      </c>
      <c r="D381" t="s">
        <v>51</v>
      </c>
      <c r="E381" t="s">
        <v>57</v>
      </c>
      <c r="F381" s="2">
        <v>1</v>
      </c>
      <c r="G381" s="3">
        <v>3.4482758620689648E-2</v>
      </c>
      <c r="H381" s="3">
        <v>5.8823529411764712E-2</v>
      </c>
      <c r="I381" s="3">
        <v>1.705882352941176</v>
      </c>
      <c r="J381" s="3">
        <v>0.4285714285714286</v>
      </c>
      <c r="K381" s="3">
        <v>-0.17034628596731169</v>
      </c>
      <c r="L381" s="3">
        <v>0</v>
      </c>
      <c r="M381" s="3">
        <v>0</v>
      </c>
      <c r="N381" s="3">
        <v>0</v>
      </c>
      <c r="O381" s="3">
        <v>0.14916887216600019</v>
      </c>
      <c r="P381" t="s">
        <v>192</v>
      </c>
    </row>
    <row r="382" spans="1:16">
      <c r="A382" t="s">
        <v>188</v>
      </c>
      <c r="B382" t="s">
        <v>49</v>
      </c>
      <c r="C382" t="s">
        <v>115</v>
      </c>
      <c r="D382" t="s">
        <v>51</v>
      </c>
      <c r="E382" t="s">
        <v>52</v>
      </c>
      <c r="F382" s="2">
        <v>1</v>
      </c>
      <c r="G382" s="3">
        <v>3.4482758620689648E-2</v>
      </c>
      <c r="H382" s="3">
        <v>4.3478260869565223E-2</v>
      </c>
      <c r="I382" s="3">
        <v>1.2608695652173909</v>
      </c>
      <c r="J382" s="3">
        <v>0.2142857142857143</v>
      </c>
      <c r="K382" s="3">
        <v>0</v>
      </c>
      <c r="L382" s="3">
        <v>0</v>
      </c>
      <c r="M382" s="3">
        <v>0</v>
      </c>
      <c r="N382" s="3">
        <v>0</v>
      </c>
      <c r="O382" s="3">
        <v>0.5</v>
      </c>
      <c r="P382" t="s">
        <v>193</v>
      </c>
    </row>
    <row r="383" spans="1:16">
      <c r="A383" t="s">
        <v>188</v>
      </c>
      <c r="B383" t="s">
        <v>49</v>
      </c>
      <c r="C383" t="s">
        <v>115</v>
      </c>
      <c r="D383" t="s">
        <v>51</v>
      </c>
      <c r="E383" t="s">
        <v>54</v>
      </c>
      <c r="F383" s="2">
        <v>5</v>
      </c>
      <c r="G383" s="3">
        <v>0.17241379310344829</v>
      </c>
      <c r="H383" s="3">
        <v>0.14025898078529661</v>
      </c>
      <c r="I383" s="3">
        <v>0.81350208855472017</v>
      </c>
      <c r="J383" s="3">
        <v>0.26666666666666661</v>
      </c>
      <c r="K383" s="3">
        <v>-0.44095855184409838</v>
      </c>
      <c r="L383" s="3">
        <v>0</v>
      </c>
      <c r="M383" s="3">
        <v>0</v>
      </c>
      <c r="N383" s="3">
        <v>0</v>
      </c>
      <c r="O383" s="3">
        <v>0.1293622717059297</v>
      </c>
      <c r="P383" t="s">
        <v>193</v>
      </c>
    </row>
    <row r="384" spans="1:16">
      <c r="A384" t="s">
        <v>188</v>
      </c>
      <c r="B384" t="s">
        <v>49</v>
      </c>
      <c r="C384" t="s">
        <v>115</v>
      </c>
      <c r="D384" t="s">
        <v>51</v>
      </c>
      <c r="E384" t="s">
        <v>55</v>
      </c>
      <c r="F384" s="2">
        <v>4</v>
      </c>
      <c r="G384" s="3">
        <v>0.13793103448275859</v>
      </c>
      <c r="H384" s="3">
        <v>0.70952380952380945</v>
      </c>
      <c r="I384" s="3">
        <v>5.144047619047619</v>
      </c>
      <c r="J384" s="3">
        <v>0.94</v>
      </c>
      <c r="K384" s="3">
        <v>0.61162352254743546</v>
      </c>
      <c r="L384" s="3">
        <v>0.7142857142857143</v>
      </c>
      <c r="M384" s="3">
        <v>0.6</v>
      </c>
      <c r="N384" s="3">
        <v>0.75</v>
      </c>
      <c r="O384" s="3">
        <v>0.13960561444305841</v>
      </c>
      <c r="P384" t="s">
        <v>193</v>
      </c>
    </row>
    <row r="385" spans="1:16">
      <c r="A385" t="s">
        <v>188</v>
      </c>
      <c r="B385" t="s">
        <v>49</v>
      </c>
      <c r="C385" t="s">
        <v>115</v>
      </c>
      <c r="D385" t="s">
        <v>51</v>
      </c>
      <c r="E385" t="s">
        <v>56</v>
      </c>
      <c r="F385" s="2">
        <v>2</v>
      </c>
      <c r="G385" s="3">
        <v>6.8965517241379309E-2</v>
      </c>
      <c r="H385" s="3">
        <v>0.126984126984127</v>
      </c>
      <c r="I385" s="3">
        <v>1.8412698412698409</v>
      </c>
      <c r="J385" s="3">
        <v>0.62962962962962965</v>
      </c>
      <c r="K385" s="3">
        <v>0</v>
      </c>
      <c r="L385" s="3">
        <v>0</v>
      </c>
      <c r="M385" s="3">
        <v>0</v>
      </c>
      <c r="N385" s="3">
        <v>0</v>
      </c>
      <c r="O385" s="3">
        <v>0.5</v>
      </c>
      <c r="P385" t="s">
        <v>193</v>
      </c>
    </row>
    <row r="386" spans="1:16">
      <c r="A386" t="s">
        <v>188</v>
      </c>
      <c r="B386" t="s">
        <v>49</v>
      </c>
      <c r="C386" t="s">
        <v>115</v>
      </c>
      <c r="D386" t="s">
        <v>51</v>
      </c>
      <c r="E386" t="s">
        <v>57</v>
      </c>
      <c r="F386" s="2">
        <v>1</v>
      </c>
      <c r="G386" s="3">
        <v>3.4482758620689648E-2</v>
      </c>
      <c r="H386" s="3">
        <v>0.2</v>
      </c>
      <c r="I386" s="3">
        <v>5.8000000000000007</v>
      </c>
      <c r="J386" s="3">
        <v>0.8571428571428571</v>
      </c>
      <c r="K386" s="3">
        <v>9.6523417813168033E-2</v>
      </c>
      <c r="L386" s="3">
        <v>0.1851851851851852</v>
      </c>
      <c r="M386" s="3">
        <v>4.3478260869565223E-2</v>
      </c>
      <c r="N386" s="3">
        <v>1</v>
      </c>
      <c r="O386" s="3">
        <v>5.4498063389864432E-2</v>
      </c>
      <c r="P386" t="s">
        <v>193</v>
      </c>
    </row>
    <row r="387" spans="1:16">
      <c r="A387" t="s">
        <v>188</v>
      </c>
      <c r="B387" t="s">
        <v>49</v>
      </c>
      <c r="C387" t="s">
        <v>117</v>
      </c>
      <c r="D387" t="s">
        <v>51</v>
      </c>
      <c r="E387" t="s">
        <v>52</v>
      </c>
      <c r="F387" s="2">
        <v>1</v>
      </c>
      <c r="G387" s="3">
        <v>3.4482758620689648E-2</v>
      </c>
      <c r="H387" s="3">
        <v>0.5</v>
      </c>
      <c r="I387" s="3">
        <v>14.5</v>
      </c>
      <c r="J387" s="3">
        <v>0.9642857142857143</v>
      </c>
      <c r="K387" s="3">
        <v>0</v>
      </c>
      <c r="L387" s="3">
        <v>0</v>
      </c>
      <c r="M387" s="3">
        <v>0</v>
      </c>
      <c r="N387" s="3">
        <v>0</v>
      </c>
      <c r="O387" s="3">
        <v>0.5</v>
      </c>
      <c r="P387" t="s">
        <v>194</v>
      </c>
    </row>
    <row r="388" spans="1:16">
      <c r="A388" t="s">
        <v>188</v>
      </c>
      <c r="B388" t="s">
        <v>49</v>
      </c>
      <c r="C388" t="s">
        <v>117</v>
      </c>
      <c r="D388" t="s">
        <v>51</v>
      </c>
      <c r="E388" t="s">
        <v>54</v>
      </c>
      <c r="F388" s="2">
        <v>5</v>
      </c>
      <c r="G388" s="3">
        <v>0.17241379310344829</v>
      </c>
      <c r="H388" s="3">
        <v>0.21251091529729299</v>
      </c>
      <c r="I388" s="3">
        <v>1.2325633087243</v>
      </c>
      <c r="J388" s="3">
        <v>0.56666666666666665</v>
      </c>
      <c r="K388" s="3">
        <v>0</v>
      </c>
      <c r="L388" s="3">
        <v>0</v>
      </c>
      <c r="M388" s="3">
        <v>0</v>
      </c>
      <c r="N388" s="3">
        <v>0</v>
      </c>
      <c r="O388" s="3">
        <v>0.96021936562792143</v>
      </c>
      <c r="P388" t="s">
        <v>194</v>
      </c>
    </row>
    <row r="389" spans="1:16">
      <c r="A389" t="s">
        <v>188</v>
      </c>
      <c r="B389" t="s">
        <v>49</v>
      </c>
      <c r="C389" t="s">
        <v>117</v>
      </c>
      <c r="D389" t="s">
        <v>51</v>
      </c>
      <c r="E389" t="s">
        <v>55</v>
      </c>
      <c r="F389" s="2">
        <v>4</v>
      </c>
      <c r="G389" s="3">
        <v>0.13793103448275859</v>
      </c>
      <c r="H389" s="3">
        <v>0.69166666666666665</v>
      </c>
      <c r="I389" s="3">
        <v>5.0145833333333334</v>
      </c>
      <c r="J389" s="3">
        <v>0.94000000000000006</v>
      </c>
      <c r="K389" s="3">
        <v>0.47609522856952341</v>
      </c>
      <c r="L389" s="3">
        <v>0.7142857142857143</v>
      </c>
      <c r="M389" s="3">
        <v>0.33333333333333331</v>
      </c>
      <c r="N389" s="3">
        <v>1</v>
      </c>
      <c r="O389" s="3">
        <v>5.5278473300859792E-3</v>
      </c>
      <c r="P389" t="s">
        <v>194</v>
      </c>
    </row>
    <row r="390" spans="1:16">
      <c r="A390" t="s">
        <v>188</v>
      </c>
      <c r="B390" t="s">
        <v>49</v>
      </c>
      <c r="C390" t="s">
        <v>117</v>
      </c>
      <c r="D390" t="s">
        <v>51</v>
      </c>
      <c r="E390" t="s">
        <v>56</v>
      </c>
      <c r="F390" s="2">
        <v>2</v>
      </c>
      <c r="G390" s="3">
        <v>6.8965517241379309E-2</v>
      </c>
      <c r="H390" s="3">
        <v>0.18333333333333329</v>
      </c>
      <c r="I390" s="3">
        <v>2.6583333333333341</v>
      </c>
      <c r="J390" s="3">
        <v>0.74074074074074081</v>
      </c>
      <c r="K390" s="3">
        <v>0</v>
      </c>
      <c r="L390" s="3">
        <v>0</v>
      </c>
      <c r="M390" s="3">
        <v>0</v>
      </c>
      <c r="N390" s="3">
        <v>0</v>
      </c>
      <c r="O390" s="3">
        <v>0.5</v>
      </c>
      <c r="P390" t="s">
        <v>194</v>
      </c>
    </row>
    <row r="391" spans="1:16">
      <c r="A391" t="s">
        <v>188</v>
      </c>
      <c r="B391" t="s">
        <v>49</v>
      </c>
      <c r="C391" t="s">
        <v>117</v>
      </c>
      <c r="D391" t="s">
        <v>51</v>
      </c>
      <c r="E391" t="s">
        <v>57</v>
      </c>
      <c r="F391" s="2">
        <v>1</v>
      </c>
      <c r="G391" s="3">
        <v>3.4482758620689648E-2</v>
      </c>
      <c r="H391" s="3">
        <v>0.16666666666666671</v>
      </c>
      <c r="I391" s="3">
        <v>4.833333333333333</v>
      </c>
      <c r="J391" s="3">
        <v>0.8214285714285714</v>
      </c>
      <c r="K391" s="3">
        <v>0.1371021242767704</v>
      </c>
      <c r="L391" s="3">
        <v>0.21739130434782611</v>
      </c>
      <c r="M391" s="3">
        <v>5.2631578947368418E-2</v>
      </c>
      <c r="N391" s="3">
        <v>1</v>
      </c>
      <c r="O391" s="3">
        <v>5.4555735598556957E-3</v>
      </c>
      <c r="P391" t="s">
        <v>194</v>
      </c>
    </row>
    <row r="392" spans="1:16">
      <c r="A392" t="s">
        <v>188</v>
      </c>
      <c r="B392" t="s">
        <v>68</v>
      </c>
      <c r="C392" t="s">
        <v>108</v>
      </c>
      <c r="D392" t="s">
        <v>51</v>
      </c>
      <c r="E392" t="s">
        <v>52</v>
      </c>
      <c r="F392" s="2">
        <v>1</v>
      </c>
      <c r="G392" s="3">
        <v>3.4482758620689648E-2</v>
      </c>
      <c r="H392" s="3">
        <v>0.5</v>
      </c>
      <c r="I392" s="3">
        <v>14.5</v>
      </c>
      <c r="J392" s="3">
        <v>0.9642857142857143</v>
      </c>
      <c r="K392" s="3">
        <v>0</v>
      </c>
      <c r="L392" s="3">
        <v>0</v>
      </c>
      <c r="M392" s="3">
        <v>0</v>
      </c>
      <c r="N392" s="3">
        <v>0</v>
      </c>
      <c r="O392" s="3">
        <v>0.5</v>
      </c>
      <c r="P392" t="s">
        <v>195</v>
      </c>
    </row>
    <row r="393" spans="1:16">
      <c r="A393" t="s">
        <v>188</v>
      </c>
      <c r="B393" t="s">
        <v>68</v>
      </c>
      <c r="C393" t="s">
        <v>108</v>
      </c>
      <c r="D393" t="s">
        <v>51</v>
      </c>
      <c r="E393" t="s">
        <v>54</v>
      </c>
      <c r="F393" s="2">
        <v>5</v>
      </c>
      <c r="G393" s="3">
        <v>0.17241379310344829</v>
      </c>
      <c r="H393" s="3">
        <v>0.55114942528735622</v>
      </c>
      <c r="I393" s="3">
        <v>3.1966666666666659</v>
      </c>
      <c r="J393" s="3">
        <v>0.75833333333333341</v>
      </c>
      <c r="K393" s="3">
        <v>0.66829511257222485</v>
      </c>
      <c r="L393" s="3">
        <v>0.76923076923076927</v>
      </c>
      <c r="M393" s="3">
        <v>0.66666666666666663</v>
      </c>
      <c r="N393" s="3">
        <v>0.8</v>
      </c>
      <c r="O393" s="3">
        <v>4.4866799490861128E-2</v>
      </c>
      <c r="P393" t="s">
        <v>195</v>
      </c>
    </row>
    <row r="394" spans="1:16">
      <c r="A394" t="s">
        <v>188</v>
      </c>
      <c r="B394" t="s">
        <v>68</v>
      </c>
      <c r="C394" t="s">
        <v>108</v>
      </c>
      <c r="D394" t="s">
        <v>51</v>
      </c>
      <c r="E394" t="s">
        <v>55</v>
      </c>
      <c r="F394" s="2">
        <v>4</v>
      </c>
      <c r="G394" s="3">
        <v>0.13793103448275859</v>
      </c>
      <c r="H394" s="3">
        <v>0.47738095238095241</v>
      </c>
      <c r="I394" s="3">
        <v>3.461011904761905</v>
      </c>
      <c r="J394" s="3">
        <v>0.72000000000000008</v>
      </c>
      <c r="K394" s="3">
        <v>0.61162352254743546</v>
      </c>
      <c r="L394" s="3">
        <v>0.7142857142857143</v>
      </c>
      <c r="M394" s="3">
        <v>0.6</v>
      </c>
      <c r="N394" s="3">
        <v>0.75</v>
      </c>
      <c r="O394" s="3">
        <v>6.100618167930151E-2</v>
      </c>
      <c r="P394" t="s">
        <v>195</v>
      </c>
    </row>
    <row r="395" spans="1:16">
      <c r="A395" t="s">
        <v>188</v>
      </c>
      <c r="B395" t="s">
        <v>68</v>
      </c>
      <c r="C395" t="s">
        <v>108</v>
      </c>
      <c r="D395" t="s">
        <v>51</v>
      </c>
      <c r="E395" t="s">
        <v>56</v>
      </c>
      <c r="F395" s="2">
        <v>2</v>
      </c>
      <c r="G395" s="3">
        <v>6.8965517241379309E-2</v>
      </c>
      <c r="H395" s="3">
        <v>0.66666666666666663</v>
      </c>
      <c r="I395" s="3">
        <v>9.6666666666666661</v>
      </c>
      <c r="J395" s="3">
        <v>0.92592592592592593</v>
      </c>
      <c r="K395" s="3">
        <v>0.35439179203278531</v>
      </c>
      <c r="L395" s="3">
        <v>0.45454545454545447</v>
      </c>
      <c r="M395" s="3">
        <v>0.33333333333333331</v>
      </c>
      <c r="N395" s="3">
        <v>0.5</v>
      </c>
      <c r="O395" s="3">
        <v>0.5</v>
      </c>
      <c r="P395" t="s">
        <v>195</v>
      </c>
    </row>
    <row r="396" spans="1:16">
      <c r="A396" t="s">
        <v>188</v>
      </c>
      <c r="B396" t="s">
        <v>68</v>
      </c>
      <c r="C396" t="s">
        <v>108</v>
      </c>
      <c r="D396" t="s">
        <v>51</v>
      </c>
      <c r="E396" t="s">
        <v>57</v>
      </c>
      <c r="F396" s="2">
        <v>1</v>
      </c>
      <c r="G396" s="3">
        <v>3.4482758620689648E-2</v>
      </c>
      <c r="H396" s="3">
        <v>5.8823529411764712E-2</v>
      </c>
      <c r="I396" s="3">
        <v>1.705882352941176</v>
      </c>
      <c r="J396" s="3">
        <v>0.4285714285714286</v>
      </c>
      <c r="K396" s="3">
        <v>0.1371021242767704</v>
      </c>
      <c r="L396" s="3">
        <v>0.21739130434782611</v>
      </c>
      <c r="M396" s="3">
        <v>5.2631578947368418E-2</v>
      </c>
      <c r="N396" s="3">
        <v>1</v>
      </c>
      <c r="O396" s="3">
        <v>9.8440950549424835E-3</v>
      </c>
      <c r="P396" t="s">
        <v>195</v>
      </c>
    </row>
    <row r="397" spans="1:16">
      <c r="A397" t="s">
        <v>188</v>
      </c>
      <c r="B397" t="s">
        <v>68</v>
      </c>
      <c r="C397" t="s">
        <v>110</v>
      </c>
      <c r="D397" t="s">
        <v>51</v>
      </c>
      <c r="E397" t="s">
        <v>52</v>
      </c>
      <c r="F397" s="2">
        <v>1</v>
      </c>
      <c r="G397" s="3">
        <v>3.4482758620689648E-2</v>
      </c>
      <c r="H397" s="3">
        <v>1</v>
      </c>
      <c r="I397" s="3">
        <v>29</v>
      </c>
      <c r="J397" s="3">
        <v>1</v>
      </c>
      <c r="K397" s="3">
        <v>0</v>
      </c>
      <c r="L397" s="3">
        <v>0</v>
      </c>
      <c r="M397" s="3">
        <v>0</v>
      </c>
      <c r="N397" s="3">
        <v>0</v>
      </c>
      <c r="O397" s="3">
        <v>0.5</v>
      </c>
      <c r="P397" t="s">
        <v>196</v>
      </c>
    </row>
    <row r="398" spans="1:16">
      <c r="A398" t="s">
        <v>188</v>
      </c>
      <c r="B398" t="s">
        <v>68</v>
      </c>
      <c r="C398" t="s">
        <v>110</v>
      </c>
      <c r="D398" t="s">
        <v>51</v>
      </c>
      <c r="E398" t="s">
        <v>54</v>
      </c>
      <c r="F398" s="2">
        <v>5</v>
      </c>
      <c r="G398" s="3">
        <v>0.17241379310344829</v>
      </c>
      <c r="H398" s="3">
        <v>0.56114942528735634</v>
      </c>
      <c r="I398" s="3">
        <v>3.254666666666667</v>
      </c>
      <c r="J398" s="3">
        <v>0.73333333333333328</v>
      </c>
      <c r="K398" s="3">
        <v>0.41403933560541262</v>
      </c>
      <c r="L398" s="3">
        <v>0.23809523809523811</v>
      </c>
      <c r="M398" s="3">
        <v>1</v>
      </c>
      <c r="N398" s="3">
        <v>0.2</v>
      </c>
      <c r="O398" s="3">
        <v>0.20796050379063069</v>
      </c>
      <c r="P398" t="s">
        <v>196</v>
      </c>
    </row>
    <row r="399" spans="1:16">
      <c r="A399" t="s">
        <v>188</v>
      </c>
      <c r="B399" t="s">
        <v>68</v>
      </c>
      <c r="C399" t="s">
        <v>110</v>
      </c>
      <c r="D399" t="s">
        <v>51</v>
      </c>
      <c r="E399" t="s">
        <v>55</v>
      </c>
      <c r="F399" s="2">
        <v>4</v>
      </c>
      <c r="G399" s="3">
        <v>0.13793103448275859</v>
      </c>
      <c r="H399" s="3">
        <v>1</v>
      </c>
      <c r="I399" s="3">
        <v>7.25</v>
      </c>
      <c r="J399" s="3">
        <v>1</v>
      </c>
      <c r="K399" s="3">
        <v>1</v>
      </c>
      <c r="L399" s="3">
        <v>1</v>
      </c>
      <c r="M399" s="3">
        <v>1</v>
      </c>
      <c r="N399" s="3">
        <v>1</v>
      </c>
      <c r="O399" s="3">
        <v>0.40176509655085102</v>
      </c>
      <c r="P399" t="s">
        <v>196</v>
      </c>
    </row>
    <row r="400" spans="1:16">
      <c r="A400" t="s">
        <v>188</v>
      </c>
      <c r="B400" t="s">
        <v>68</v>
      </c>
      <c r="C400" t="s">
        <v>110</v>
      </c>
      <c r="D400" t="s">
        <v>51</v>
      </c>
      <c r="E400" t="s">
        <v>56</v>
      </c>
      <c r="F400" s="2">
        <v>2</v>
      </c>
      <c r="G400" s="3">
        <v>6.8965517241379309E-2</v>
      </c>
      <c r="H400" s="3">
        <v>0.28448275862068972</v>
      </c>
      <c r="I400" s="3">
        <v>4.125</v>
      </c>
      <c r="J400" s="3">
        <v>0.69444444444444442</v>
      </c>
      <c r="K400" s="3">
        <v>0</v>
      </c>
      <c r="L400" s="3">
        <v>0</v>
      </c>
      <c r="M400" s="3">
        <v>0</v>
      </c>
      <c r="N400" s="3">
        <v>0</v>
      </c>
      <c r="O400" s="3">
        <v>0.5</v>
      </c>
      <c r="P400" t="s">
        <v>196</v>
      </c>
    </row>
    <row r="401" spans="1:16">
      <c r="A401" t="s">
        <v>188</v>
      </c>
      <c r="B401" t="s">
        <v>68</v>
      </c>
      <c r="C401" t="s">
        <v>110</v>
      </c>
      <c r="D401" t="s">
        <v>51</v>
      </c>
      <c r="E401" t="s">
        <v>57</v>
      </c>
      <c r="F401" s="2">
        <v>1</v>
      </c>
      <c r="G401" s="3">
        <v>3.4482758620689648E-2</v>
      </c>
      <c r="H401" s="3">
        <v>0.125</v>
      </c>
      <c r="I401" s="3">
        <v>3.625</v>
      </c>
      <c r="J401" s="3">
        <v>0.75</v>
      </c>
      <c r="K401" s="3">
        <v>0</v>
      </c>
      <c r="L401" s="3">
        <v>0.15151515151515149</v>
      </c>
      <c r="M401" s="3">
        <v>3.4482758620689648E-2</v>
      </c>
      <c r="N401" s="3">
        <v>1</v>
      </c>
      <c r="O401" s="3">
        <v>0</v>
      </c>
      <c r="P401" t="s">
        <v>196</v>
      </c>
    </row>
    <row r="402" spans="1:16">
      <c r="A402" t="s">
        <v>188</v>
      </c>
      <c r="B402" t="s">
        <v>68</v>
      </c>
      <c r="C402" t="s">
        <v>112</v>
      </c>
      <c r="D402" t="s">
        <v>51</v>
      </c>
      <c r="E402" t="s">
        <v>52</v>
      </c>
      <c r="F402" s="2">
        <v>1</v>
      </c>
      <c r="G402" s="3">
        <v>3.4482758620689648E-2</v>
      </c>
      <c r="H402" s="3">
        <v>0.05</v>
      </c>
      <c r="I402" s="3">
        <v>1.45</v>
      </c>
      <c r="J402" s="3">
        <v>0.3214285714285714</v>
      </c>
      <c r="K402" s="3">
        <v>-3.5714285714285712E-2</v>
      </c>
      <c r="L402" s="3">
        <v>0</v>
      </c>
      <c r="M402" s="3">
        <v>0</v>
      </c>
      <c r="N402" s="3">
        <v>0</v>
      </c>
      <c r="O402" s="3">
        <v>0.5</v>
      </c>
      <c r="P402" t="s">
        <v>197</v>
      </c>
    </row>
    <row r="403" spans="1:16">
      <c r="A403" t="s">
        <v>188</v>
      </c>
      <c r="B403" t="s">
        <v>68</v>
      </c>
      <c r="C403" t="s">
        <v>112</v>
      </c>
      <c r="D403" t="s">
        <v>51</v>
      </c>
      <c r="E403" t="s">
        <v>54</v>
      </c>
      <c r="F403" s="2">
        <v>5</v>
      </c>
      <c r="G403" s="3">
        <v>0.17241379310344829</v>
      </c>
      <c r="H403" s="3">
        <v>0.50815850815850827</v>
      </c>
      <c r="I403" s="3">
        <v>2.9473193473193482</v>
      </c>
      <c r="J403" s="3">
        <v>0.55000000000000004</v>
      </c>
      <c r="K403" s="3">
        <v>0.27500000000000002</v>
      </c>
      <c r="L403" s="3">
        <v>0.4</v>
      </c>
      <c r="M403" s="3">
        <v>0.4</v>
      </c>
      <c r="N403" s="3">
        <v>0.4</v>
      </c>
      <c r="O403" s="3">
        <v>0.22482151891618221</v>
      </c>
      <c r="P403" t="s">
        <v>197</v>
      </c>
    </row>
    <row r="404" spans="1:16">
      <c r="A404" t="s">
        <v>188</v>
      </c>
      <c r="B404" t="s">
        <v>68</v>
      </c>
      <c r="C404" t="s">
        <v>112</v>
      </c>
      <c r="D404" t="s">
        <v>51</v>
      </c>
      <c r="E404" t="s">
        <v>55</v>
      </c>
      <c r="F404" s="2">
        <v>4</v>
      </c>
      <c r="G404" s="3">
        <v>0.13793103448275859</v>
      </c>
      <c r="H404" s="3">
        <v>0.19177807486631021</v>
      </c>
      <c r="I404" s="3">
        <v>1.3903910427807491</v>
      </c>
      <c r="J404" s="3">
        <v>0.6</v>
      </c>
      <c r="K404" s="3">
        <v>0.27305461638546191</v>
      </c>
      <c r="L404" s="3">
        <v>0.5357142857142857</v>
      </c>
      <c r="M404" s="3">
        <v>0.25</v>
      </c>
      <c r="N404" s="3">
        <v>0.75</v>
      </c>
      <c r="O404" s="3">
        <v>0.51171880043930951</v>
      </c>
      <c r="P404" t="s">
        <v>197</v>
      </c>
    </row>
    <row r="405" spans="1:16">
      <c r="A405" t="s">
        <v>188</v>
      </c>
      <c r="B405" t="s">
        <v>68</v>
      </c>
      <c r="C405" t="s">
        <v>112</v>
      </c>
      <c r="D405" t="s">
        <v>51</v>
      </c>
      <c r="E405" t="s">
        <v>56</v>
      </c>
      <c r="F405" s="2">
        <v>2</v>
      </c>
      <c r="G405" s="3">
        <v>6.8965517241379309E-2</v>
      </c>
      <c r="H405" s="3">
        <v>8.1168831168831168E-2</v>
      </c>
      <c r="I405" s="3">
        <v>1.176948051948052</v>
      </c>
      <c r="J405" s="3">
        <v>0.33333333333333343</v>
      </c>
      <c r="K405" s="3">
        <v>-0.19744962591969739</v>
      </c>
      <c r="L405" s="3">
        <v>0</v>
      </c>
      <c r="M405" s="3">
        <v>0</v>
      </c>
      <c r="N405" s="3">
        <v>0</v>
      </c>
      <c r="O405" s="3">
        <v>0.5</v>
      </c>
      <c r="P405" t="s">
        <v>197</v>
      </c>
    </row>
    <row r="406" spans="1:16">
      <c r="A406" t="s">
        <v>188</v>
      </c>
      <c r="B406" t="s">
        <v>68</v>
      </c>
      <c r="C406" t="s">
        <v>112</v>
      </c>
      <c r="D406" t="s">
        <v>51</v>
      </c>
      <c r="E406" t="s">
        <v>57</v>
      </c>
      <c r="F406" s="2">
        <v>1</v>
      </c>
      <c r="G406" s="3">
        <v>3.4482758620689648E-2</v>
      </c>
      <c r="H406" s="3">
        <v>4.5454545454545463E-2</v>
      </c>
      <c r="I406" s="3">
        <v>1.3181818181818179</v>
      </c>
      <c r="J406" s="3">
        <v>0.25</v>
      </c>
      <c r="K406" s="3">
        <v>-0.18257418583505541</v>
      </c>
      <c r="L406" s="3">
        <v>0</v>
      </c>
      <c r="M406" s="3">
        <v>0</v>
      </c>
      <c r="N406" s="3">
        <v>0</v>
      </c>
      <c r="O406" s="3">
        <v>4.1885623829742473E-2</v>
      </c>
      <c r="P406" t="s">
        <v>197</v>
      </c>
    </row>
    <row r="407" spans="1:16">
      <c r="A407" t="s">
        <v>188</v>
      </c>
      <c r="B407" t="s">
        <v>68</v>
      </c>
      <c r="C407" t="s">
        <v>66</v>
      </c>
      <c r="D407" t="s">
        <v>51</v>
      </c>
      <c r="E407" t="s">
        <v>52</v>
      </c>
      <c r="F407" s="2">
        <v>1</v>
      </c>
      <c r="G407" s="3">
        <v>3.4482758620689648E-2</v>
      </c>
      <c r="H407" s="3">
        <v>1</v>
      </c>
      <c r="I407" s="3">
        <v>29</v>
      </c>
      <c r="J407" s="3">
        <v>1</v>
      </c>
      <c r="K407" s="3">
        <v>0</v>
      </c>
      <c r="L407" s="3">
        <v>0</v>
      </c>
      <c r="M407" s="3">
        <v>0</v>
      </c>
      <c r="N407" s="3">
        <v>0</v>
      </c>
      <c r="O407" s="3">
        <v>0.5</v>
      </c>
      <c r="P407" t="s">
        <v>198</v>
      </c>
    </row>
    <row r="408" spans="1:16">
      <c r="A408" t="s">
        <v>188</v>
      </c>
      <c r="B408" t="s">
        <v>68</v>
      </c>
      <c r="C408" t="s">
        <v>66</v>
      </c>
      <c r="D408" t="s">
        <v>51</v>
      </c>
      <c r="E408" t="s">
        <v>54</v>
      </c>
      <c r="F408" s="2">
        <v>5</v>
      </c>
      <c r="G408" s="3">
        <v>0.17241379310344829</v>
      </c>
      <c r="H408" s="3">
        <v>0.75444444444444447</v>
      </c>
      <c r="I408" s="3">
        <v>4.3757777777777784</v>
      </c>
      <c r="J408" s="3">
        <v>0.94166666666666665</v>
      </c>
      <c r="K408" s="3">
        <v>0.41403933560541262</v>
      </c>
      <c r="L408" s="3">
        <v>0.23809523809523811</v>
      </c>
      <c r="M408" s="3">
        <v>1</v>
      </c>
      <c r="N408" s="3">
        <v>0.2</v>
      </c>
      <c r="O408" s="3">
        <v>0.44374848669050548</v>
      </c>
      <c r="P408" t="s">
        <v>198</v>
      </c>
    </row>
    <row r="409" spans="1:16">
      <c r="A409" t="s">
        <v>188</v>
      </c>
      <c r="B409" t="s">
        <v>68</v>
      </c>
      <c r="C409" t="s">
        <v>66</v>
      </c>
      <c r="D409" t="s">
        <v>51</v>
      </c>
      <c r="E409" t="s">
        <v>55</v>
      </c>
      <c r="F409" s="2">
        <v>4</v>
      </c>
      <c r="G409" s="3">
        <v>0.13793103448275859</v>
      </c>
      <c r="H409" s="3">
        <v>0.8041666666666667</v>
      </c>
      <c r="I409" s="3">
        <v>5.8302083333333332</v>
      </c>
      <c r="J409" s="3">
        <v>0.97</v>
      </c>
      <c r="K409" s="3">
        <v>0.64807406984078608</v>
      </c>
      <c r="L409" s="3">
        <v>0.83333333333333337</v>
      </c>
      <c r="M409" s="3">
        <v>0.5</v>
      </c>
      <c r="N409" s="3">
        <v>1</v>
      </c>
      <c r="O409" s="3">
        <v>0.27888976206581217</v>
      </c>
      <c r="P409" t="s">
        <v>198</v>
      </c>
    </row>
    <row r="410" spans="1:16">
      <c r="A410" t="s">
        <v>188</v>
      </c>
      <c r="B410" t="s">
        <v>68</v>
      </c>
      <c r="C410" t="s">
        <v>66</v>
      </c>
      <c r="D410" t="s">
        <v>51</v>
      </c>
      <c r="E410" t="s">
        <v>56</v>
      </c>
      <c r="F410" s="2">
        <v>2</v>
      </c>
      <c r="G410" s="3">
        <v>6.8965517241379309E-2</v>
      </c>
      <c r="H410" s="3">
        <v>0.28703703703703698</v>
      </c>
      <c r="I410" s="3">
        <v>4.1620370370370372</v>
      </c>
      <c r="J410" s="3">
        <v>0.51851851851851849</v>
      </c>
      <c r="K410" s="3">
        <v>0</v>
      </c>
      <c r="L410" s="3">
        <v>0</v>
      </c>
      <c r="M410" s="3">
        <v>0</v>
      </c>
      <c r="N410" s="3">
        <v>0</v>
      </c>
      <c r="O410" s="3">
        <v>0.5</v>
      </c>
      <c r="P410" t="s">
        <v>198</v>
      </c>
    </row>
    <row r="411" spans="1:16">
      <c r="A411" t="s">
        <v>188</v>
      </c>
      <c r="B411" t="s">
        <v>68</v>
      </c>
      <c r="C411" t="s">
        <v>66</v>
      </c>
      <c r="D411" t="s">
        <v>51</v>
      </c>
      <c r="E411" t="s">
        <v>57</v>
      </c>
      <c r="F411" s="2">
        <v>1</v>
      </c>
      <c r="G411" s="3">
        <v>3.4482758620689648E-2</v>
      </c>
      <c r="H411" s="3">
        <v>0.5</v>
      </c>
      <c r="I411" s="3">
        <v>14.5</v>
      </c>
      <c r="J411" s="3">
        <v>0.9642857142857143</v>
      </c>
      <c r="K411" s="3">
        <v>0.37000643495047741</v>
      </c>
      <c r="L411" s="3">
        <v>0.5</v>
      </c>
      <c r="M411" s="3">
        <v>0.16666666666666671</v>
      </c>
      <c r="N411" s="3">
        <v>1</v>
      </c>
      <c r="O411" s="3">
        <v>0.22934174756999151</v>
      </c>
      <c r="P411" t="s">
        <v>198</v>
      </c>
    </row>
    <row r="412" spans="1:16">
      <c r="A412" t="s">
        <v>188</v>
      </c>
      <c r="B412" t="s">
        <v>68</v>
      </c>
      <c r="C412" t="s">
        <v>115</v>
      </c>
      <c r="D412" t="s">
        <v>51</v>
      </c>
      <c r="E412" t="s">
        <v>52</v>
      </c>
      <c r="F412" s="2">
        <v>1</v>
      </c>
      <c r="G412" s="3">
        <v>3.4482758620689648E-2</v>
      </c>
      <c r="H412" s="3">
        <v>3.7037037037037028E-2</v>
      </c>
      <c r="I412" s="3">
        <v>1.074074074074074</v>
      </c>
      <c r="J412" s="3">
        <v>0.25</v>
      </c>
      <c r="K412" s="3">
        <v>0</v>
      </c>
      <c r="L412" s="3">
        <v>0</v>
      </c>
      <c r="M412" s="3">
        <v>0</v>
      </c>
      <c r="N412" s="3">
        <v>0</v>
      </c>
      <c r="O412" s="3">
        <v>0.5</v>
      </c>
      <c r="P412" t="s">
        <v>199</v>
      </c>
    </row>
    <row r="413" spans="1:16">
      <c r="A413" t="s">
        <v>188</v>
      </c>
      <c r="B413" t="s">
        <v>68</v>
      </c>
      <c r="C413" t="s">
        <v>115</v>
      </c>
      <c r="D413" t="s">
        <v>51</v>
      </c>
      <c r="E413" t="s">
        <v>54</v>
      </c>
      <c r="F413" s="2">
        <v>5</v>
      </c>
      <c r="G413" s="3">
        <v>0.17241379310344829</v>
      </c>
      <c r="H413" s="3">
        <v>0.57310924369747895</v>
      </c>
      <c r="I413" s="3">
        <v>3.3240336134453781</v>
      </c>
      <c r="J413" s="3">
        <v>0.80833333333333335</v>
      </c>
      <c r="K413" s="3">
        <v>0</v>
      </c>
      <c r="L413" s="3">
        <v>0</v>
      </c>
      <c r="M413" s="3">
        <v>0</v>
      </c>
      <c r="N413" s="3">
        <v>0</v>
      </c>
      <c r="O413" s="3">
        <v>0.20191712170720019</v>
      </c>
      <c r="P413" t="s">
        <v>199</v>
      </c>
    </row>
    <row r="414" spans="1:16">
      <c r="A414" t="s">
        <v>188</v>
      </c>
      <c r="B414" t="s">
        <v>68</v>
      </c>
      <c r="C414" t="s">
        <v>115</v>
      </c>
      <c r="D414" t="s">
        <v>51</v>
      </c>
      <c r="E414" t="s">
        <v>55</v>
      </c>
      <c r="F414" s="2">
        <v>4</v>
      </c>
      <c r="G414" s="3">
        <v>0.13793103448275859</v>
      </c>
      <c r="H414" s="3">
        <v>0.86111111111111116</v>
      </c>
      <c r="I414" s="3">
        <v>6.2430555555555562</v>
      </c>
      <c r="J414" s="3">
        <v>0.95000000000000007</v>
      </c>
      <c r="K414" s="3">
        <v>0.84920777560844685</v>
      </c>
      <c r="L414" s="3">
        <v>0.78947368421052633</v>
      </c>
      <c r="M414" s="3">
        <v>1</v>
      </c>
      <c r="N414" s="3">
        <v>0.75</v>
      </c>
      <c r="O414" s="3">
        <v>0.100633964225304</v>
      </c>
      <c r="P414" t="s">
        <v>199</v>
      </c>
    </row>
    <row r="415" spans="1:16">
      <c r="A415" t="s">
        <v>188</v>
      </c>
      <c r="B415" t="s">
        <v>68</v>
      </c>
      <c r="C415" t="s">
        <v>115</v>
      </c>
      <c r="D415" t="s">
        <v>51</v>
      </c>
      <c r="E415" t="s">
        <v>56</v>
      </c>
      <c r="F415" s="2">
        <v>2</v>
      </c>
      <c r="G415" s="3">
        <v>6.8965517241379309E-2</v>
      </c>
      <c r="H415" s="3">
        <v>9.1666666666666674E-2</v>
      </c>
      <c r="I415" s="3">
        <v>1.3291666666666671</v>
      </c>
      <c r="J415" s="3">
        <v>0.5092592592592593</v>
      </c>
      <c r="K415" s="3">
        <v>0</v>
      </c>
      <c r="L415" s="3">
        <v>0</v>
      </c>
      <c r="M415" s="3">
        <v>0</v>
      </c>
      <c r="N415" s="3">
        <v>0</v>
      </c>
      <c r="O415" s="3">
        <v>0.5</v>
      </c>
      <c r="P415" t="s">
        <v>199</v>
      </c>
    </row>
    <row r="416" spans="1:16">
      <c r="A416" t="s">
        <v>188</v>
      </c>
      <c r="B416" t="s">
        <v>68</v>
      </c>
      <c r="C416" t="s">
        <v>115</v>
      </c>
      <c r="D416" t="s">
        <v>51</v>
      </c>
      <c r="E416" t="s">
        <v>57</v>
      </c>
      <c r="F416" s="2">
        <v>1</v>
      </c>
      <c r="G416" s="3">
        <v>3.4482758620689648E-2</v>
      </c>
      <c r="H416" s="3">
        <v>4.5454545454545463E-2</v>
      </c>
      <c r="I416" s="3">
        <v>1.3181818181818179</v>
      </c>
      <c r="J416" s="3">
        <v>0.4107142857142857</v>
      </c>
      <c r="K416" s="3">
        <v>-8.6258194917794281E-2</v>
      </c>
      <c r="L416" s="3">
        <v>0</v>
      </c>
      <c r="M416" s="3">
        <v>0</v>
      </c>
      <c r="N416" s="3">
        <v>0</v>
      </c>
      <c r="O416" s="3">
        <v>8.325029902149686E-2</v>
      </c>
      <c r="P416" t="s">
        <v>199</v>
      </c>
    </row>
    <row r="417" spans="1:16">
      <c r="A417" t="s">
        <v>188</v>
      </c>
      <c r="B417" t="s">
        <v>68</v>
      </c>
      <c r="C417" t="s">
        <v>117</v>
      </c>
      <c r="D417" t="s">
        <v>51</v>
      </c>
      <c r="E417" t="s">
        <v>52</v>
      </c>
      <c r="F417" s="2">
        <v>1</v>
      </c>
      <c r="G417" s="3">
        <v>3.4482758620689648E-2</v>
      </c>
      <c r="H417" s="3">
        <v>0.5</v>
      </c>
      <c r="I417" s="3">
        <v>14.5</v>
      </c>
      <c r="J417" s="3">
        <v>0.9642857142857143</v>
      </c>
      <c r="K417" s="3">
        <v>0</v>
      </c>
      <c r="L417" s="3">
        <v>0</v>
      </c>
      <c r="M417" s="3">
        <v>0</v>
      </c>
      <c r="N417" s="3">
        <v>0</v>
      </c>
      <c r="O417" s="3">
        <v>0.5</v>
      </c>
      <c r="P417" t="s">
        <v>200</v>
      </c>
    </row>
    <row r="418" spans="1:16">
      <c r="A418" t="s">
        <v>188</v>
      </c>
      <c r="B418" t="s">
        <v>68</v>
      </c>
      <c r="C418" t="s">
        <v>117</v>
      </c>
      <c r="D418" t="s">
        <v>51</v>
      </c>
      <c r="E418" t="s">
        <v>54</v>
      </c>
      <c r="F418" s="2">
        <v>5</v>
      </c>
      <c r="G418" s="3">
        <v>0.17241379310344829</v>
      </c>
      <c r="H418" s="3">
        <v>0.66929824561403506</v>
      </c>
      <c r="I418" s="3">
        <v>3.8819298245614031</v>
      </c>
      <c r="J418" s="3">
        <v>0.85</v>
      </c>
      <c r="K418" s="3">
        <v>0.41403933560541262</v>
      </c>
      <c r="L418" s="3">
        <v>0.23809523809523811</v>
      </c>
      <c r="M418" s="3">
        <v>1</v>
      </c>
      <c r="N418" s="3">
        <v>0.2</v>
      </c>
      <c r="O418" s="3">
        <v>0.21640309975973959</v>
      </c>
      <c r="P418" t="s">
        <v>200</v>
      </c>
    </row>
    <row r="419" spans="1:16">
      <c r="A419" t="s">
        <v>188</v>
      </c>
      <c r="B419" t="s">
        <v>68</v>
      </c>
      <c r="C419" t="s">
        <v>117</v>
      </c>
      <c r="D419" t="s">
        <v>51</v>
      </c>
      <c r="E419" t="s">
        <v>55</v>
      </c>
      <c r="F419" s="2">
        <v>4</v>
      </c>
      <c r="G419" s="3">
        <v>0.13793103448275859</v>
      </c>
      <c r="H419" s="3">
        <v>0.69166666666666665</v>
      </c>
      <c r="I419" s="3">
        <v>5.0145833333333334</v>
      </c>
      <c r="J419" s="3">
        <v>0.94000000000000006</v>
      </c>
      <c r="K419" s="3">
        <v>0.64807406984078608</v>
      </c>
      <c r="L419" s="3">
        <v>0.83333333333333337</v>
      </c>
      <c r="M419" s="3">
        <v>0.5</v>
      </c>
      <c r="N419" s="3">
        <v>1</v>
      </c>
      <c r="O419" s="3">
        <v>1.160197002700903E-2</v>
      </c>
      <c r="P419" t="s">
        <v>200</v>
      </c>
    </row>
    <row r="420" spans="1:16">
      <c r="A420" t="s">
        <v>188</v>
      </c>
      <c r="B420" t="s">
        <v>68</v>
      </c>
      <c r="C420" t="s">
        <v>117</v>
      </c>
      <c r="D420" t="s">
        <v>51</v>
      </c>
      <c r="E420" t="s">
        <v>56</v>
      </c>
      <c r="F420" s="2">
        <v>2</v>
      </c>
      <c r="G420" s="3">
        <v>6.8965517241379309E-2</v>
      </c>
      <c r="H420" s="3">
        <v>0.32692307692307693</v>
      </c>
      <c r="I420" s="3">
        <v>4.7403846153846159</v>
      </c>
      <c r="J420" s="3">
        <v>0.77777777777777768</v>
      </c>
      <c r="K420" s="3">
        <v>0</v>
      </c>
      <c r="L420" s="3">
        <v>0</v>
      </c>
      <c r="M420" s="3">
        <v>0</v>
      </c>
      <c r="N420" s="3">
        <v>0</v>
      </c>
      <c r="O420" s="3">
        <v>0.5</v>
      </c>
      <c r="P420" t="s">
        <v>200</v>
      </c>
    </row>
    <row r="421" spans="1:16">
      <c r="A421" t="s">
        <v>188</v>
      </c>
      <c r="B421" t="s">
        <v>68</v>
      </c>
      <c r="C421" t="s">
        <v>117</v>
      </c>
      <c r="D421" t="s">
        <v>51</v>
      </c>
      <c r="E421" t="s">
        <v>57</v>
      </c>
      <c r="F421" s="2">
        <v>1</v>
      </c>
      <c r="G421" s="3">
        <v>3.4482758620689648E-2</v>
      </c>
      <c r="H421" s="3">
        <v>4.7619047619047623E-2</v>
      </c>
      <c r="I421" s="3">
        <v>1.3809523809523809</v>
      </c>
      <c r="J421" s="3">
        <v>0.2857142857142857</v>
      </c>
      <c r="K421" s="3">
        <v>8.6258194917794281E-2</v>
      </c>
      <c r="L421" s="3">
        <v>0.1785714285714286</v>
      </c>
      <c r="M421" s="3">
        <v>4.1666666666666657E-2</v>
      </c>
      <c r="N421" s="3">
        <v>1</v>
      </c>
      <c r="O421" s="3">
        <v>6.5857390133692104E-3</v>
      </c>
      <c r="P421" t="s">
        <v>200</v>
      </c>
    </row>
    <row r="422" spans="1:16">
      <c r="A422" t="s">
        <v>188</v>
      </c>
      <c r="B422" t="s">
        <v>75</v>
      </c>
      <c r="C422" t="s">
        <v>108</v>
      </c>
      <c r="D422" t="s">
        <v>51</v>
      </c>
      <c r="E422" t="s">
        <v>52</v>
      </c>
      <c r="F422" s="2">
        <v>1</v>
      </c>
      <c r="G422" s="3">
        <v>3.4482758620689648E-2</v>
      </c>
      <c r="H422" s="3">
        <v>1</v>
      </c>
      <c r="I422" s="3">
        <v>29</v>
      </c>
      <c r="J422" s="3">
        <v>1</v>
      </c>
      <c r="K422" s="3">
        <v>0</v>
      </c>
      <c r="L422" s="3">
        <v>0</v>
      </c>
      <c r="M422" s="3">
        <v>0</v>
      </c>
      <c r="N422" s="3">
        <v>0</v>
      </c>
      <c r="O422" s="3">
        <v>0.5</v>
      </c>
      <c r="P422" t="s">
        <v>201</v>
      </c>
    </row>
    <row r="423" spans="1:16">
      <c r="A423" t="s">
        <v>188</v>
      </c>
      <c r="B423" t="s">
        <v>75</v>
      </c>
      <c r="C423" t="s">
        <v>108</v>
      </c>
      <c r="D423" t="s">
        <v>51</v>
      </c>
      <c r="E423" t="s">
        <v>54</v>
      </c>
      <c r="F423" s="2">
        <v>5</v>
      </c>
      <c r="G423" s="3">
        <v>0.17241379310344829</v>
      </c>
      <c r="H423" s="3">
        <v>0.57781609195402295</v>
      </c>
      <c r="I423" s="3">
        <v>3.3513333333333328</v>
      </c>
      <c r="J423" s="3">
        <v>0.76666666666666672</v>
      </c>
      <c r="K423" s="3">
        <v>0.7583333333333333</v>
      </c>
      <c r="L423" s="3">
        <v>0.8</v>
      </c>
      <c r="M423" s="3">
        <v>0.8</v>
      </c>
      <c r="N423" s="3">
        <v>0.8</v>
      </c>
      <c r="O423" s="3">
        <v>5.3610055608705347E-2</v>
      </c>
      <c r="P423" t="s">
        <v>201</v>
      </c>
    </row>
    <row r="424" spans="1:16">
      <c r="A424" t="s">
        <v>188</v>
      </c>
      <c r="B424" t="s">
        <v>75</v>
      </c>
      <c r="C424" t="s">
        <v>108</v>
      </c>
      <c r="D424" t="s">
        <v>51</v>
      </c>
      <c r="E424" t="s">
        <v>55</v>
      </c>
      <c r="F424" s="2">
        <v>4</v>
      </c>
      <c r="G424" s="3">
        <v>0.13793103448275859</v>
      </c>
      <c r="H424" s="3">
        <v>0.53257575757575759</v>
      </c>
      <c r="I424" s="3">
        <v>3.861174242424243</v>
      </c>
      <c r="J424" s="3">
        <v>0.89</v>
      </c>
      <c r="K424" s="3">
        <v>0.42433421239575281</v>
      </c>
      <c r="L424" s="3">
        <v>0.625</v>
      </c>
      <c r="M424" s="3">
        <v>0.375</v>
      </c>
      <c r="N424" s="3">
        <v>0.75</v>
      </c>
      <c r="O424" s="3">
        <v>2.864590275401958E-2</v>
      </c>
      <c r="P424" t="s">
        <v>201</v>
      </c>
    </row>
    <row r="425" spans="1:16">
      <c r="A425" t="s">
        <v>188</v>
      </c>
      <c r="B425" t="s">
        <v>75</v>
      </c>
      <c r="C425" t="s">
        <v>108</v>
      </c>
      <c r="D425" t="s">
        <v>51</v>
      </c>
      <c r="E425" t="s">
        <v>56</v>
      </c>
      <c r="F425" s="2">
        <v>2</v>
      </c>
      <c r="G425" s="3">
        <v>6.8965517241379309E-2</v>
      </c>
      <c r="H425" s="3">
        <v>0.66666666666666663</v>
      </c>
      <c r="I425" s="3">
        <v>9.6666666666666661</v>
      </c>
      <c r="J425" s="3">
        <v>0.92592592592592593</v>
      </c>
      <c r="K425" s="3">
        <v>0.35439179203278531</v>
      </c>
      <c r="L425" s="3">
        <v>0.45454545454545447</v>
      </c>
      <c r="M425" s="3">
        <v>0.33333333333333331</v>
      </c>
      <c r="N425" s="3">
        <v>0.5</v>
      </c>
      <c r="O425" s="3">
        <v>0.5</v>
      </c>
      <c r="P425" t="s">
        <v>201</v>
      </c>
    </row>
    <row r="426" spans="1:16">
      <c r="A426" t="s">
        <v>188</v>
      </c>
      <c r="B426" t="s">
        <v>75</v>
      </c>
      <c r="C426" t="s">
        <v>108</v>
      </c>
      <c r="D426" t="s">
        <v>51</v>
      </c>
      <c r="E426" t="s">
        <v>57</v>
      </c>
      <c r="F426" s="2">
        <v>1</v>
      </c>
      <c r="G426" s="3">
        <v>3.4482758620689648E-2</v>
      </c>
      <c r="H426" s="3">
        <v>5.8823529411764712E-2</v>
      </c>
      <c r="I426" s="3">
        <v>1.705882352941176</v>
      </c>
      <c r="J426" s="3">
        <v>0.4285714285714286</v>
      </c>
      <c r="K426" s="3">
        <v>0.1166423687039609</v>
      </c>
      <c r="L426" s="3">
        <v>0.2</v>
      </c>
      <c r="M426" s="3">
        <v>4.7619047619047623E-2</v>
      </c>
      <c r="N426" s="3">
        <v>1</v>
      </c>
      <c r="O426" s="3">
        <v>1.025296436830312E-2</v>
      </c>
      <c r="P426" t="s">
        <v>201</v>
      </c>
    </row>
    <row r="427" spans="1:16">
      <c r="A427" t="s">
        <v>188</v>
      </c>
      <c r="B427" t="s">
        <v>75</v>
      </c>
      <c r="C427" t="s">
        <v>110</v>
      </c>
      <c r="D427" t="s">
        <v>51</v>
      </c>
      <c r="E427" t="s">
        <v>52</v>
      </c>
      <c r="F427" s="2">
        <v>1</v>
      </c>
      <c r="G427" s="3">
        <v>3.4482758620689648E-2</v>
      </c>
      <c r="H427" s="3">
        <v>1</v>
      </c>
      <c r="I427" s="3">
        <v>29</v>
      </c>
      <c r="J427" s="3">
        <v>1</v>
      </c>
      <c r="K427" s="3">
        <v>0</v>
      </c>
      <c r="L427" s="3">
        <v>0</v>
      </c>
      <c r="M427" s="3">
        <v>0</v>
      </c>
      <c r="N427" s="3">
        <v>0</v>
      </c>
      <c r="O427" s="3">
        <v>0.5</v>
      </c>
      <c r="P427" t="s">
        <v>202</v>
      </c>
    </row>
    <row r="428" spans="1:16">
      <c r="A428" t="s">
        <v>188</v>
      </c>
      <c r="B428" t="s">
        <v>75</v>
      </c>
      <c r="C428" t="s">
        <v>110</v>
      </c>
      <c r="D428" t="s">
        <v>51</v>
      </c>
      <c r="E428" t="s">
        <v>54</v>
      </c>
      <c r="F428" s="2">
        <v>5</v>
      </c>
      <c r="G428" s="3">
        <v>0.17241379310344829</v>
      </c>
      <c r="H428" s="3">
        <v>0.38226053639846752</v>
      </c>
      <c r="I428" s="3">
        <v>2.217111111111111</v>
      </c>
      <c r="J428" s="3">
        <v>0.62916666666666676</v>
      </c>
      <c r="K428" s="3">
        <v>0</v>
      </c>
      <c r="L428" s="3">
        <v>0</v>
      </c>
      <c r="M428" s="3">
        <v>0</v>
      </c>
      <c r="N428" s="3">
        <v>0</v>
      </c>
      <c r="O428" s="3">
        <v>0.21812412334983949</v>
      </c>
      <c r="P428" t="s">
        <v>202</v>
      </c>
    </row>
    <row r="429" spans="1:16">
      <c r="A429" t="s">
        <v>188</v>
      </c>
      <c r="B429" t="s">
        <v>75</v>
      </c>
      <c r="C429" t="s">
        <v>110</v>
      </c>
      <c r="D429" t="s">
        <v>51</v>
      </c>
      <c r="E429" t="s">
        <v>55</v>
      </c>
      <c r="F429" s="2">
        <v>4</v>
      </c>
      <c r="G429" s="3">
        <v>0.13793103448275859</v>
      </c>
      <c r="H429" s="3">
        <v>0.8041666666666667</v>
      </c>
      <c r="I429" s="3">
        <v>5.8302083333333332</v>
      </c>
      <c r="J429" s="3">
        <v>0.97</v>
      </c>
      <c r="K429" s="3">
        <v>0.8763560920082657</v>
      </c>
      <c r="L429" s="3">
        <v>0.95238095238095233</v>
      </c>
      <c r="M429" s="3">
        <v>0.8</v>
      </c>
      <c r="N429" s="3">
        <v>1</v>
      </c>
      <c r="O429" s="3">
        <v>0.39072958016046028</v>
      </c>
      <c r="P429" t="s">
        <v>202</v>
      </c>
    </row>
    <row r="430" spans="1:16">
      <c r="A430" t="s">
        <v>188</v>
      </c>
      <c r="B430" t="s">
        <v>75</v>
      </c>
      <c r="C430" t="s">
        <v>110</v>
      </c>
      <c r="D430" t="s">
        <v>51</v>
      </c>
      <c r="E430" t="s">
        <v>56</v>
      </c>
      <c r="F430" s="2">
        <v>2</v>
      </c>
      <c r="G430" s="3">
        <v>6.8965517241379309E-2</v>
      </c>
      <c r="H430" s="3">
        <v>0.2011494252873563</v>
      </c>
      <c r="I430" s="3">
        <v>2.916666666666667</v>
      </c>
      <c r="J430" s="3">
        <v>0.67592592592592582</v>
      </c>
      <c r="K430" s="3">
        <v>0</v>
      </c>
      <c r="L430" s="3">
        <v>0</v>
      </c>
      <c r="M430" s="3">
        <v>0</v>
      </c>
      <c r="N430" s="3">
        <v>0</v>
      </c>
      <c r="O430" s="3">
        <v>0.5</v>
      </c>
      <c r="P430" t="s">
        <v>202</v>
      </c>
    </row>
    <row r="431" spans="1:16">
      <c r="A431" t="s">
        <v>188</v>
      </c>
      <c r="B431" t="s">
        <v>75</v>
      </c>
      <c r="C431" t="s">
        <v>110</v>
      </c>
      <c r="D431" t="s">
        <v>51</v>
      </c>
      <c r="E431" t="s">
        <v>57</v>
      </c>
      <c r="F431" s="2">
        <v>1</v>
      </c>
      <c r="G431" s="3">
        <v>3.4482758620689648E-2</v>
      </c>
      <c r="H431" s="3">
        <v>0.125</v>
      </c>
      <c r="I431" s="3">
        <v>3.625</v>
      </c>
      <c r="J431" s="3">
        <v>0.75</v>
      </c>
      <c r="K431" s="3">
        <v>0</v>
      </c>
      <c r="L431" s="3">
        <v>0.15151515151515149</v>
      </c>
      <c r="M431" s="3">
        <v>3.4482758620689648E-2</v>
      </c>
      <c r="N431" s="3">
        <v>1</v>
      </c>
      <c r="O431" s="3">
        <v>0</v>
      </c>
      <c r="P431" t="s">
        <v>202</v>
      </c>
    </row>
    <row r="432" spans="1:16">
      <c r="A432" t="s">
        <v>188</v>
      </c>
      <c r="B432" t="s">
        <v>75</v>
      </c>
      <c r="C432" t="s">
        <v>112</v>
      </c>
      <c r="D432" t="s">
        <v>51</v>
      </c>
      <c r="E432" t="s">
        <v>52</v>
      </c>
      <c r="F432" s="2">
        <v>1</v>
      </c>
      <c r="G432" s="3">
        <v>3.4482758620689648E-2</v>
      </c>
      <c r="H432" s="3">
        <v>0.2</v>
      </c>
      <c r="I432" s="3">
        <v>5.8000000000000007</v>
      </c>
      <c r="J432" s="3">
        <v>0.85714285714285721</v>
      </c>
      <c r="K432" s="3">
        <v>0.2604940361258638</v>
      </c>
      <c r="L432" s="3">
        <v>0.35714285714285721</v>
      </c>
      <c r="M432" s="3">
        <v>0.1</v>
      </c>
      <c r="N432" s="3">
        <v>1</v>
      </c>
      <c r="O432" s="3">
        <v>0.5</v>
      </c>
      <c r="P432" t="s">
        <v>203</v>
      </c>
    </row>
    <row r="433" spans="1:16">
      <c r="A433" t="s">
        <v>188</v>
      </c>
      <c r="B433" t="s">
        <v>75</v>
      </c>
      <c r="C433" t="s">
        <v>112</v>
      </c>
      <c r="D433" t="s">
        <v>51</v>
      </c>
      <c r="E433" t="s">
        <v>54</v>
      </c>
      <c r="F433" s="2">
        <v>5</v>
      </c>
      <c r="G433" s="3">
        <v>0.17241379310344829</v>
      </c>
      <c r="H433" s="3">
        <v>0.26728265107212479</v>
      </c>
      <c r="I433" s="3">
        <v>1.550239376218324</v>
      </c>
      <c r="J433" s="3">
        <v>0.46666666666666679</v>
      </c>
      <c r="K433" s="3">
        <v>-0.10708993401928101</v>
      </c>
      <c r="L433" s="3">
        <v>0.2857142857142857</v>
      </c>
      <c r="M433" s="3">
        <v>0.1333333333333333</v>
      </c>
      <c r="N433" s="3">
        <v>0.4</v>
      </c>
      <c r="O433" s="3">
        <v>6.4839512020781281E-2</v>
      </c>
      <c r="P433" t="s">
        <v>203</v>
      </c>
    </row>
    <row r="434" spans="1:16">
      <c r="A434" t="s">
        <v>188</v>
      </c>
      <c r="B434" t="s">
        <v>75</v>
      </c>
      <c r="C434" t="s">
        <v>112</v>
      </c>
      <c r="D434" t="s">
        <v>51</v>
      </c>
      <c r="E434" t="s">
        <v>55</v>
      </c>
      <c r="F434" s="2">
        <v>4</v>
      </c>
      <c r="G434" s="3">
        <v>0.13793103448275859</v>
      </c>
      <c r="H434" s="3">
        <v>0.23382352941176471</v>
      </c>
      <c r="I434" s="3">
        <v>1.695220588235294</v>
      </c>
      <c r="J434" s="3">
        <v>0.67999999999999994</v>
      </c>
      <c r="K434" s="3">
        <v>4.2562826537937429E-2</v>
      </c>
      <c r="L434" s="3">
        <v>0.22727272727272729</v>
      </c>
      <c r="M434" s="3">
        <v>0.16666666666666671</v>
      </c>
      <c r="N434" s="3">
        <v>0.25</v>
      </c>
      <c r="O434" s="3">
        <v>0.76027005466431197</v>
      </c>
      <c r="P434" t="s">
        <v>203</v>
      </c>
    </row>
    <row r="435" spans="1:16">
      <c r="A435" t="s">
        <v>188</v>
      </c>
      <c r="B435" t="s">
        <v>75</v>
      </c>
      <c r="C435" t="s">
        <v>112</v>
      </c>
      <c r="D435" t="s">
        <v>51</v>
      </c>
      <c r="E435" t="s">
        <v>56</v>
      </c>
      <c r="F435" s="2">
        <v>2</v>
      </c>
      <c r="G435" s="3">
        <v>6.8965517241379309E-2</v>
      </c>
      <c r="H435" s="3">
        <v>0.13596491228070171</v>
      </c>
      <c r="I435" s="3">
        <v>1.9714912280701751</v>
      </c>
      <c r="J435" s="3">
        <v>0.59259259259259256</v>
      </c>
      <c r="K435" s="3">
        <v>0</v>
      </c>
      <c r="L435" s="3">
        <v>0</v>
      </c>
      <c r="M435" s="3">
        <v>0</v>
      </c>
      <c r="N435" s="3">
        <v>0</v>
      </c>
      <c r="O435" s="3">
        <v>0.5</v>
      </c>
      <c r="P435" t="s">
        <v>203</v>
      </c>
    </row>
    <row r="436" spans="1:16">
      <c r="A436" t="s">
        <v>188</v>
      </c>
      <c r="B436" t="s">
        <v>75</v>
      </c>
      <c r="C436" t="s">
        <v>112</v>
      </c>
      <c r="D436" t="s">
        <v>51</v>
      </c>
      <c r="E436" t="s">
        <v>57</v>
      </c>
      <c r="F436" s="2">
        <v>1</v>
      </c>
      <c r="G436" s="3">
        <v>3.4482758620689648E-2</v>
      </c>
      <c r="H436" s="3">
        <v>3.4482758620689648E-2</v>
      </c>
      <c r="I436" s="3">
        <v>1</v>
      </c>
      <c r="J436" s="3">
        <v>0</v>
      </c>
      <c r="K436" s="3">
        <v>-0.1477342100713197</v>
      </c>
      <c r="L436" s="3">
        <v>0</v>
      </c>
      <c r="M436" s="3">
        <v>0</v>
      </c>
      <c r="N436" s="3">
        <v>0</v>
      </c>
      <c r="O436" s="3">
        <v>0.77093940875458833</v>
      </c>
      <c r="P436" t="s">
        <v>203</v>
      </c>
    </row>
    <row r="437" spans="1:16">
      <c r="A437" t="s">
        <v>188</v>
      </c>
      <c r="B437" t="s">
        <v>75</v>
      </c>
      <c r="C437" t="s">
        <v>66</v>
      </c>
      <c r="D437" t="s">
        <v>51</v>
      </c>
      <c r="E437" t="s">
        <v>52</v>
      </c>
      <c r="F437" s="2">
        <v>1</v>
      </c>
      <c r="G437" s="3">
        <v>3.4482758620689648E-2</v>
      </c>
      <c r="H437" s="3">
        <v>0.5</v>
      </c>
      <c r="I437" s="3">
        <v>14.5</v>
      </c>
      <c r="J437" s="3">
        <v>0.9642857142857143</v>
      </c>
      <c r="K437" s="3">
        <v>0</v>
      </c>
      <c r="L437" s="3">
        <v>0</v>
      </c>
      <c r="M437" s="3">
        <v>0</v>
      </c>
      <c r="N437" s="3">
        <v>0</v>
      </c>
      <c r="O437" s="3">
        <v>0.5</v>
      </c>
      <c r="P437" t="s">
        <v>204</v>
      </c>
    </row>
    <row r="438" spans="1:16">
      <c r="A438" t="s">
        <v>188</v>
      </c>
      <c r="B438" t="s">
        <v>75</v>
      </c>
      <c r="C438" t="s">
        <v>66</v>
      </c>
      <c r="D438" t="s">
        <v>51</v>
      </c>
      <c r="E438" t="s">
        <v>54</v>
      </c>
      <c r="F438" s="2">
        <v>5</v>
      </c>
      <c r="G438" s="3">
        <v>0.17241379310344829</v>
      </c>
      <c r="H438" s="3">
        <v>0.66444444444444439</v>
      </c>
      <c r="I438" s="3">
        <v>3.8537777777777769</v>
      </c>
      <c r="J438" s="3">
        <v>0.90833333333333344</v>
      </c>
      <c r="K438" s="3">
        <v>0.41403933560541262</v>
      </c>
      <c r="L438" s="3">
        <v>0.23809523809523811</v>
      </c>
      <c r="M438" s="3">
        <v>1</v>
      </c>
      <c r="N438" s="3">
        <v>0.2</v>
      </c>
      <c r="O438" s="3">
        <v>0.43308792159519638</v>
      </c>
      <c r="P438" t="s">
        <v>204</v>
      </c>
    </row>
    <row r="439" spans="1:16">
      <c r="A439" t="s">
        <v>188</v>
      </c>
      <c r="B439" t="s">
        <v>75</v>
      </c>
      <c r="C439" t="s">
        <v>66</v>
      </c>
      <c r="D439" t="s">
        <v>51</v>
      </c>
      <c r="E439" t="s">
        <v>55</v>
      </c>
      <c r="F439" s="2">
        <v>4</v>
      </c>
      <c r="G439" s="3">
        <v>0.13793103448275859</v>
      </c>
      <c r="H439" s="3">
        <v>0.95</v>
      </c>
      <c r="I439" s="3">
        <v>6.8875000000000002</v>
      </c>
      <c r="J439" s="3">
        <v>0.99</v>
      </c>
      <c r="K439" s="3">
        <v>0.64807406984078608</v>
      </c>
      <c r="L439" s="3">
        <v>0.83333333333333337</v>
      </c>
      <c r="M439" s="3">
        <v>0.5</v>
      </c>
      <c r="N439" s="3">
        <v>1</v>
      </c>
      <c r="O439" s="3">
        <v>0.26344872879692632</v>
      </c>
      <c r="P439" t="s">
        <v>204</v>
      </c>
    </row>
    <row r="440" spans="1:16">
      <c r="A440" t="s">
        <v>188</v>
      </c>
      <c r="B440" t="s">
        <v>75</v>
      </c>
      <c r="C440" t="s">
        <v>66</v>
      </c>
      <c r="D440" t="s">
        <v>51</v>
      </c>
      <c r="E440" t="s">
        <v>56</v>
      </c>
      <c r="F440" s="2">
        <v>2</v>
      </c>
      <c r="G440" s="3">
        <v>6.8965517241379309E-2</v>
      </c>
      <c r="H440" s="3">
        <v>0.30263157894736842</v>
      </c>
      <c r="I440" s="3">
        <v>4.3881578947368416</v>
      </c>
      <c r="J440" s="3">
        <v>0.66666666666666663</v>
      </c>
      <c r="K440" s="3">
        <v>0</v>
      </c>
      <c r="L440" s="3">
        <v>0</v>
      </c>
      <c r="M440" s="3">
        <v>0</v>
      </c>
      <c r="N440" s="3">
        <v>0</v>
      </c>
      <c r="O440" s="3">
        <v>0.5</v>
      </c>
      <c r="P440" t="s">
        <v>204</v>
      </c>
    </row>
    <row r="441" spans="1:16">
      <c r="A441" t="s">
        <v>188</v>
      </c>
      <c r="B441" t="s">
        <v>75</v>
      </c>
      <c r="C441" t="s">
        <v>66</v>
      </c>
      <c r="D441" t="s">
        <v>51</v>
      </c>
      <c r="E441" t="s">
        <v>57</v>
      </c>
      <c r="F441" s="2">
        <v>1</v>
      </c>
      <c r="G441" s="3">
        <v>3.4482758620689648E-2</v>
      </c>
      <c r="H441" s="3">
        <v>0.33333333333333331</v>
      </c>
      <c r="I441" s="3">
        <v>9.6666666666666661</v>
      </c>
      <c r="J441" s="3">
        <v>0.9285714285714286</v>
      </c>
      <c r="K441" s="3">
        <v>0.30618621784789718</v>
      </c>
      <c r="L441" s="3">
        <v>0.41666666666666669</v>
      </c>
      <c r="M441" s="3">
        <v>0.125</v>
      </c>
      <c r="N441" s="3">
        <v>1</v>
      </c>
      <c r="O441" s="3">
        <v>0.2116564821175152</v>
      </c>
      <c r="P441" t="s">
        <v>204</v>
      </c>
    </row>
    <row r="442" spans="1:16">
      <c r="A442" t="s">
        <v>188</v>
      </c>
      <c r="B442" t="s">
        <v>75</v>
      </c>
      <c r="C442" t="s">
        <v>115</v>
      </c>
      <c r="D442" t="s">
        <v>51</v>
      </c>
      <c r="E442" t="s">
        <v>52</v>
      </c>
      <c r="F442" s="2">
        <v>1</v>
      </c>
      <c r="G442" s="3">
        <v>3.4482758620689648E-2</v>
      </c>
      <c r="H442" s="3">
        <v>3.7037037037037028E-2</v>
      </c>
      <c r="I442" s="3">
        <v>1.074074074074074</v>
      </c>
      <c r="J442" s="3">
        <v>7.1428571428571397E-2</v>
      </c>
      <c r="K442" s="3">
        <v>0</v>
      </c>
      <c r="L442" s="3">
        <v>0</v>
      </c>
      <c r="M442" s="3">
        <v>0</v>
      </c>
      <c r="N442" s="3">
        <v>0</v>
      </c>
      <c r="O442" s="3">
        <v>0.5</v>
      </c>
      <c r="P442" t="s">
        <v>205</v>
      </c>
    </row>
    <row r="443" spans="1:16">
      <c r="A443" t="s">
        <v>188</v>
      </c>
      <c r="B443" t="s">
        <v>75</v>
      </c>
      <c r="C443" t="s">
        <v>115</v>
      </c>
      <c r="D443" t="s">
        <v>51</v>
      </c>
      <c r="E443" t="s">
        <v>54</v>
      </c>
      <c r="F443" s="2">
        <v>5</v>
      </c>
      <c r="G443" s="3">
        <v>0.17241379310344829</v>
      </c>
      <c r="H443" s="3">
        <v>0.55929824561403518</v>
      </c>
      <c r="I443" s="3">
        <v>3.2439298245614041</v>
      </c>
      <c r="J443" s="3">
        <v>0.78333333333333333</v>
      </c>
      <c r="K443" s="3">
        <v>0</v>
      </c>
      <c r="L443" s="3">
        <v>0</v>
      </c>
      <c r="M443" s="3">
        <v>0</v>
      </c>
      <c r="N443" s="3">
        <v>0</v>
      </c>
      <c r="O443" s="3">
        <v>0.22607550732723031</v>
      </c>
      <c r="P443" t="s">
        <v>205</v>
      </c>
    </row>
    <row r="444" spans="1:16">
      <c r="A444" t="s">
        <v>188</v>
      </c>
      <c r="B444" t="s">
        <v>75</v>
      </c>
      <c r="C444" t="s">
        <v>115</v>
      </c>
      <c r="D444" t="s">
        <v>51</v>
      </c>
      <c r="E444" t="s">
        <v>55</v>
      </c>
      <c r="F444" s="2">
        <v>4</v>
      </c>
      <c r="G444" s="3">
        <v>0.13793103448275859</v>
      </c>
      <c r="H444" s="3">
        <v>0.89285714285714279</v>
      </c>
      <c r="I444" s="3">
        <v>6.4732142857142856</v>
      </c>
      <c r="J444" s="3">
        <v>0.97</v>
      </c>
      <c r="K444" s="3">
        <v>0.84920777560844685</v>
      </c>
      <c r="L444" s="3">
        <v>0.78947368421052633</v>
      </c>
      <c r="M444" s="3">
        <v>1</v>
      </c>
      <c r="N444" s="3">
        <v>0.75</v>
      </c>
      <c r="O444" s="3">
        <v>0.10265099726953331</v>
      </c>
      <c r="P444" t="s">
        <v>205</v>
      </c>
    </row>
    <row r="445" spans="1:16">
      <c r="A445" t="s">
        <v>188</v>
      </c>
      <c r="B445" t="s">
        <v>75</v>
      </c>
      <c r="C445" t="s">
        <v>115</v>
      </c>
      <c r="D445" t="s">
        <v>51</v>
      </c>
      <c r="E445" t="s">
        <v>56</v>
      </c>
      <c r="F445" s="2">
        <v>2</v>
      </c>
      <c r="G445" s="3">
        <v>6.8965517241379309E-2</v>
      </c>
      <c r="H445" s="3">
        <v>8.0128205128205121E-2</v>
      </c>
      <c r="I445" s="3">
        <v>1.161858974358974</v>
      </c>
      <c r="J445" s="3">
        <v>0.47222222222222232</v>
      </c>
      <c r="K445" s="3">
        <v>0</v>
      </c>
      <c r="L445" s="3">
        <v>0</v>
      </c>
      <c r="M445" s="3">
        <v>0</v>
      </c>
      <c r="N445" s="3">
        <v>0</v>
      </c>
      <c r="O445" s="3">
        <v>0.5</v>
      </c>
      <c r="P445" t="s">
        <v>205</v>
      </c>
    </row>
    <row r="446" spans="1:16">
      <c r="A446" t="s">
        <v>188</v>
      </c>
      <c r="B446" t="s">
        <v>75</v>
      </c>
      <c r="C446" t="s">
        <v>115</v>
      </c>
      <c r="D446" t="s">
        <v>51</v>
      </c>
      <c r="E446" t="s">
        <v>57</v>
      </c>
      <c r="F446" s="2">
        <v>1</v>
      </c>
      <c r="G446" s="3">
        <v>3.4482758620689648E-2</v>
      </c>
      <c r="H446" s="3">
        <v>4.3478260869565223E-2</v>
      </c>
      <c r="I446" s="3">
        <v>1.2608695652173909</v>
      </c>
      <c r="J446" s="3">
        <v>0.4107142857142857</v>
      </c>
      <c r="K446" s="3">
        <v>-0.10660035817780519</v>
      </c>
      <c r="L446" s="3">
        <v>0</v>
      </c>
      <c r="M446" s="3">
        <v>0</v>
      </c>
      <c r="N446" s="3">
        <v>0</v>
      </c>
      <c r="O446" s="3">
        <v>8.591620591074374E-2</v>
      </c>
      <c r="P446" t="s">
        <v>205</v>
      </c>
    </row>
    <row r="447" spans="1:16">
      <c r="A447" t="s">
        <v>188</v>
      </c>
      <c r="B447" t="s">
        <v>75</v>
      </c>
      <c r="C447" t="s">
        <v>117</v>
      </c>
      <c r="D447" t="s">
        <v>51</v>
      </c>
      <c r="E447" t="s">
        <v>52</v>
      </c>
      <c r="F447" s="2">
        <v>1</v>
      </c>
      <c r="G447" s="3">
        <v>3.4482758620689648E-2</v>
      </c>
      <c r="H447" s="3">
        <v>0.2</v>
      </c>
      <c r="I447" s="3">
        <v>5.8000000000000007</v>
      </c>
      <c r="J447" s="3">
        <v>0.8571428571428571</v>
      </c>
      <c r="K447" s="3">
        <v>0</v>
      </c>
      <c r="L447" s="3">
        <v>0</v>
      </c>
      <c r="M447" s="3">
        <v>0</v>
      </c>
      <c r="N447" s="3">
        <v>0</v>
      </c>
      <c r="O447" s="3">
        <v>0.5</v>
      </c>
      <c r="P447" t="s">
        <v>206</v>
      </c>
    </row>
    <row r="448" spans="1:16">
      <c r="A448" t="s">
        <v>188</v>
      </c>
      <c r="B448" t="s">
        <v>75</v>
      </c>
      <c r="C448" t="s">
        <v>117</v>
      </c>
      <c r="D448" t="s">
        <v>51</v>
      </c>
      <c r="E448" t="s">
        <v>54</v>
      </c>
      <c r="F448" s="2">
        <v>5</v>
      </c>
      <c r="G448" s="3">
        <v>0.17241379310344829</v>
      </c>
      <c r="H448" s="3">
        <v>0.61523809523809514</v>
      </c>
      <c r="I448" s="3">
        <v>3.5683809523809522</v>
      </c>
      <c r="J448" s="3">
        <v>0.81666666666666676</v>
      </c>
      <c r="K448" s="3">
        <v>0.23602939762497779</v>
      </c>
      <c r="L448" s="3">
        <v>0.22727272727272729</v>
      </c>
      <c r="M448" s="3">
        <v>0.5</v>
      </c>
      <c r="N448" s="3">
        <v>0.2</v>
      </c>
      <c r="O448" s="3">
        <v>0.1953326836453016</v>
      </c>
      <c r="P448" t="s">
        <v>206</v>
      </c>
    </row>
    <row r="449" spans="1:16">
      <c r="A449" t="s">
        <v>188</v>
      </c>
      <c r="B449" t="s">
        <v>75</v>
      </c>
      <c r="C449" t="s">
        <v>117</v>
      </c>
      <c r="D449" t="s">
        <v>51</v>
      </c>
      <c r="E449" t="s">
        <v>55</v>
      </c>
      <c r="F449" s="2">
        <v>4</v>
      </c>
      <c r="G449" s="3">
        <v>0.13793103448275859</v>
      </c>
      <c r="H449" s="3">
        <v>0.66785714285714282</v>
      </c>
      <c r="I449" s="3">
        <v>4.8419642857142851</v>
      </c>
      <c r="J449" s="3">
        <v>0.93</v>
      </c>
      <c r="K449" s="3">
        <v>0.64807406984078608</v>
      </c>
      <c r="L449" s="3">
        <v>0.83333333333333337</v>
      </c>
      <c r="M449" s="3">
        <v>0.5</v>
      </c>
      <c r="N449" s="3">
        <v>1</v>
      </c>
      <c r="O449" s="3">
        <v>9.9644915308410281E-3</v>
      </c>
      <c r="P449" t="s">
        <v>206</v>
      </c>
    </row>
    <row r="450" spans="1:16">
      <c r="A450" t="s">
        <v>188</v>
      </c>
      <c r="B450" t="s">
        <v>75</v>
      </c>
      <c r="C450" t="s">
        <v>117</v>
      </c>
      <c r="D450" t="s">
        <v>51</v>
      </c>
      <c r="E450" t="s">
        <v>56</v>
      </c>
      <c r="F450" s="2">
        <v>2</v>
      </c>
      <c r="G450" s="3">
        <v>6.8965517241379309E-2</v>
      </c>
      <c r="H450" s="3">
        <v>0.375</v>
      </c>
      <c r="I450" s="3">
        <v>5.4375</v>
      </c>
      <c r="J450" s="3">
        <v>0.87037037037037035</v>
      </c>
      <c r="K450" s="3">
        <v>0</v>
      </c>
      <c r="L450" s="3">
        <v>0</v>
      </c>
      <c r="M450" s="3">
        <v>0</v>
      </c>
      <c r="N450" s="3">
        <v>0</v>
      </c>
      <c r="O450" s="3">
        <v>0.5</v>
      </c>
      <c r="P450" t="s">
        <v>206</v>
      </c>
    </row>
    <row r="451" spans="1:16">
      <c r="A451" t="s">
        <v>188</v>
      </c>
      <c r="B451" t="s">
        <v>75</v>
      </c>
      <c r="C451" t="s">
        <v>117</v>
      </c>
      <c r="D451" t="s">
        <v>51</v>
      </c>
      <c r="E451" t="s">
        <v>57</v>
      </c>
      <c r="F451" s="2">
        <v>1</v>
      </c>
      <c r="G451" s="3">
        <v>3.4482758620689648E-2</v>
      </c>
      <c r="H451" s="3">
        <v>3.5714285714285712E-2</v>
      </c>
      <c r="I451" s="3">
        <v>1.035714285714286</v>
      </c>
      <c r="J451" s="3">
        <v>3.5714285714285698E-2</v>
      </c>
      <c r="K451" s="3">
        <v>-3.5714285714285712E-2</v>
      </c>
      <c r="L451" s="3">
        <v>0</v>
      </c>
      <c r="M451" s="3">
        <v>0</v>
      </c>
      <c r="N451" s="3">
        <v>0</v>
      </c>
      <c r="O451" s="3">
        <v>0.27073255483828651</v>
      </c>
      <c r="P451" t="s">
        <v>206</v>
      </c>
    </row>
  </sheetData>
  <autoFilter ref="A1:P451" xr:uid="{00000000-0009-0000-0000-000005000000}"/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1"/>
  <sheetViews>
    <sheetView workbookViewId="0">
      <pane ySplit="1" topLeftCell="A2" activePane="bottomLeft" state="frozen"/>
      <selection pane="bottomLeft"/>
    </sheetView>
  </sheetViews>
  <sheetFormatPr defaultRowHeight="16.5"/>
  <cols>
    <col min="1" max="3" width="10" customWidth="1"/>
    <col min="4" max="7" width="20" customWidth="1"/>
    <col min="8" max="8" width="21" customWidth="1"/>
    <col min="9" max="11" width="20" customWidth="1"/>
    <col min="12" max="12" width="65" customWidth="1"/>
  </cols>
  <sheetData>
    <row r="1" spans="1:12">
      <c r="A1" s="1" t="s">
        <v>106</v>
      </c>
      <c r="B1" s="1" t="s">
        <v>36</v>
      </c>
      <c r="C1" s="1" t="s">
        <v>37</v>
      </c>
      <c r="D1" s="1" t="s">
        <v>38</v>
      </c>
      <c r="E1" s="1" t="s">
        <v>42</v>
      </c>
      <c r="F1" s="1" t="s">
        <v>32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107</v>
      </c>
      <c r="B2" t="s">
        <v>49</v>
      </c>
      <c r="C2" t="s">
        <v>108</v>
      </c>
      <c r="D2" t="s">
        <v>51</v>
      </c>
      <c r="E2" s="3">
        <v>0.39831150331150328</v>
      </c>
      <c r="F2" s="3">
        <v>7.4081547249047244</v>
      </c>
      <c r="G2" s="3">
        <v>0.59795238095238101</v>
      </c>
      <c r="H2" s="3">
        <v>0.25119936195801079</v>
      </c>
      <c r="I2" s="3">
        <v>0.41182266009852209</v>
      </c>
      <c r="J2" s="3">
        <v>0.36444444444444452</v>
      </c>
      <c r="K2" s="3">
        <v>0.43</v>
      </c>
      <c r="L2" t="s">
        <v>109</v>
      </c>
    </row>
    <row r="3" spans="1:12">
      <c r="A3" t="s">
        <v>107</v>
      </c>
      <c r="B3" t="s">
        <v>49</v>
      </c>
      <c r="C3" t="s">
        <v>110</v>
      </c>
      <c r="D3" t="s">
        <v>51</v>
      </c>
      <c r="E3" s="3">
        <v>0.2842126436781609</v>
      </c>
      <c r="F3" s="3">
        <v>2.2978083333333328</v>
      </c>
      <c r="G3" s="3">
        <v>0.56597089947089951</v>
      </c>
      <c r="H3" s="3">
        <v>0.1476793321513426</v>
      </c>
      <c r="I3" s="3">
        <v>0.24458874458874461</v>
      </c>
      <c r="J3" s="3">
        <v>0.1768965517241379</v>
      </c>
      <c r="K3" s="3">
        <v>0.43</v>
      </c>
      <c r="L3" t="s">
        <v>111</v>
      </c>
    </row>
    <row r="4" spans="1:12">
      <c r="A4" t="s">
        <v>107</v>
      </c>
      <c r="B4" t="s">
        <v>49</v>
      </c>
      <c r="C4" t="s">
        <v>112</v>
      </c>
      <c r="D4" t="s">
        <v>51</v>
      </c>
      <c r="E4" s="3">
        <v>0.19553332327474199</v>
      </c>
      <c r="F4" s="3">
        <v>1.899560211565704</v>
      </c>
      <c r="G4" s="3">
        <v>0.45992063492063501</v>
      </c>
      <c r="H4" s="3">
        <v>2.123386480507072E-2</v>
      </c>
      <c r="I4" s="3">
        <v>0.20940170940170941</v>
      </c>
      <c r="J4" s="3">
        <v>0.105</v>
      </c>
      <c r="K4" s="3">
        <v>0.28000000000000003</v>
      </c>
      <c r="L4" t="s">
        <v>113</v>
      </c>
    </row>
    <row r="5" spans="1:12">
      <c r="A5" t="s">
        <v>107</v>
      </c>
      <c r="B5" t="s">
        <v>49</v>
      </c>
      <c r="C5" t="s">
        <v>66</v>
      </c>
      <c r="D5" t="s">
        <v>51</v>
      </c>
      <c r="E5" s="3">
        <v>0.19558297258297261</v>
      </c>
      <c r="F5" s="3">
        <v>2.028914391164391</v>
      </c>
      <c r="G5" s="3">
        <v>0.5513756613756613</v>
      </c>
      <c r="H5" s="3">
        <v>-2.0117591042797259E-2</v>
      </c>
      <c r="I5" s="3">
        <v>0.13095238095238099</v>
      </c>
      <c r="J5" s="3">
        <v>0.105</v>
      </c>
      <c r="K5" s="3">
        <v>0.14000000000000001</v>
      </c>
      <c r="L5" t="s">
        <v>114</v>
      </c>
    </row>
    <row r="6" spans="1:12">
      <c r="A6" t="s">
        <v>107</v>
      </c>
      <c r="B6" t="s">
        <v>49</v>
      </c>
      <c r="C6" t="s">
        <v>115</v>
      </c>
      <c r="D6" t="s">
        <v>51</v>
      </c>
      <c r="E6" s="3">
        <v>0.31999723644246969</v>
      </c>
      <c r="F6" s="3">
        <v>4.0214619125427946</v>
      </c>
      <c r="G6" s="3">
        <v>0.63130687830687826</v>
      </c>
      <c r="H6" s="3">
        <v>0.25065399122614263</v>
      </c>
      <c r="I6" s="3">
        <v>0.34193121693121692</v>
      </c>
      <c r="J6" s="3">
        <v>0.22714285714285709</v>
      </c>
      <c r="K6" s="3">
        <v>0.43</v>
      </c>
      <c r="L6" t="s">
        <v>116</v>
      </c>
    </row>
    <row r="7" spans="1:12">
      <c r="A7" t="s">
        <v>107</v>
      </c>
      <c r="B7" t="s">
        <v>49</v>
      </c>
      <c r="C7" t="s">
        <v>117</v>
      </c>
      <c r="D7" t="s">
        <v>51</v>
      </c>
      <c r="E7" s="3">
        <v>0.26558275441034068</v>
      </c>
      <c r="F7" s="3">
        <v>3.1702710012210011</v>
      </c>
      <c r="G7" s="3">
        <v>0.59412698412698417</v>
      </c>
      <c r="H7" s="3">
        <v>4.3684827299284933E-2</v>
      </c>
      <c r="I7" s="3">
        <v>0.1333333333333333</v>
      </c>
      <c r="J7" s="3">
        <v>5.7142857142857141E-2</v>
      </c>
      <c r="K7" s="3">
        <v>0.2</v>
      </c>
      <c r="L7" t="s">
        <v>118</v>
      </c>
    </row>
    <row r="8" spans="1:12">
      <c r="A8" t="s">
        <v>107</v>
      </c>
      <c r="B8" t="s">
        <v>68</v>
      </c>
      <c r="C8" t="s">
        <v>108</v>
      </c>
      <c r="D8" t="s">
        <v>51</v>
      </c>
      <c r="E8" s="3">
        <v>0.49494417077175701</v>
      </c>
      <c r="F8" s="3">
        <v>9.0840988095238089</v>
      </c>
      <c r="G8" s="3">
        <v>0.83916402116402122</v>
      </c>
      <c r="H8" s="3">
        <v>0.28726299950974121</v>
      </c>
      <c r="I8" s="3">
        <v>0.38603425559947302</v>
      </c>
      <c r="J8" s="3">
        <v>0.31428571428571428</v>
      </c>
      <c r="K8" s="3">
        <v>0.44000000000000011</v>
      </c>
      <c r="L8" t="s">
        <v>119</v>
      </c>
    </row>
    <row r="9" spans="1:12">
      <c r="A9" t="s">
        <v>107</v>
      </c>
      <c r="B9" t="s">
        <v>68</v>
      </c>
      <c r="C9" t="s">
        <v>110</v>
      </c>
      <c r="D9" t="s">
        <v>51</v>
      </c>
      <c r="E9" s="3">
        <v>0.54686453201970442</v>
      </c>
      <c r="F9" s="3">
        <v>8.8924392857142855</v>
      </c>
      <c r="G9" s="3">
        <v>0.83380423280423288</v>
      </c>
      <c r="H9" s="3">
        <v>0.23071640145739961</v>
      </c>
      <c r="I9" s="3">
        <v>0.29117259552042157</v>
      </c>
      <c r="J9" s="3">
        <v>0.25451559934318557</v>
      </c>
      <c r="K9" s="3">
        <v>0.48</v>
      </c>
      <c r="L9" t="s">
        <v>120</v>
      </c>
    </row>
    <row r="10" spans="1:12">
      <c r="A10" t="s">
        <v>107</v>
      </c>
      <c r="B10" t="s">
        <v>68</v>
      </c>
      <c r="C10" t="s">
        <v>112</v>
      </c>
      <c r="D10" t="s">
        <v>51</v>
      </c>
      <c r="E10" s="3">
        <v>0.32282467532467529</v>
      </c>
      <c r="F10" s="3">
        <v>3.2596596320346309</v>
      </c>
      <c r="G10" s="3">
        <v>0.71564550264550264</v>
      </c>
      <c r="H10" s="3">
        <v>6.741181452560277E-2</v>
      </c>
      <c r="I10" s="3">
        <v>0.21921921921921919</v>
      </c>
      <c r="J10" s="3">
        <v>8.8095238095238088E-2</v>
      </c>
      <c r="K10" s="3">
        <v>0.36</v>
      </c>
      <c r="L10" t="s">
        <v>121</v>
      </c>
    </row>
    <row r="11" spans="1:12">
      <c r="A11" t="s">
        <v>107</v>
      </c>
      <c r="B11" t="s">
        <v>68</v>
      </c>
      <c r="C11" t="s">
        <v>66</v>
      </c>
      <c r="D11" t="s">
        <v>51</v>
      </c>
      <c r="E11" s="3">
        <v>0.4878095238095238</v>
      </c>
      <c r="F11" s="3">
        <v>7.9598785714285709</v>
      </c>
      <c r="G11" s="3">
        <v>0.67036507936507927</v>
      </c>
      <c r="H11" s="3">
        <v>0.2178775866820723</v>
      </c>
      <c r="I11" s="3">
        <v>0.2608695652173913</v>
      </c>
      <c r="J11" s="3">
        <v>0.2476190476190476</v>
      </c>
      <c r="K11" s="3">
        <v>0.28000000000000003</v>
      </c>
      <c r="L11" t="s">
        <v>122</v>
      </c>
    </row>
    <row r="12" spans="1:12">
      <c r="A12" t="s">
        <v>107</v>
      </c>
      <c r="B12" t="s">
        <v>68</v>
      </c>
      <c r="C12" t="s">
        <v>115</v>
      </c>
      <c r="D12" t="s">
        <v>51</v>
      </c>
      <c r="E12" s="3">
        <v>0.51007142857142851</v>
      </c>
      <c r="F12" s="3">
        <v>9.2244857142857146</v>
      </c>
      <c r="G12" s="3">
        <v>0.82683068783068769</v>
      </c>
      <c r="H12" s="3">
        <v>0.21582612865856241</v>
      </c>
      <c r="I12" s="3">
        <v>0.27391304347826079</v>
      </c>
      <c r="J12" s="3">
        <v>0.14761904761904759</v>
      </c>
      <c r="K12" s="3">
        <v>0.4</v>
      </c>
      <c r="L12" t="s">
        <v>123</v>
      </c>
    </row>
    <row r="13" spans="1:12">
      <c r="A13" t="s">
        <v>107</v>
      </c>
      <c r="B13" t="s">
        <v>68</v>
      </c>
      <c r="C13" t="s">
        <v>117</v>
      </c>
      <c r="D13" t="s">
        <v>51</v>
      </c>
      <c r="E13" s="3">
        <v>0.37622128851540609</v>
      </c>
      <c r="F13" s="3">
        <v>4.39146918767507</v>
      </c>
      <c r="G13" s="3">
        <v>0.67792592592592593</v>
      </c>
      <c r="H13" s="3">
        <v>0.21590158664258491</v>
      </c>
      <c r="I13" s="3">
        <v>0.2608695652173913</v>
      </c>
      <c r="J13" s="3">
        <v>0.2476190476190476</v>
      </c>
      <c r="K13" s="3">
        <v>0.28000000000000003</v>
      </c>
      <c r="L13" t="s">
        <v>124</v>
      </c>
    </row>
    <row r="14" spans="1:12">
      <c r="A14" t="s">
        <v>107</v>
      </c>
      <c r="B14" t="s">
        <v>75</v>
      </c>
      <c r="C14" t="s">
        <v>108</v>
      </c>
      <c r="D14" t="s">
        <v>51</v>
      </c>
      <c r="E14" s="3">
        <v>0.46456601951125281</v>
      </c>
      <c r="F14" s="3">
        <v>7.9440312324929963</v>
      </c>
      <c r="G14" s="3">
        <v>0.73019576719576718</v>
      </c>
      <c r="H14" s="3">
        <v>0.3875747385939759</v>
      </c>
      <c r="I14" s="3">
        <v>0.44695652173913042</v>
      </c>
      <c r="J14" s="3">
        <v>0.42222222222222222</v>
      </c>
      <c r="K14" s="3">
        <v>0.48</v>
      </c>
      <c r="L14" t="s">
        <v>125</v>
      </c>
    </row>
    <row r="15" spans="1:12">
      <c r="A15" t="s">
        <v>107</v>
      </c>
      <c r="B15" t="s">
        <v>75</v>
      </c>
      <c r="C15" t="s">
        <v>110</v>
      </c>
      <c r="D15" t="s">
        <v>51</v>
      </c>
      <c r="E15" s="3">
        <v>0.4145944170771757</v>
      </c>
      <c r="F15" s="3">
        <v>5.1689809523809522</v>
      </c>
      <c r="G15" s="3">
        <v>0.73861375661375672</v>
      </c>
      <c r="H15" s="3">
        <v>0.2897268362459573</v>
      </c>
      <c r="I15" s="3">
        <v>0.38278750235271969</v>
      </c>
      <c r="J15" s="3">
        <v>0.24618226600985221</v>
      </c>
      <c r="K15" s="3">
        <v>0.6</v>
      </c>
      <c r="L15" t="s">
        <v>126</v>
      </c>
    </row>
    <row r="16" spans="1:12">
      <c r="A16" t="s">
        <v>107</v>
      </c>
      <c r="B16" t="s">
        <v>75</v>
      </c>
      <c r="C16" t="s">
        <v>112</v>
      </c>
      <c r="D16" t="s">
        <v>51</v>
      </c>
      <c r="E16" s="3">
        <v>0.21185692360614961</v>
      </c>
      <c r="F16" s="3">
        <v>2.129519122088781</v>
      </c>
      <c r="G16" s="3">
        <v>0.59500000000000008</v>
      </c>
      <c r="H16" s="3">
        <v>0.23609851571510779</v>
      </c>
      <c r="I16" s="3">
        <v>0.36342123056119002</v>
      </c>
      <c r="J16" s="3">
        <v>0.2042735042735043</v>
      </c>
      <c r="K16" s="3">
        <v>0.55999999999999994</v>
      </c>
      <c r="L16" t="s">
        <v>127</v>
      </c>
    </row>
    <row r="17" spans="1:12">
      <c r="A17" t="s">
        <v>107</v>
      </c>
      <c r="B17" t="s">
        <v>75</v>
      </c>
      <c r="C17" t="s">
        <v>66</v>
      </c>
      <c r="D17" t="s">
        <v>51</v>
      </c>
      <c r="E17" s="3">
        <v>0.5059312169312169</v>
      </c>
      <c r="F17" s="3">
        <v>8.223026719576719</v>
      </c>
      <c r="G17" s="3">
        <v>0.70747089947089958</v>
      </c>
      <c r="H17" s="3">
        <v>0.19958386631391239</v>
      </c>
      <c r="I17" s="3">
        <v>0.2142857142857143</v>
      </c>
      <c r="J17" s="3">
        <v>0.3</v>
      </c>
      <c r="K17" s="3">
        <v>0.24</v>
      </c>
      <c r="L17" t="s">
        <v>128</v>
      </c>
    </row>
    <row r="18" spans="1:12">
      <c r="A18" t="s">
        <v>107</v>
      </c>
      <c r="B18" t="s">
        <v>75</v>
      </c>
      <c r="C18" t="s">
        <v>115</v>
      </c>
      <c r="D18" t="s">
        <v>51</v>
      </c>
      <c r="E18" s="3">
        <v>0.66033597883597883</v>
      </c>
      <c r="F18" s="3">
        <v>13.37870502645503</v>
      </c>
      <c r="G18" s="3">
        <v>0.7828518518518518</v>
      </c>
      <c r="H18" s="3">
        <v>0.20615652149823799</v>
      </c>
      <c r="I18" s="3">
        <v>0.32629399585921331</v>
      </c>
      <c r="J18" s="3">
        <v>0.1674325674325674</v>
      </c>
      <c r="K18" s="3">
        <v>0.6</v>
      </c>
      <c r="L18" t="s">
        <v>129</v>
      </c>
    </row>
    <row r="19" spans="1:12">
      <c r="A19" t="s">
        <v>107</v>
      </c>
      <c r="B19" t="s">
        <v>75</v>
      </c>
      <c r="C19" t="s">
        <v>117</v>
      </c>
      <c r="D19" t="s">
        <v>51</v>
      </c>
      <c r="E19" s="3">
        <v>0.35695488721804508</v>
      </c>
      <c r="F19" s="3">
        <v>3.4928919172932331</v>
      </c>
      <c r="G19" s="3">
        <v>0.64687301587301582</v>
      </c>
      <c r="H19" s="3">
        <v>0.24365205332812581</v>
      </c>
      <c r="I19" s="3">
        <v>0.26482213438735169</v>
      </c>
      <c r="J19" s="3">
        <v>0.31428571428571428</v>
      </c>
      <c r="K19" s="3">
        <v>0.28000000000000003</v>
      </c>
      <c r="L19" t="s">
        <v>130</v>
      </c>
    </row>
    <row r="20" spans="1:12">
      <c r="A20" t="s">
        <v>131</v>
      </c>
      <c r="B20" t="s">
        <v>49</v>
      </c>
      <c r="C20" t="s">
        <v>108</v>
      </c>
      <c r="D20" t="s">
        <v>51</v>
      </c>
      <c r="E20" s="3">
        <v>0.23204512154512161</v>
      </c>
      <c r="F20" s="3">
        <v>3.370656576756577</v>
      </c>
      <c r="G20" s="3">
        <v>0.57899470899470906</v>
      </c>
      <c r="H20" s="3">
        <v>1.8241520160368618E-2</v>
      </c>
      <c r="I20" s="3">
        <v>0.14285714285714279</v>
      </c>
      <c r="J20" s="3">
        <v>0.12</v>
      </c>
      <c r="K20" s="3">
        <v>0.15</v>
      </c>
      <c r="L20" t="s">
        <v>132</v>
      </c>
    </row>
    <row r="21" spans="1:12">
      <c r="A21" t="s">
        <v>131</v>
      </c>
      <c r="B21" t="s">
        <v>49</v>
      </c>
      <c r="C21" t="s">
        <v>110</v>
      </c>
      <c r="D21" t="s">
        <v>51</v>
      </c>
      <c r="E21" s="3">
        <v>0.23183908045977011</v>
      </c>
      <c r="F21" s="3">
        <v>3.3263333333333329</v>
      </c>
      <c r="G21" s="3">
        <v>0.55346560846560844</v>
      </c>
      <c r="H21" s="3">
        <v>4.7604948459248342E-2</v>
      </c>
      <c r="I21" s="3">
        <v>0.16002388416181521</v>
      </c>
      <c r="J21" s="3">
        <v>0.1091187739463601</v>
      </c>
      <c r="K21" s="3">
        <v>0.34</v>
      </c>
      <c r="L21" t="s">
        <v>133</v>
      </c>
    </row>
    <row r="22" spans="1:12">
      <c r="A22" t="s">
        <v>131</v>
      </c>
      <c r="B22" t="s">
        <v>49</v>
      </c>
      <c r="C22" t="s">
        <v>112</v>
      </c>
      <c r="D22" t="s">
        <v>51</v>
      </c>
      <c r="E22" s="3">
        <v>0.16673367056919691</v>
      </c>
      <c r="F22" s="3">
        <v>1.6733877061900091</v>
      </c>
      <c r="G22" s="3">
        <v>0.43725925925925929</v>
      </c>
      <c r="H22" s="3">
        <v>4.7312840932642536E-3</v>
      </c>
      <c r="I22" s="3">
        <v>0.12</v>
      </c>
      <c r="J22" s="3">
        <v>0.1022222222222222</v>
      </c>
      <c r="K22" s="3">
        <v>0.13</v>
      </c>
      <c r="L22" t="s">
        <v>134</v>
      </c>
    </row>
    <row r="23" spans="1:12">
      <c r="A23" t="s">
        <v>131</v>
      </c>
      <c r="B23" t="s">
        <v>49</v>
      </c>
      <c r="C23" t="s">
        <v>66</v>
      </c>
      <c r="D23" t="s">
        <v>51</v>
      </c>
      <c r="E23" s="3">
        <v>0.15042624042624039</v>
      </c>
      <c r="F23" s="3">
        <v>1.731550116550117</v>
      </c>
      <c r="G23" s="3">
        <v>0.48775661375661372</v>
      </c>
      <c r="H23" s="3">
        <v>-3.9866636644995609E-2</v>
      </c>
      <c r="I23" s="3">
        <v>9.0909090909090912E-2</v>
      </c>
      <c r="J23" s="3">
        <v>6.6666666666666666E-2</v>
      </c>
      <c r="K23" s="3">
        <v>0.1</v>
      </c>
      <c r="L23" t="s">
        <v>135</v>
      </c>
    </row>
    <row r="24" spans="1:12">
      <c r="A24" t="s">
        <v>131</v>
      </c>
      <c r="B24" t="s">
        <v>49</v>
      </c>
      <c r="C24" t="s">
        <v>115</v>
      </c>
      <c r="D24" t="s">
        <v>51</v>
      </c>
      <c r="E24" s="3">
        <v>0.38001420217209692</v>
      </c>
      <c r="F24" s="3">
        <v>7.4686564466722363</v>
      </c>
      <c r="G24" s="3">
        <v>0.59317460317460324</v>
      </c>
      <c r="H24" s="3">
        <v>0.1382686135886726</v>
      </c>
      <c r="I24" s="3">
        <v>0.22306636155606399</v>
      </c>
      <c r="J24" s="3">
        <v>0.139047619047619</v>
      </c>
      <c r="K24" s="3">
        <v>0.39</v>
      </c>
      <c r="L24" t="s">
        <v>136</v>
      </c>
    </row>
    <row r="25" spans="1:12">
      <c r="A25" t="s">
        <v>131</v>
      </c>
      <c r="B25" t="s">
        <v>49</v>
      </c>
      <c r="C25" t="s">
        <v>117</v>
      </c>
      <c r="D25" t="s">
        <v>51</v>
      </c>
      <c r="E25" s="3">
        <v>0.20650082276398071</v>
      </c>
      <c r="F25" s="3">
        <v>3.177703980911875</v>
      </c>
      <c r="G25" s="3">
        <v>0.49581481481481482</v>
      </c>
      <c r="H25" s="3">
        <v>-3.6662931064537288E-2</v>
      </c>
      <c r="I25" s="3">
        <v>7.2258064516129039E-2</v>
      </c>
      <c r="J25" s="3">
        <v>2.9629629629629631E-2</v>
      </c>
      <c r="K25" s="3">
        <v>0.25</v>
      </c>
      <c r="L25" t="s">
        <v>137</v>
      </c>
    </row>
    <row r="26" spans="1:12">
      <c r="A26" t="s">
        <v>131</v>
      </c>
      <c r="B26" t="s">
        <v>68</v>
      </c>
      <c r="C26" t="s">
        <v>108</v>
      </c>
      <c r="D26" t="s">
        <v>51</v>
      </c>
      <c r="E26" s="3">
        <v>0.60715800865800862</v>
      </c>
      <c r="F26" s="3">
        <v>11.090406601731599</v>
      </c>
      <c r="G26" s="3">
        <v>0.88741269841269843</v>
      </c>
      <c r="H26" s="3">
        <v>0.32281099501147031</v>
      </c>
      <c r="I26" s="3">
        <v>0.43362977602108038</v>
      </c>
      <c r="J26" s="3">
        <v>0.27500000000000002</v>
      </c>
      <c r="K26" s="3">
        <v>0.64</v>
      </c>
      <c r="L26" t="s">
        <v>138</v>
      </c>
    </row>
    <row r="27" spans="1:12">
      <c r="A27" t="s">
        <v>131</v>
      </c>
      <c r="B27" t="s">
        <v>68</v>
      </c>
      <c r="C27" t="s">
        <v>110</v>
      </c>
      <c r="D27" t="s">
        <v>51</v>
      </c>
      <c r="E27" s="3">
        <v>0.69129310344827588</v>
      </c>
      <c r="F27" s="3">
        <v>11.346875000000001</v>
      </c>
      <c r="G27" s="3">
        <v>0.87774603174603172</v>
      </c>
      <c r="H27" s="3">
        <v>0.37527121840165317</v>
      </c>
      <c r="I27" s="3">
        <v>0.39047619047619048</v>
      </c>
      <c r="J27" s="3">
        <v>0.36</v>
      </c>
      <c r="K27" s="3">
        <v>0.4</v>
      </c>
      <c r="L27" t="s">
        <v>139</v>
      </c>
    </row>
    <row r="28" spans="1:12">
      <c r="A28" t="s">
        <v>131</v>
      </c>
      <c r="B28" t="s">
        <v>68</v>
      </c>
      <c r="C28" t="s">
        <v>112</v>
      </c>
      <c r="D28" t="s">
        <v>51</v>
      </c>
      <c r="E28" s="3">
        <v>0.1189723440810397</v>
      </c>
      <c r="F28" s="3">
        <v>1.4229469721100161</v>
      </c>
      <c r="G28" s="3">
        <v>0.40770899470899469</v>
      </c>
      <c r="H28" s="3">
        <v>-4.3663063245329169E-2</v>
      </c>
      <c r="I28" s="3">
        <v>0.19696969696969699</v>
      </c>
      <c r="J28" s="3">
        <v>8.4666666666666654E-2</v>
      </c>
      <c r="K28" s="3">
        <v>0.46</v>
      </c>
      <c r="L28" t="s">
        <v>140</v>
      </c>
    </row>
    <row r="29" spans="1:12">
      <c r="A29" t="s">
        <v>131</v>
      </c>
      <c r="B29" t="s">
        <v>68</v>
      </c>
      <c r="C29" t="s">
        <v>66</v>
      </c>
      <c r="D29" t="s">
        <v>51</v>
      </c>
      <c r="E29" s="3">
        <v>0.70233613445378151</v>
      </c>
      <c r="F29" s="3">
        <v>11.83673585434174</v>
      </c>
      <c r="G29" s="3">
        <v>0.92126455026455023</v>
      </c>
      <c r="H29" s="3">
        <v>0.2615516983170722</v>
      </c>
      <c r="I29" s="3">
        <v>0.33047870004391738</v>
      </c>
      <c r="J29" s="3">
        <v>0.25428571428571428</v>
      </c>
      <c r="K29" s="3">
        <v>0.44000000000000011</v>
      </c>
      <c r="L29" t="s">
        <v>141</v>
      </c>
    </row>
    <row r="30" spans="1:12">
      <c r="A30" t="s">
        <v>131</v>
      </c>
      <c r="B30" t="s">
        <v>68</v>
      </c>
      <c r="C30" t="s">
        <v>115</v>
      </c>
      <c r="D30" t="s">
        <v>51</v>
      </c>
      <c r="E30" s="3">
        <v>0.63951559934318547</v>
      </c>
      <c r="F30" s="3">
        <v>9.306690476190477</v>
      </c>
      <c r="G30" s="3">
        <v>0.70564814814814814</v>
      </c>
      <c r="H30" s="3">
        <v>0.24227715782770209</v>
      </c>
      <c r="I30" s="3">
        <v>0.2813852813852814</v>
      </c>
      <c r="J30" s="3">
        <v>0.18857142857142861</v>
      </c>
      <c r="K30" s="3">
        <v>0.4</v>
      </c>
      <c r="L30" t="s">
        <v>142</v>
      </c>
    </row>
    <row r="31" spans="1:12">
      <c r="A31" t="s">
        <v>131</v>
      </c>
      <c r="B31" t="s">
        <v>68</v>
      </c>
      <c r="C31" t="s">
        <v>117</v>
      </c>
      <c r="D31" t="s">
        <v>51</v>
      </c>
      <c r="E31" s="3">
        <v>0.51364803312629392</v>
      </c>
      <c r="F31" s="3">
        <v>7.2598107660455486</v>
      </c>
      <c r="G31" s="3">
        <v>0.83994708994709</v>
      </c>
      <c r="H31" s="3">
        <v>0.29223281987703481</v>
      </c>
      <c r="I31" s="3">
        <v>0.40605590062111813</v>
      </c>
      <c r="J31" s="3">
        <v>0.2392857142857143</v>
      </c>
      <c r="K31" s="3">
        <v>0.52</v>
      </c>
      <c r="L31" t="s">
        <v>143</v>
      </c>
    </row>
    <row r="32" spans="1:12">
      <c r="A32" t="s">
        <v>131</v>
      </c>
      <c r="B32" t="s">
        <v>75</v>
      </c>
      <c r="C32" t="s">
        <v>108</v>
      </c>
      <c r="D32" t="s">
        <v>51</v>
      </c>
      <c r="E32" s="3">
        <v>0.58974121200436991</v>
      </c>
      <c r="F32" s="3">
        <v>11.06683236295868</v>
      </c>
      <c r="G32" s="3">
        <v>0.88048677248677243</v>
      </c>
      <c r="H32" s="3">
        <v>0.29464362043958242</v>
      </c>
      <c r="I32" s="3">
        <v>0.45006717420510522</v>
      </c>
      <c r="J32" s="3">
        <v>0.25079365079365079</v>
      </c>
      <c r="K32" s="3">
        <v>0.64</v>
      </c>
      <c r="L32" t="s">
        <v>144</v>
      </c>
    </row>
    <row r="33" spans="1:12">
      <c r="A33" t="s">
        <v>131</v>
      </c>
      <c r="B33" t="s">
        <v>75</v>
      </c>
      <c r="C33" t="s">
        <v>110</v>
      </c>
      <c r="D33" t="s">
        <v>51</v>
      </c>
      <c r="E33" s="3">
        <v>0.58518965517241384</v>
      </c>
      <c r="F33" s="3">
        <v>10.671058333333329</v>
      </c>
      <c r="G33" s="3">
        <v>0.85448677248677252</v>
      </c>
      <c r="H33" s="3">
        <v>0.32693788506831978</v>
      </c>
      <c r="I33" s="3">
        <v>0.3504761904761905</v>
      </c>
      <c r="J33" s="3">
        <v>0.32</v>
      </c>
      <c r="K33" s="3">
        <v>0.36</v>
      </c>
      <c r="L33" t="s">
        <v>145</v>
      </c>
    </row>
    <row r="34" spans="1:12">
      <c r="A34" t="s">
        <v>131</v>
      </c>
      <c r="B34" t="s">
        <v>75</v>
      </c>
      <c r="C34" t="s">
        <v>112</v>
      </c>
      <c r="D34" t="s">
        <v>51</v>
      </c>
      <c r="E34" s="3">
        <v>0.42973646723646719</v>
      </c>
      <c r="F34" s="3">
        <v>4.1323037749287748</v>
      </c>
      <c r="G34" s="3">
        <v>0.79319576719576723</v>
      </c>
      <c r="H34" s="3">
        <v>0.2416993354690706</v>
      </c>
      <c r="I34" s="3">
        <v>0.33333333333333331</v>
      </c>
      <c r="J34" s="3">
        <v>0.26</v>
      </c>
      <c r="K34" s="3">
        <v>0.36</v>
      </c>
      <c r="L34" t="s">
        <v>146</v>
      </c>
    </row>
    <row r="35" spans="1:12">
      <c r="A35" t="s">
        <v>131</v>
      </c>
      <c r="B35" t="s">
        <v>75</v>
      </c>
      <c r="C35" t="s">
        <v>66</v>
      </c>
      <c r="D35" t="s">
        <v>51</v>
      </c>
      <c r="E35" s="3">
        <v>0.52574603174603174</v>
      </c>
      <c r="F35" s="3">
        <v>7.5546841269841263</v>
      </c>
      <c r="G35" s="3">
        <v>0.88012698412698409</v>
      </c>
      <c r="H35" s="3">
        <v>0.29163864821559837</v>
      </c>
      <c r="I35" s="3">
        <v>0.31244118200639942</v>
      </c>
      <c r="J35" s="3">
        <v>0.34285714285714292</v>
      </c>
      <c r="K35" s="3">
        <v>0.44000000000000011</v>
      </c>
      <c r="L35" t="s">
        <v>147</v>
      </c>
    </row>
    <row r="36" spans="1:12">
      <c r="A36" t="s">
        <v>131</v>
      </c>
      <c r="B36" t="s">
        <v>75</v>
      </c>
      <c r="C36" t="s">
        <v>115</v>
      </c>
      <c r="D36" t="s">
        <v>51</v>
      </c>
      <c r="E36" s="3">
        <v>0.41087803320561939</v>
      </c>
      <c r="F36" s="3">
        <v>3.4898888888888879</v>
      </c>
      <c r="G36" s="3">
        <v>0.49932275132275128</v>
      </c>
      <c r="H36" s="3">
        <v>0.18130928539044419</v>
      </c>
      <c r="I36" s="3">
        <v>0.32996632996632991</v>
      </c>
      <c r="J36" s="3">
        <v>0.2476190476190476</v>
      </c>
      <c r="K36" s="3">
        <v>0.36</v>
      </c>
      <c r="L36" t="s">
        <v>148</v>
      </c>
    </row>
    <row r="37" spans="1:12">
      <c r="A37" t="s">
        <v>131</v>
      </c>
      <c r="B37" t="s">
        <v>75</v>
      </c>
      <c r="C37" t="s">
        <v>117</v>
      </c>
      <c r="D37" t="s">
        <v>51</v>
      </c>
      <c r="E37" s="3">
        <v>0.56141176470588239</v>
      </c>
      <c r="F37" s="3">
        <v>9.5897882352941188</v>
      </c>
      <c r="G37" s="3">
        <v>0.82357142857142862</v>
      </c>
      <c r="H37" s="3">
        <v>0.30546912442510032</v>
      </c>
      <c r="I37" s="3">
        <v>0.39777777777777779</v>
      </c>
      <c r="J37" s="3">
        <v>0.26</v>
      </c>
      <c r="K37" s="3">
        <v>0.52</v>
      </c>
      <c r="L37" t="s">
        <v>149</v>
      </c>
    </row>
    <row r="38" spans="1:12">
      <c r="A38" t="s">
        <v>150</v>
      </c>
      <c r="B38" t="s">
        <v>49</v>
      </c>
      <c r="C38" t="s">
        <v>108</v>
      </c>
      <c r="D38" t="s">
        <v>51</v>
      </c>
      <c r="E38" s="3">
        <v>0.24526280255692021</v>
      </c>
      <c r="F38" s="3">
        <v>3.5087715075773902</v>
      </c>
      <c r="G38" s="3">
        <v>0.6256613756613757</v>
      </c>
      <c r="H38" s="3">
        <v>7.686174349117475E-2</v>
      </c>
      <c r="I38" s="3">
        <v>0.18285714285714291</v>
      </c>
      <c r="J38" s="3">
        <v>0.16</v>
      </c>
      <c r="K38" s="3">
        <v>0.19</v>
      </c>
      <c r="L38" t="s">
        <v>151</v>
      </c>
    </row>
    <row r="39" spans="1:12">
      <c r="A39" t="s">
        <v>150</v>
      </c>
      <c r="B39" t="s">
        <v>49</v>
      </c>
      <c r="C39" t="s">
        <v>110</v>
      </c>
      <c r="D39" t="s">
        <v>51</v>
      </c>
      <c r="E39" s="3">
        <v>0.23183908045977011</v>
      </c>
      <c r="F39" s="3">
        <v>3.3263333333333329</v>
      </c>
      <c r="G39" s="3">
        <v>0.56753968253968257</v>
      </c>
      <c r="H39" s="3">
        <v>5.3883695947298228E-2</v>
      </c>
      <c r="I39" s="3">
        <v>0.16125541125541129</v>
      </c>
      <c r="J39" s="3">
        <v>0.1118965517241379</v>
      </c>
      <c r="K39" s="3">
        <v>0.34</v>
      </c>
      <c r="L39" t="s">
        <v>152</v>
      </c>
    </row>
    <row r="40" spans="1:12">
      <c r="A40" t="s">
        <v>150</v>
      </c>
      <c r="B40" t="s">
        <v>49</v>
      </c>
      <c r="C40" t="s">
        <v>112</v>
      </c>
      <c r="D40" t="s">
        <v>51</v>
      </c>
      <c r="E40" s="3">
        <v>0.1538422082322338</v>
      </c>
      <c r="F40" s="3">
        <v>1.700730838634227</v>
      </c>
      <c r="G40" s="3">
        <v>0.5009894179894181</v>
      </c>
      <c r="H40" s="3">
        <v>-4.0103553824346883E-2</v>
      </c>
      <c r="I40" s="3">
        <v>8.7619047619047624E-2</v>
      </c>
      <c r="J40" s="3">
        <v>0.08</v>
      </c>
      <c r="K40" s="3">
        <v>0.09</v>
      </c>
      <c r="L40" t="s">
        <v>153</v>
      </c>
    </row>
    <row r="41" spans="1:12">
      <c r="A41" t="s">
        <v>150</v>
      </c>
      <c r="B41" t="s">
        <v>49</v>
      </c>
      <c r="C41" t="s">
        <v>66</v>
      </c>
      <c r="D41" t="s">
        <v>51</v>
      </c>
      <c r="E41" s="3">
        <v>0.15320445950263389</v>
      </c>
      <c r="F41" s="3">
        <v>1.8758914206708319</v>
      </c>
      <c r="G41" s="3">
        <v>0.49841269841269842</v>
      </c>
      <c r="H41" s="3">
        <v>-1.548602439121285E-2</v>
      </c>
      <c r="I41" s="3">
        <v>9.5238095238095233E-2</v>
      </c>
      <c r="J41" s="3">
        <v>0.08</v>
      </c>
      <c r="K41" s="3">
        <v>0.1</v>
      </c>
      <c r="L41" t="s">
        <v>154</v>
      </c>
    </row>
    <row r="42" spans="1:12">
      <c r="A42" t="s">
        <v>150</v>
      </c>
      <c r="B42" t="s">
        <v>49</v>
      </c>
      <c r="C42" t="s">
        <v>115</v>
      </c>
      <c r="D42" t="s">
        <v>51</v>
      </c>
      <c r="E42" s="3">
        <v>0.38283915343915342</v>
      </c>
      <c r="F42" s="3">
        <v>7.5223268783068793</v>
      </c>
      <c r="G42" s="3">
        <v>0.61373015873015879</v>
      </c>
      <c r="H42" s="3">
        <v>0.14368516989053831</v>
      </c>
      <c r="I42" s="3">
        <v>0.2292583120204604</v>
      </c>
      <c r="J42" s="3">
        <v>0.14109890109890111</v>
      </c>
      <c r="K42" s="3">
        <v>0.39</v>
      </c>
      <c r="L42" t="s">
        <v>155</v>
      </c>
    </row>
    <row r="43" spans="1:12">
      <c r="A43" t="s">
        <v>150</v>
      </c>
      <c r="B43" t="s">
        <v>49</v>
      </c>
      <c r="C43" t="s">
        <v>117</v>
      </c>
      <c r="D43" t="s">
        <v>51</v>
      </c>
      <c r="E43" s="3">
        <v>0.1936454509730372</v>
      </c>
      <c r="F43" s="3">
        <v>2.7461395363895358</v>
      </c>
      <c r="G43" s="3">
        <v>0.50201587301587303</v>
      </c>
      <c r="H43" s="3">
        <v>1.3404177422237091E-2</v>
      </c>
      <c r="I43" s="3">
        <v>0.13375130616509931</v>
      </c>
      <c r="J43" s="3">
        <v>5.3050397877984087E-2</v>
      </c>
      <c r="K43" s="3">
        <v>0.35</v>
      </c>
      <c r="L43" t="s">
        <v>156</v>
      </c>
    </row>
    <row r="44" spans="1:12">
      <c r="A44" t="s">
        <v>150</v>
      </c>
      <c r="B44" t="s">
        <v>68</v>
      </c>
      <c r="C44" t="s">
        <v>108</v>
      </c>
      <c r="D44" t="s">
        <v>51</v>
      </c>
      <c r="E44" s="3">
        <v>0.51779653679653681</v>
      </c>
      <c r="F44" s="3">
        <v>9.1615770562770571</v>
      </c>
      <c r="G44" s="3">
        <v>0.79661375661375655</v>
      </c>
      <c r="H44" s="3">
        <v>0.33261411050025241</v>
      </c>
      <c r="I44" s="3">
        <v>0.39047619047619048</v>
      </c>
      <c r="J44" s="3">
        <v>0.36</v>
      </c>
      <c r="K44" s="3">
        <v>0.4</v>
      </c>
      <c r="L44" t="s">
        <v>157</v>
      </c>
    </row>
    <row r="45" spans="1:12">
      <c r="A45" t="s">
        <v>150</v>
      </c>
      <c r="B45" t="s">
        <v>68</v>
      </c>
      <c r="C45" t="s">
        <v>110</v>
      </c>
      <c r="D45" t="s">
        <v>51</v>
      </c>
      <c r="E45" s="3">
        <v>0.47637931034482761</v>
      </c>
      <c r="F45" s="3">
        <v>8.3784999999999989</v>
      </c>
      <c r="G45" s="3">
        <v>0.7596666666666666</v>
      </c>
      <c r="H45" s="3">
        <v>0.18557263973042509</v>
      </c>
      <c r="I45" s="3">
        <v>0.22529644268774701</v>
      </c>
      <c r="J45" s="3">
        <v>0.2</v>
      </c>
      <c r="K45" s="3">
        <v>0.24</v>
      </c>
      <c r="L45" t="s">
        <v>158</v>
      </c>
    </row>
    <row r="46" spans="1:12">
      <c r="A46" t="s">
        <v>150</v>
      </c>
      <c r="B46" t="s">
        <v>68</v>
      </c>
      <c r="C46" t="s">
        <v>112</v>
      </c>
      <c r="D46" t="s">
        <v>51</v>
      </c>
      <c r="E46" s="3">
        <v>0.30008379534695317</v>
      </c>
      <c r="F46" s="3">
        <v>2.9648902622718412</v>
      </c>
      <c r="G46" s="3">
        <v>0.67546560846560844</v>
      </c>
      <c r="H46" s="3">
        <v>0.23353535830882771</v>
      </c>
      <c r="I46" s="3">
        <v>0.29043478260869571</v>
      </c>
      <c r="J46" s="3">
        <v>0.28888888888888892</v>
      </c>
      <c r="K46" s="3">
        <v>0.32</v>
      </c>
      <c r="L46" t="s">
        <v>159</v>
      </c>
    </row>
    <row r="47" spans="1:12">
      <c r="A47" t="s">
        <v>150</v>
      </c>
      <c r="B47" t="s">
        <v>68</v>
      </c>
      <c r="C47" t="s">
        <v>66</v>
      </c>
      <c r="D47" t="s">
        <v>51</v>
      </c>
      <c r="E47" s="3">
        <v>0.57323809523809521</v>
      </c>
      <c r="F47" s="3">
        <v>8.7062142857142852</v>
      </c>
      <c r="G47" s="3">
        <v>0.87882539682539684</v>
      </c>
      <c r="H47" s="3">
        <v>0.28352183944576931</v>
      </c>
      <c r="I47" s="3">
        <v>0.34436758893280628</v>
      </c>
      <c r="J47" s="3">
        <v>0.26428571428571429</v>
      </c>
      <c r="K47" s="3">
        <v>0.44000000000000011</v>
      </c>
      <c r="L47" t="s">
        <v>160</v>
      </c>
    </row>
    <row r="48" spans="1:12">
      <c r="A48" t="s">
        <v>150</v>
      </c>
      <c r="B48" t="s">
        <v>68</v>
      </c>
      <c r="C48" t="s">
        <v>115</v>
      </c>
      <c r="D48" t="s">
        <v>51</v>
      </c>
      <c r="E48" s="3">
        <v>0.57826821326821332</v>
      </c>
      <c r="F48" s="3">
        <v>8.5904503459503463</v>
      </c>
      <c r="G48" s="3">
        <v>0.65974867724867736</v>
      </c>
      <c r="H48" s="3">
        <v>0.16015263948128411</v>
      </c>
      <c r="I48" s="3">
        <v>0.19047619047619049</v>
      </c>
      <c r="J48" s="3">
        <v>0.16</v>
      </c>
      <c r="K48" s="3">
        <v>0.2</v>
      </c>
      <c r="L48" t="s">
        <v>161</v>
      </c>
    </row>
    <row r="49" spans="1:12">
      <c r="A49" t="s">
        <v>150</v>
      </c>
      <c r="B49" t="s">
        <v>68</v>
      </c>
      <c r="C49" t="s">
        <v>117</v>
      </c>
      <c r="D49" t="s">
        <v>51</v>
      </c>
      <c r="E49" s="3">
        <v>0.60711050443809067</v>
      </c>
      <c r="F49" s="3">
        <v>10.467205669330671</v>
      </c>
      <c r="G49" s="3">
        <v>0.82912169312169315</v>
      </c>
      <c r="H49" s="3">
        <v>0.31320093893656709</v>
      </c>
      <c r="I49" s="3">
        <v>0.41333333333333339</v>
      </c>
      <c r="J49" s="3">
        <v>0.28000000000000003</v>
      </c>
      <c r="K49" s="3">
        <v>0.48</v>
      </c>
      <c r="L49" t="s">
        <v>162</v>
      </c>
    </row>
    <row r="50" spans="1:12">
      <c r="A50" t="s">
        <v>150</v>
      </c>
      <c r="B50" t="s">
        <v>75</v>
      </c>
      <c r="C50" t="s">
        <v>108</v>
      </c>
      <c r="D50" t="s">
        <v>51</v>
      </c>
      <c r="E50" s="3">
        <v>0.51161904761904764</v>
      </c>
      <c r="F50" s="3">
        <v>9.0532476190476192</v>
      </c>
      <c r="G50" s="3">
        <v>0.79420634920634925</v>
      </c>
      <c r="H50" s="3">
        <v>0.4432642707079209</v>
      </c>
      <c r="I50" s="3">
        <v>0.50158730158730158</v>
      </c>
      <c r="J50" s="3">
        <v>0.4</v>
      </c>
      <c r="K50" s="3">
        <v>0.6</v>
      </c>
      <c r="L50" t="s">
        <v>163</v>
      </c>
    </row>
    <row r="51" spans="1:12">
      <c r="A51" t="s">
        <v>150</v>
      </c>
      <c r="B51" t="s">
        <v>75</v>
      </c>
      <c r="C51" t="s">
        <v>110</v>
      </c>
      <c r="D51" t="s">
        <v>51</v>
      </c>
      <c r="E51" s="3">
        <v>0.457212643678161</v>
      </c>
      <c r="F51" s="3">
        <v>8.2492083333333337</v>
      </c>
      <c r="G51" s="3">
        <v>0.75600000000000001</v>
      </c>
      <c r="H51" s="3">
        <v>0.13178600190961209</v>
      </c>
      <c r="I51" s="3">
        <v>0.1818181818181818</v>
      </c>
      <c r="J51" s="3">
        <v>0.1333333333333333</v>
      </c>
      <c r="K51" s="3">
        <v>0.2</v>
      </c>
      <c r="L51" t="s">
        <v>164</v>
      </c>
    </row>
    <row r="52" spans="1:12">
      <c r="A52" t="s">
        <v>150</v>
      </c>
      <c r="B52" t="s">
        <v>75</v>
      </c>
      <c r="C52" t="s">
        <v>112</v>
      </c>
      <c r="D52" t="s">
        <v>51</v>
      </c>
      <c r="E52" s="3">
        <v>0.2476824564324564</v>
      </c>
      <c r="F52" s="3">
        <v>3.2879629190254192</v>
      </c>
      <c r="G52" s="3">
        <v>0.68562433862433869</v>
      </c>
      <c r="H52" s="3">
        <v>2.254614376837866E-2</v>
      </c>
      <c r="I52" s="3">
        <v>0.21903967371153141</v>
      </c>
      <c r="J52" s="3">
        <v>0.11433566433566431</v>
      </c>
      <c r="K52" s="3">
        <v>0.28999999999999998</v>
      </c>
      <c r="L52" t="s">
        <v>165</v>
      </c>
    </row>
    <row r="53" spans="1:12">
      <c r="A53" t="s">
        <v>150</v>
      </c>
      <c r="B53" t="s">
        <v>75</v>
      </c>
      <c r="C53" t="s">
        <v>66</v>
      </c>
      <c r="D53" t="s">
        <v>51</v>
      </c>
      <c r="E53" s="3">
        <v>0.57606321839080454</v>
      </c>
      <c r="F53" s="3">
        <v>8.7238749999999996</v>
      </c>
      <c r="G53" s="3">
        <v>0.86434391534391541</v>
      </c>
      <c r="H53" s="3">
        <v>0.26303200818355799</v>
      </c>
      <c r="I53" s="3">
        <v>0.31936758893280631</v>
      </c>
      <c r="J53" s="3">
        <v>0.2476190476190476</v>
      </c>
      <c r="K53" s="3">
        <v>0.44000000000000011</v>
      </c>
      <c r="L53" t="s">
        <v>166</v>
      </c>
    </row>
    <row r="54" spans="1:12">
      <c r="A54" t="s">
        <v>150</v>
      </c>
      <c r="B54" t="s">
        <v>75</v>
      </c>
      <c r="C54" t="s">
        <v>115</v>
      </c>
      <c r="D54" t="s">
        <v>51</v>
      </c>
      <c r="E54" s="3">
        <v>0.56852693602693605</v>
      </c>
      <c r="F54" s="3">
        <v>8.521752525252527</v>
      </c>
      <c r="G54" s="3">
        <v>0.64400793650793653</v>
      </c>
      <c r="H54" s="3">
        <v>0.1624324036263258</v>
      </c>
      <c r="I54" s="3">
        <v>0.19047619047619049</v>
      </c>
      <c r="J54" s="3">
        <v>0.16</v>
      </c>
      <c r="K54" s="3">
        <v>0.2</v>
      </c>
      <c r="L54" t="s">
        <v>167</v>
      </c>
    </row>
    <row r="55" spans="1:12">
      <c r="A55" t="s">
        <v>150</v>
      </c>
      <c r="B55" t="s">
        <v>75</v>
      </c>
      <c r="C55" t="s">
        <v>117</v>
      </c>
      <c r="D55" t="s">
        <v>51</v>
      </c>
      <c r="E55" s="3">
        <v>0.48695238095238091</v>
      </c>
      <c r="F55" s="3">
        <v>7.0769666666666664</v>
      </c>
      <c r="G55" s="3">
        <v>0.79776190476190478</v>
      </c>
      <c r="H55" s="3">
        <v>0.42407733424176619</v>
      </c>
      <c r="I55" s="3">
        <v>0.52391304347826084</v>
      </c>
      <c r="J55" s="3">
        <v>0.34761904761904761</v>
      </c>
      <c r="K55" s="3">
        <v>0.67999999999999994</v>
      </c>
      <c r="L55" t="s">
        <v>168</v>
      </c>
    </row>
    <row r="56" spans="1:12">
      <c r="A56" t="s">
        <v>169</v>
      </c>
      <c r="B56" t="s">
        <v>49</v>
      </c>
      <c r="C56" t="s">
        <v>108</v>
      </c>
      <c r="D56" t="s">
        <v>51</v>
      </c>
      <c r="E56" s="3">
        <v>0.46055096352922442</v>
      </c>
      <c r="F56" s="3">
        <v>8.1138741598980726</v>
      </c>
      <c r="G56" s="3">
        <v>0.7460687830687831</v>
      </c>
      <c r="H56" s="3">
        <v>0.35386534781990298</v>
      </c>
      <c r="I56" s="3">
        <v>0.49505299195701669</v>
      </c>
      <c r="J56" s="3">
        <v>0.3126984126984127</v>
      </c>
      <c r="K56" s="3">
        <v>0.73</v>
      </c>
      <c r="L56" t="s">
        <v>170</v>
      </c>
    </row>
    <row r="57" spans="1:12">
      <c r="A57" t="s">
        <v>169</v>
      </c>
      <c r="B57" t="s">
        <v>49</v>
      </c>
      <c r="C57" t="s">
        <v>110</v>
      </c>
      <c r="D57" t="s">
        <v>51</v>
      </c>
      <c r="E57" s="3">
        <v>0.29956896551724138</v>
      </c>
      <c r="F57" s="3">
        <v>4.546875</v>
      </c>
      <c r="G57" s="3">
        <v>0.59347883597883599</v>
      </c>
      <c r="H57" s="3">
        <v>0</v>
      </c>
      <c r="I57" s="3">
        <v>3.03030303030303E-2</v>
      </c>
      <c r="J57" s="3">
        <v>6.8965517241379309E-3</v>
      </c>
      <c r="K57" s="3">
        <v>0.2</v>
      </c>
      <c r="L57" t="s">
        <v>171</v>
      </c>
    </row>
    <row r="58" spans="1:12">
      <c r="A58" t="s">
        <v>169</v>
      </c>
      <c r="B58" t="s">
        <v>49</v>
      </c>
      <c r="C58" t="s">
        <v>112</v>
      </c>
      <c r="D58" t="s">
        <v>51</v>
      </c>
      <c r="E58" s="3">
        <v>0.1279178969178969</v>
      </c>
      <c r="F58" s="3">
        <v>1.459923006623006</v>
      </c>
      <c r="G58" s="3">
        <v>0.38897354497354503</v>
      </c>
      <c r="H58" s="3">
        <v>5.3169093222665789E-2</v>
      </c>
      <c r="I58" s="3">
        <v>0.24652543009540981</v>
      </c>
      <c r="J58" s="3">
        <v>0.1245686680469289</v>
      </c>
      <c r="K58" s="3">
        <v>0.57000000000000006</v>
      </c>
      <c r="L58" t="s">
        <v>172</v>
      </c>
    </row>
    <row r="59" spans="1:12">
      <c r="A59" t="s">
        <v>169</v>
      </c>
      <c r="B59" t="s">
        <v>49</v>
      </c>
      <c r="C59" t="s">
        <v>66</v>
      </c>
      <c r="D59" t="s">
        <v>51</v>
      </c>
      <c r="E59" s="3">
        <v>0.30312535612535613</v>
      </c>
      <c r="F59" s="3">
        <v>4.7221584045584049</v>
      </c>
      <c r="G59" s="3">
        <v>0.65425396825396831</v>
      </c>
      <c r="H59" s="3">
        <v>4.6806946847074697E-2</v>
      </c>
      <c r="I59" s="3">
        <v>0.16666666666666671</v>
      </c>
      <c r="J59" s="3">
        <v>0.1</v>
      </c>
      <c r="K59" s="3">
        <v>0.2</v>
      </c>
      <c r="L59" t="s">
        <v>173</v>
      </c>
    </row>
    <row r="60" spans="1:12">
      <c r="A60" t="s">
        <v>169</v>
      </c>
      <c r="B60" t="s">
        <v>49</v>
      </c>
      <c r="C60" t="s">
        <v>115</v>
      </c>
      <c r="D60" t="s">
        <v>51</v>
      </c>
      <c r="E60" s="3">
        <v>0.21414970597729219</v>
      </c>
      <c r="F60" s="3">
        <v>2.0510806573056568</v>
      </c>
      <c r="G60" s="3">
        <v>0.39470370370370372</v>
      </c>
      <c r="H60" s="3">
        <v>-4.1368254647121593E-2</v>
      </c>
      <c r="I60" s="3">
        <v>6.1669829222011377E-2</v>
      </c>
      <c r="J60" s="3">
        <v>2.1693121693121691E-2</v>
      </c>
      <c r="K60" s="3">
        <v>0.24</v>
      </c>
      <c r="L60" t="s">
        <v>174</v>
      </c>
    </row>
    <row r="61" spans="1:12">
      <c r="A61" t="s">
        <v>169</v>
      </c>
      <c r="B61" t="s">
        <v>49</v>
      </c>
      <c r="C61" t="s">
        <v>117</v>
      </c>
      <c r="D61" t="s">
        <v>51</v>
      </c>
      <c r="E61" s="3">
        <v>0.43976470588235289</v>
      </c>
      <c r="F61" s="3">
        <v>8.0078138655462201</v>
      </c>
      <c r="G61" s="3">
        <v>0.74324867724867727</v>
      </c>
      <c r="H61" s="3">
        <v>0.17619190641813509</v>
      </c>
      <c r="I61" s="3">
        <v>0.25083612040133779</v>
      </c>
      <c r="J61" s="3">
        <v>0.1542857142857143</v>
      </c>
      <c r="K61" s="3">
        <v>0.3</v>
      </c>
      <c r="L61" t="s">
        <v>175</v>
      </c>
    </row>
    <row r="62" spans="1:12">
      <c r="A62" t="s">
        <v>169</v>
      </c>
      <c r="B62" t="s">
        <v>68</v>
      </c>
      <c r="C62" t="s">
        <v>108</v>
      </c>
      <c r="D62" t="s">
        <v>51</v>
      </c>
      <c r="E62" s="3">
        <v>0.5388351648351648</v>
      </c>
      <c r="F62" s="3">
        <v>10.5748978021978</v>
      </c>
      <c r="G62" s="3">
        <v>0.77559788359788373</v>
      </c>
      <c r="H62" s="3">
        <v>0.29938304151798362</v>
      </c>
      <c r="I62" s="3">
        <v>0.37089133089133092</v>
      </c>
      <c r="J62" s="3">
        <v>0.34285714285714292</v>
      </c>
      <c r="K62" s="3">
        <v>0.57999999999999996</v>
      </c>
      <c r="L62" t="s">
        <v>176</v>
      </c>
    </row>
    <row r="63" spans="1:12">
      <c r="A63" t="s">
        <v>169</v>
      </c>
      <c r="B63" t="s">
        <v>68</v>
      </c>
      <c r="C63" t="s">
        <v>110</v>
      </c>
      <c r="D63" t="s">
        <v>51</v>
      </c>
      <c r="E63" s="3">
        <v>0.56449917898193758</v>
      </c>
      <c r="F63" s="3">
        <v>10.22159523809524</v>
      </c>
      <c r="G63" s="3">
        <v>0.86282539682539683</v>
      </c>
      <c r="H63" s="3">
        <v>9.7479504759489438E-2</v>
      </c>
      <c r="I63" s="3">
        <v>0.17316017316017321</v>
      </c>
      <c r="J63" s="3">
        <v>0.12689655172413791</v>
      </c>
      <c r="K63" s="3">
        <v>0.35</v>
      </c>
      <c r="L63" t="s">
        <v>177</v>
      </c>
    </row>
    <row r="64" spans="1:12">
      <c r="A64" t="s">
        <v>169</v>
      </c>
      <c r="B64" t="s">
        <v>68</v>
      </c>
      <c r="C64" t="s">
        <v>112</v>
      </c>
      <c r="D64" t="s">
        <v>51</v>
      </c>
      <c r="E64" s="3">
        <v>0.25361789321789319</v>
      </c>
      <c r="F64" s="3">
        <v>2.5188211544011541</v>
      </c>
      <c r="G64" s="3">
        <v>0.47191005291005289</v>
      </c>
      <c r="H64" s="3">
        <v>0.17446699538351551</v>
      </c>
      <c r="I64" s="3">
        <v>0.28942307692307689</v>
      </c>
      <c r="J64" s="3">
        <v>0.20555555555555549</v>
      </c>
      <c r="K64" s="3">
        <v>0.43</v>
      </c>
      <c r="L64" t="s">
        <v>178</v>
      </c>
    </row>
    <row r="65" spans="1:12">
      <c r="A65" t="s">
        <v>169</v>
      </c>
      <c r="B65" t="s">
        <v>68</v>
      </c>
      <c r="C65" t="s">
        <v>66</v>
      </c>
      <c r="D65" t="s">
        <v>51</v>
      </c>
      <c r="E65" s="3">
        <v>0.6533121693121694</v>
      </c>
      <c r="F65" s="3">
        <v>10.75082169312169</v>
      </c>
      <c r="G65" s="3">
        <v>0.87408465608465613</v>
      </c>
      <c r="H65" s="3">
        <v>0.29163864821559837</v>
      </c>
      <c r="I65" s="3">
        <v>0.31244118200639942</v>
      </c>
      <c r="J65" s="3">
        <v>0.34285714285714292</v>
      </c>
      <c r="K65" s="3">
        <v>0.44000000000000011</v>
      </c>
      <c r="L65" t="s">
        <v>179</v>
      </c>
    </row>
    <row r="66" spans="1:12">
      <c r="A66" t="s">
        <v>169</v>
      </c>
      <c r="B66" t="s">
        <v>68</v>
      </c>
      <c r="C66" t="s">
        <v>115</v>
      </c>
      <c r="D66" t="s">
        <v>51</v>
      </c>
      <c r="E66" s="3">
        <v>0.41586509574590069</v>
      </c>
      <c r="F66" s="3">
        <v>4.6661075650728128</v>
      </c>
      <c r="G66" s="3">
        <v>0.62019576719576719</v>
      </c>
      <c r="H66" s="3">
        <v>0.1489215782632817</v>
      </c>
      <c r="I66" s="3">
        <v>0.1444444444444444</v>
      </c>
      <c r="J66" s="3">
        <v>0.2076923076923077</v>
      </c>
      <c r="K66" s="3">
        <v>0.3</v>
      </c>
      <c r="L66" t="s">
        <v>180</v>
      </c>
    </row>
    <row r="67" spans="1:12">
      <c r="A67" t="s">
        <v>169</v>
      </c>
      <c r="B67" t="s">
        <v>68</v>
      </c>
      <c r="C67" t="s">
        <v>117</v>
      </c>
      <c r="D67" t="s">
        <v>51</v>
      </c>
      <c r="E67" s="3">
        <v>0.5072910216718266</v>
      </c>
      <c r="F67" s="3">
        <v>6.7532291021671824</v>
      </c>
      <c r="G67" s="3">
        <v>0.74508994708994725</v>
      </c>
      <c r="H67" s="3">
        <v>0.37248003212307751</v>
      </c>
      <c r="I67" s="3">
        <v>0.4138120333772507</v>
      </c>
      <c r="J67" s="3">
        <v>0.42539682539682527</v>
      </c>
      <c r="K67" s="3">
        <v>0.57999999999999996</v>
      </c>
      <c r="L67" t="s">
        <v>181</v>
      </c>
    </row>
    <row r="68" spans="1:12">
      <c r="A68" t="s">
        <v>169</v>
      </c>
      <c r="B68" t="s">
        <v>75</v>
      </c>
      <c r="C68" t="s">
        <v>108</v>
      </c>
      <c r="D68" t="s">
        <v>51</v>
      </c>
      <c r="E68" s="3">
        <v>0.5381684981684981</v>
      </c>
      <c r="F68" s="3">
        <v>10.571031135531131</v>
      </c>
      <c r="G68" s="3">
        <v>0.78393121693121703</v>
      </c>
      <c r="H68" s="3">
        <v>0.31049188518462278</v>
      </c>
      <c r="I68" s="3">
        <v>0.3611111111111111</v>
      </c>
      <c r="J68" s="3">
        <v>0.36</v>
      </c>
      <c r="K68" s="3">
        <v>0.57999999999999996</v>
      </c>
      <c r="L68" t="s">
        <v>182</v>
      </c>
    </row>
    <row r="69" spans="1:12">
      <c r="A69" t="s">
        <v>169</v>
      </c>
      <c r="B69" t="s">
        <v>75</v>
      </c>
      <c r="C69" t="s">
        <v>110</v>
      </c>
      <c r="D69" t="s">
        <v>51</v>
      </c>
      <c r="E69" s="3">
        <v>0.49222906403940891</v>
      </c>
      <c r="F69" s="3">
        <v>9.0226369047619048</v>
      </c>
      <c r="G69" s="3">
        <v>0.80553439153439155</v>
      </c>
      <c r="H69" s="3">
        <v>0.1709414380708153</v>
      </c>
      <c r="I69" s="3">
        <v>0.22378129117259549</v>
      </c>
      <c r="J69" s="3">
        <v>0.22356321839080459</v>
      </c>
      <c r="K69" s="3">
        <v>0.39</v>
      </c>
      <c r="L69" t="s">
        <v>183</v>
      </c>
    </row>
    <row r="70" spans="1:12">
      <c r="A70" t="s">
        <v>169</v>
      </c>
      <c r="B70" t="s">
        <v>75</v>
      </c>
      <c r="C70" t="s">
        <v>112</v>
      </c>
      <c r="D70" t="s">
        <v>51</v>
      </c>
      <c r="E70" s="3">
        <v>0.19173960636886331</v>
      </c>
      <c r="F70" s="3">
        <v>2.2167647777532058</v>
      </c>
      <c r="G70" s="3">
        <v>0.57306349206349205</v>
      </c>
      <c r="H70" s="3">
        <v>9.8776054239916811E-2</v>
      </c>
      <c r="I70" s="3">
        <v>0.28749999999999998</v>
      </c>
      <c r="J70" s="3">
        <v>0.1095238095238095</v>
      </c>
      <c r="K70" s="3">
        <v>0.55000000000000004</v>
      </c>
      <c r="L70" t="s">
        <v>184</v>
      </c>
    </row>
    <row r="71" spans="1:12">
      <c r="A71" t="s">
        <v>169</v>
      </c>
      <c r="B71" t="s">
        <v>75</v>
      </c>
      <c r="C71" t="s">
        <v>66</v>
      </c>
      <c r="D71" t="s">
        <v>51</v>
      </c>
      <c r="E71" s="3">
        <v>0.56304761904761902</v>
      </c>
      <c r="F71" s="3">
        <v>7.9194857142857149</v>
      </c>
      <c r="G71" s="3">
        <v>0.86523809523809514</v>
      </c>
      <c r="H71" s="3">
        <v>0.23401749173558431</v>
      </c>
      <c r="I71" s="3">
        <v>0.28186758893280628</v>
      </c>
      <c r="J71" s="3">
        <v>0.23095238095238091</v>
      </c>
      <c r="K71" s="3">
        <v>0.44000000000000011</v>
      </c>
      <c r="L71" t="s">
        <v>185</v>
      </c>
    </row>
    <row r="72" spans="1:12">
      <c r="A72" t="s">
        <v>169</v>
      </c>
      <c r="B72" t="s">
        <v>75</v>
      </c>
      <c r="C72" t="s">
        <v>115</v>
      </c>
      <c r="D72" t="s">
        <v>51</v>
      </c>
      <c r="E72" s="3">
        <v>0.40385670462908319</v>
      </c>
      <c r="F72" s="3">
        <v>4.5829294343527076</v>
      </c>
      <c r="G72" s="3">
        <v>0.60519576719576729</v>
      </c>
      <c r="H72" s="3">
        <v>0.1533344024715132</v>
      </c>
      <c r="I72" s="3">
        <v>0.1468253968253968</v>
      </c>
      <c r="J72" s="3">
        <v>0.20833333333333329</v>
      </c>
      <c r="K72" s="3">
        <v>0.3</v>
      </c>
      <c r="L72" t="s">
        <v>186</v>
      </c>
    </row>
    <row r="73" spans="1:12">
      <c r="A73" t="s">
        <v>169</v>
      </c>
      <c r="B73" t="s">
        <v>75</v>
      </c>
      <c r="C73" t="s">
        <v>117</v>
      </c>
      <c r="D73" t="s">
        <v>51</v>
      </c>
      <c r="E73" s="3">
        <v>0.47695055821371612</v>
      </c>
      <c r="F73" s="3">
        <v>5.7867904306220099</v>
      </c>
      <c r="G73" s="3">
        <v>0.71029100529100531</v>
      </c>
      <c r="H73" s="3">
        <v>0.29794641956669171</v>
      </c>
      <c r="I73" s="3">
        <v>0.36835748792270528</v>
      </c>
      <c r="J73" s="3">
        <v>0.41428571428571431</v>
      </c>
      <c r="K73" s="3">
        <v>0.38</v>
      </c>
      <c r="L73" t="s">
        <v>187</v>
      </c>
    </row>
    <row r="74" spans="1:12">
      <c r="A74" t="s">
        <v>188</v>
      </c>
      <c r="B74" t="s">
        <v>49</v>
      </c>
      <c r="C74" t="s">
        <v>108</v>
      </c>
      <c r="D74" t="s">
        <v>51</v>
      </c>
      <c r="E74" s="3">
        <v>0.38731116709377578</v>
      </c>
      <c r="F74" s="3">
        <v>7.9028171068062374</v>
      </c>
      <c r="G74" s="3">
        <v>0.73099470899470897</v>
      </c>
      <c r="H74" s="3">
        <v>0.31733977819644138</v>
      </c>
      <c r="I74" s="3">
        <v>0.44465608465608458</v>
      </c>
      <c r="J74" s="3">
        <v>0.3292250233426704</v>
      </c>
      <c r="K74" s="3">
        <v>0.64</v>
      </c>
      <c r="L74" t="s">
        <v>189</v>
      </c>
    </row>
    <row r="75" spans="1:12">
      <c r="A75" t="s">
        <v>188</v>
      </c>
      <c r="B75" t="s">
        <v>49</v>
      </c>
      <c r="C75" t="s">
        <v>110</v>
      </c>
      <c r="D75" t="s">
        <v>51</v>
      </c>
      <c r="E75" s="3">
        <v>0.1623070607553366</v>
      </c>
      <c r="F75" s="3">
        <v>1.5267261904761911</v>
      </c>
      <c r="G75" s="3">
        <v>0.52789947089947087</v>
      </c>
      <c r="H75" s="3">
        <v>0.12961481396815719</v>
      </c>
      <c r="I75" s="3">
        <v>0.19696969696969699</v>
      </c>
      <c r="J75" s="3">
        <v>0.10689655172413789</v>
      </c>
      <c r="K75" s="3">
        <v>0.4</v>
      </c>
      <c r="L75" t="s">
        <v>190</v>
      </c>
    </row>
    <row r="76" spans="1:12">
      <c r="A76" t="s">
        <v>188</v>
      </c>
      <c r="B76" t="s">
        <v>49</v>
      </c>
      <c r="C76" t="s">
        <v>112</v>
      </c>
      <c r="D76" t="s">
        <v>51</v>
      </c>
      <c r="E76" s="3">
        <v>0.1377432328593319</v>
      </c>
      <c r="F76" s="3">
        <v>1.6665852275519459</v>
      </c>
      <c r="G76" s="3">
        <v>0.50800529100529102</v>
      </c>
      <c r="H76" s="3">
        <v>-1.4830279270452249E-2</v>
      </c>
      <c r="I76" s="3">
        <v>0.15257352941176469</v>
      </c>
      <c r="J76" s="3">
        <v>6.6071428571428573E-2</v>
      </c>
      <c r="K76" s="3">
        <v>0.23</v>
      </c>
      <c r="L76" t="s">
        <v>191</v>
      </c>
    </row>
    <row r="77" spans="1:12">
      <c r="A77" t="s">
        <v>188</v>
      </c>
      <c r="B77" t="s">
        <v>49</v>
      </c>
      <c r="C77" t="s">
        <v>66</v>
      </c>
      <c r="D77" t="s">
        <v>51</v>
      </c>
      <c r="E77" s="3">
        <v>0.30530680388097259</v>
      </c>
      <c r="F77" s="3">
        <v>4.7885811462266066</v>
      </c>
      <c r="G77" s="3">
        <v>0.68697883597883602</v>
      </c>
      <c r="H77" s="3">
        <v>8.5187701606526445E-2</v>
      </c>
      <c r="I77" s="3">
        <v>0.16</v>
      </c>
      <c r="J77" s="3">
        <v>8.8888888888888878E-2</v>
      </c>
      <c r="K77" s="3">
        <v>0.2</v>
      </c>
      <c r="L77" t="s">
        <v>192</v>
      </c>
    </row>
    <row r="78" spans="1:12">
      <c r="A78" t="s">
        <v>188</v>
      </c>
      <c r="B78" t="s">
        <v>49</v>
      </c>
      <c r="C78" t="s">
        <v>115</v>
      </c>
      <c r="D78" t="s">
        <v>51</v>
      </c>
      <c r="E78" s="3">
        <v>0.2440490356325597</v>
      </c>
      <c r="F78" s="3">
        <v>2.9719378228179152</v>
      </c>
      <c r="G78" s="3">
        <v>0.58154497354497359</v>
      </c>
      <c r="H78" s="3">
        <v>5.3437677703301011E-2</v>
      </c>
      <c r="I78" s="3">
        <v>0.17989417989417991</v>
      </c>
      <c r="J78" s="3">
        <v>0.12869565217391299</v>
      </c>
      <c r="K78" s="3">
        <v>0.35</v>
      </c>
      <c r="L78" t="s">
        <v>193</v>
      </c>
    </row>
    <row r="79" spans="1:12">
      <c r="A79" t="s">
        <v>188</v>
      </c>
      <c r="B79" t="s">
        <v>49</v>
      </c>
      <c r="C79" t="s">
        <v>117</v>
      </c>
      <c r="D79" t="s">
        <v>51</v>
      </c>
      <c r="E79" s="3">
        <v>0.35083551639279198</v>
      </c>
      <c r="F79" s="3">
        <v>5.64776266174486</v>
      </c>
      <c r="G79" s="3">
        <v>0.80662433862433858</v>
      </c>
      <c r="H79" s="3">
        <v>0.12263947056925879</v>
      </c>
      <c r="I79" s="3">
        <v>0.18633540372670809</v>
      </c>
      <c r="J79" s="3">
        <v>7.7192982456140341E-2</v>
      </c>
      <c r="K79" s="3">
        <v>0.4</v>
      </c>
      <c r="L79" t="s">
        <v>194</v>
      </c>
    </row>
    <row r="80" spans="1:12">
      <c r="A80" t="s">
        <v>188</v>
      </c>
      <c r="B80" t="s">
        <v>68</v>
      </c>
      <c r="C80" t="s">
        <v>108</v>
      </c>
      <c r="D80" t="s">
        <v>51</v>
      </c>
      <c r="E80" s="3">
        <v>0.4508041147493479</v>
      </c>
      <c r="F80" s="3">
        <v>6.5060455182072818</v>
      </c>
      <c r="G80" s="3">
        <v>0.75942328042328044</v>
      </c>
      <c r="H80" s="3">
        <v>0.35428251028584318</v>
      </c>
      <c r="I80" s="3">
        <v>0.43109064848195289</v>
      </c>
      <c r="J80" s="3">
        <v>0.33052631578947372</v>
      </c>
      <c r="K80" s="3">
        <v>0.61</v>
      </c>
      <c r="L80" t="s">
        <v>195</v>
      </c>
    </row>
    <row r="81" spans="1:12">
      <c r="A81" t="s">
        <v>188</v>
      </c>
      <c r="B81" t="s">
        <v>68</v>
      </c>
      <c r="C81" t="s">
        <v>110</v>
      </c>
      <c r="D81" t="s">
        <v>51</v>
      </c>
      <c r="E81" s="3">
        <v>0.59412643678160915</v>
      </c>
      <c r="F81" s="3">
        <v>9.4509333333333334</v>
      </c>
      <c r="G81" s="3">
        <v>0.83555555555555561</v>
      </c>
      <c r="H81" s="3">
        <v>0.28280786712108252</v>
      </c>
      <c r="I81" s="3">
        <v>0.27792207792207801</v>
      </c>
      <c r="J81" s="3">
        <v>0.40689655172413791</v>
      </c>
      <c r="K81" s="3">
        <v>0.44000000000000011</v>
      </c>
      <c r="L81" t="s">
        <v>196</v>
      </c>
    </row>
    <row r="82" spans="1:12">
      <c r="A82" t="s">
        <v>188</v>
      </c>
      <c r="B82" t="s">
        <v>68</v>
      </c>
      <c r="C82" t="s">
        <v>112</v>
      </c>
      <c r="D82" t="s">
        <v>51</v>
      </c>
      <c r="E82" s="3">
        <v>0.17531199192963901</v>
      </c>
      <c r="F82" s="3">
        <v>1.656568052045994</v>
      </c>
      <c r="G82" s="3">
        <v>0.41095238095238101</v>
      </c>
      <c r="H82" s="3">
        <v>2.6463303783284681E-2</v>
      </c>
      <c r="I82" s="3">
        <v>0.18714285714285711</v>
      </c>
      <c r="J82" s="3">
        <v>0.13</v>
      </c>
      <c r="K82" s="3">
        <v>0.23</v>
      </c>
      <c r="L82" t="s">
        <v>197</v>
      </c>
    </row>
    <row r="83" spans="1:12">
      <c r="A83" t="s">
        <v>188</v>
      </c>
      <c r="B83" t="s">
        <v>68</v>
      </c>
      <c r="C83" t="s">
        <v>66</v>
      </c>
      <c r="D83" t="s">
        <v>51</v>
      </c>
      <c r="E83" s="3">
        <v>0.66912962962962974</v>
      </c>
      <c r="F83" s="3">
        <v>11.57360462962963</v>
      </c>
      <c r="G83" s="3">
        <v>0.87889417989417995</v>
      </c>
      <c r="H83" s="3">
        <v>0.28642396807933518</v>
      </c>
      <c r="I83" s="3">
        <v>0.31428571428571428</v>
      </c>
      <c r="J83" s="3">
        <v>0.33333333333333343</v>
      </c>
      <c r="K83" s="3">
        <v>0.44000000000000011</v>
      </c>
      <c r="L83" t="s">
        <v>198</v>
      </c>
    </row>
    <row r="84" spans="1:12">
      <c r="A84" t="s">
        <v>188</v>
      </c>
      <c r="B84" t="s">
        <v>68</v>
      </c>
      <c r="C84" t="s">
        <v>115</v>
      </c>
      <c r="D84" t="s">
        <v>51</v>
      </c>
      <c r="E84" s="3">
        <v>0.32167572079336793</v>
      </c>
      <c r="F84" s="3">
        <v>2.6577023455846991</v>
      </c>
      <c r="G84" s="3">
        <v>0.58566137566137555</v>
      </c>
      <c r="H84" s="3">
        <v>0.1525899161381305</v>
      </c>
      <c r="I84" s="3">
        <v>0.15789473684210531</v>
      </c>
      <c r="J84" s="3">
        <v>0.2</v>
      </c>
      <c r="K84" s="3">
        <v>0.15</v>
      </c>
      <c r="L84" t="s">
        <v>199</v>
      </c>
    </row>
    <row r="85" spans="1:12">
      <c r="A85" t="s">
        <v>188</v>
      </c>
      <c r="B85" t="s">
        <v>68</v>
      </c>
      <c r="C85" t="s">
        <v>117</v>
      </c>
      <c r="D85" t="s">
        <v>51</v>
      </c>
      <c r="E85" s="3">
        <v>0.44710140736456527</v>
      </c>
      <c r="F85" s="3">
        <v>5.903570030846347</v>
      </c>
      <c r="G85" s="3">
        <v>0.76355555555555554</v>
      </c>
      <c r="H85" s="3">
        <v>0.22967432007279859</v>
      </c>
      <c r="I85" s="3">
        <v>0.25</v>
      </c>
      <c r="J85" s="3">
        <v>0.30833333333333329</v>
      </c>
      <c r="K85" s="3">
        <v>0.44000000000000011</v>
      </c>
      <c r="L85" t="s">
        <v>200</v>
      </c>
    </row>
    <row r="86" spans="1:12">
      <c r="A86" t="s">
        <v>188</v>
      </c>
      <c r="B86" t="s">
        <v>75</v>
      </c>
      <c r="C86" t="s">
        <v>108</v>
      </c>
      <c r="D86" t="s">
        <v>51</v>
      </c>
      <c r="E86" s="3">
        <v>0.56717640912164236</v>
      </c>
      <c r="F86" s="3">
        <v>9.517011319073081</v>
      </c>
      <c r="G86" s="3">
        <v>0.8022328042328043</v>
      </c>
      <c r="H86" s="3">
        <v>0.33074034129316637</v>
      </c>
      <c r="I86" s="3">
        <v>0.41590909090909089</v>
      </c>
      <c r="J86" s="3">
        <v>0.31119047619047618</v>
      </c>
      <c r="K86" s="3">
        <v>0.61</v>
      </c>
      <c r="L86" t="s">
        <v>201</v>
      </c>
    </row>
    <row r="87" spans="1:12">
      <c r="A87" t="s">
        <v>188</v>
      </c>
      <c r="B87" t="s">
        <v>75</v>
      </c>
      <c r="C87" t="s">
        <v>110</v>
      </c>
      <c r="D87" t="s">
        <v>51</v>
      </c>
      <c r="E87" s="3">
        <v>0.50251532567049817</v>
      </c>
      <c r="F87" s="3">
        <v>8.717797222222222</v>
      </c>
      <c r="G87" s="3">
        <v>0.80501851851851858</v>
      </c>
      <c r="H87" s="3">
        <v>0.17527121840165311</v>
      </c>
      <c r="I87" s="3">
        <v>0.2207792207792208</v>
      </c>
      <c r="J87" s="3">
        <v>0.16689655172413789</v>
      </c>
      <c r="K87" s="3">
        <v>0.4</v>
      </c>
      <c r="L87" t="s">
        <v>202</v>
      </c>
    </row>
    <row r="88" spans="1:12">
      <c r="A88" t="s">
        <v>188</v>
      </c>
      <c r="B88" t="s">
        <v>75</v>
      </c>
      <c r="C88" t="s">
        <v>112</v>
      </c>
      <c r="D88" t="s">
        <v>51</v>
      </c>
      <c r="E88" s="3">
        <v>0.17431077027705619</v>
      </c>
      <c r="F88" s="3">
        <v>2.403390238504759</v>
      </c>
      <c r="G88" s="3">
        <v>0.51928042328042334</v>
      </c>
      <c r="H88" s="3">
        <v>9.6465437146400993E-3</v>
      </c>
      <c r="I88" s="3">
        <v>0.174025974025974</v>
      </c>
      <c r="J88" s="3">
        <v>0.08</v>
      </c>
      <c r="K88" s="3">
        <v>0.33</v>
      </c>
      <c r="L88" t="s">
        <v>203</v>
      </c>
    </row>
    <row r="89" spans="1:12">
      <c r="A89" t="s">
        <v>188</v>
      </c>
      <c r="B89" t="s">
        <v>75</v>
      </c>
      <c r="C89" t="s">
        <v>66</v>
      </c>
      <c r="D89" t="s">
        <v>51</v>
      </c>
      <c r="E89" s="3">
        <v>0.55008187134502928</v>
      </c>
      <c r="F89" s="3">
        <v>7.8592204678362574</v>
      </c>
      <c r="G89" s="3">
        <v>0.89157142857142857</v>
      </c>
      <c r="H89" s="3">
        <v>0.27365992465881922</v>
      </c>
      <c r="I89" s="3">
        <v>0.29761904761904762</v>
      </c>
      <c r="J89" s="3">
        <v>0.32500000000000001</v>
      </c>
      <c r="K89" s="3">
        <v>0.44000000000000011</v>
      </c>
      <c r="L89" t="s">
        <v>204</v>
      </c>
    </row>
    <row r="90" spans="1:12">
      <c r="A90" t="s">
        <v>188</v>
      </c>
      <c r="B90" t="s">
        <v>75</v>
      </c>
      <c r="C90" t="s">
        <v>115</v>
      </c>
      <c r="D90" t="s">
        <v>51</v>
      </c>
      <c r="E90" s="3">
        <v>0.32255977830119698</v>
      </c>
      <c r="F90" s="3">
        <v>2.6427893447852262</v>
      </c>
      <c r="G90" s="3">
        <v>0.54153968253968254</v>
      </c>
      <c r="H90" s="3">
        <v>0.14852148348612829</v>
      </c>
      <c r="I90" s="3">
        <v>0.15789473684210531</v>
      </c>
      <c r="J90" s="3">
        <v>0.2</v>
      </c>
      <c r="K90" s="3">
        <v>0.15</v>
      </c>
      <c r="L90" t="s">
        <v>205</v>
      </c>
    </row>
    <row r="91" spans="1:12">
      <c r="A91" t="s">
        <v>188</v>
      </c>
      <c r="B91" t="s">
        <v>75</v>
      </c>
      <c r="C91" t="s">
        <v>117</v>
      </c>
      <c r="D91" t="s">
        <v>51</v>
      </c>
      <c r="E91" s="3">
        <v>0.37876190476190469</v>
      </c>
      <c r="F91" s="3">
        <v>4.1367119047619054</v>
      </c>
      <c r="G91" s="3">
        <v>0.70197883597883592</v>
      </c>
      <c r="H91" s="3">
        <v>0.1696778363502956</v>
      </c>
      <c r="I91" s="3">
        <v>0.2121212121212121</v>
      </c>
      <c r="J91" s="3">
        <v>0.2</v>
      </c>
      <c r="K91" s="3">
        <v>0.24</v>
      </c>
      <c r="L91" t="s">
        <v>206</v>
      </c>
    </row>
  </sheetData>
  <autoFilter ref="A1:L91" xr:uid="{00000000-0009-0000-0000-000006000000}"/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31"/>
  <sheetViews>
    <sheetView workbookViewId="0">
      <pane ySplit="1" topLeftCell="A2" activePane="bottomLeft" state="frozen"/>
      <selection pane="bottomLeft" activeCell="F17" sqref="F17"/>
    </sheetView>
  </sheetViews>
  <sheetFormatPr defaultRowHeight="16.5"/>
  <cols>
    <col min="1" max="1" width="34" customWidth="1"/>
    <col min="2" max="3" width="10" customWidth="1"/>
    <col min="4" max="4" width="11" customWidth="1"/>
    <col min="5" max="8" width="20" customWidth="1"/>
    <col min="9" max="9" width="21" customWidth="1"/>
    <col min="10" max="12" width="20" customWidth="1"/>
    <col min="13" max="13" width="65" customWidth="1"/>
  </cols>
  <sheetData>
    <row r="1" spans="1:13">
      <c r="A1" s="1" t="s">
        <v>207</v>
      </c>
      <c r="B1" s="1" t="s">
        <v>106</v>
      </c>
      <c r="C1" s="1" t="s">
        <v>36</v>
      </c>
      <c r="D1" s="1" t="s">
        <v>37</v>
      </c>
      <c r="E1" s="1" t="s">
        <v>38</v>
      </c>
      <c r="F1" s="1" t="s">
        <v>42</v>
      </c>
      <c r="G1" s="1" t="s">
        <v>32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</row>
    <row r="2" spans="1:13">
      <c r="A2" t="s">
        <v>208</v>
      </c>
      <c r="B2" t="s">
        <v>209</v>
      </c>
      <c r="C2" t="s">
        <v>49</v>
      </c>
      <c r="D2" t="s">
        <v>50</v>
      </c>
      <c r="E2" t="s">
        <v>51</v>
      </c>
      <c r="F2" s="3">
        <v>0.22688455988455991</v>
      </c>
      <c r="G2" s="3">
        <v>2.612613347763348</v>
      </c>
      <c r="H2" s="3">
        <v>0.64206878306878301</v>
      </c>
      <c r="I2" s="3">
        <v>8.1741988772941809E-2</v>
      </c>
      <c r="J2" s="3">
        <v>0.17989417989417991</v>
      </c>
      <c r="K2" s="3">
        <v>0.1485714285714286</v>
      </c>
      <c r="L2" s="3">
        <v>0.19</v>
      </c>
      <c r="M2" t="s">
        <v>86</v>
      </c>
    </row>
    <row r="3" spans="1:13">
      <c r="A3" t="s">
        <v>208</v>
      </c>
      <c r="B3" t="s">
        <v>209</v>
      </c>
      <c r="C3" t="s">
        <v>49</v>
      </c>
      <c r="D3" t="s">
        <v>58</v>
      </c>
      <c r="E3" t="s">
        <v>51</v>
      </c>
      <c r="F3" s="3">
        <v>0.36607142857142849</v>
      </c>
      <c r="G3" s="3">
        <v>7.418303571428571</v>
      </c>
      <c r="H3" s="3">
        <v>0.80174338624338615</v>
      </c>
      <c r="I3" s="3">
        <v>0.2591863385322104</v>
      </c>
      <c r="J3" s="3">
        <v>0.43678160919540232</v>
      </c>
      <c r="K3" s="3">
        <v>0.20615384615384619</v>
      </c>
      <c r="L3" s="3">
        <v>0.75</v>
      </c>
      <c r="M3" t="s">
        <v>87</v>
      </c>
    </row>
    <row r="4" spans="1:13">
      <c r="A4" t="s">
        <v>208</v>
      </c>
      <c r="B4" t="s">
        <v>209</v>
      </c>
      <c r="C4" t="s">
        <v>49</v>
      </c>
      <c r="D4" t="s">
        <v>60</v>
      </c>
      <c r="E4" t="s">
        <v>51</v>
      </c>
      <c r="F4" s="3">
        <v>0.50004598541065604</v>
      </c>
      <c r="G4" s="3">
        <v>8.2197050907319458</v>
      </c>
      <c r="H4" s="3">
        <v>0.68974074074074077</v>
      </c>
      <c r="I4" s="3">
        <v>0.4329162866506161</v>
      </c>
      <c r="J4" s="3">
        <v>0.48244524354364171</v>
      </c>
      <c r="K4" s="3">
        <v>0.46666666666666667</v>
      </c>
      <c r="L4" s="3">
        <v>0.63</v>
      </c>
      <c r="M4" t="s">
        <v>88</v>
      </c>
    </row>
    <row r="5" spans="1:13">
      <c r="A5" t="s">
        <v>208</v>
      </c>
      <c r="B5" t="s">
        <v>209</v>
      </c>
      <c r="C5" t="s">
        <v>49</v>
      </c>
      <c r="D5" t="s">
        <v>62</v>
      </c>
      <c r="E5" t="s">
        <v>51</v>
      </c>
      <c r="F5" s="3">
        <v>0.45141273900864692</v>
      </c>
      <c r="G5" s="3">
        <v>8.0569326817683589</v>
      </c>
      <c r="H5" s="3">
        <v>0.72197354497354504</v>
      </c>
      <c r="I5" s="3">
        <v>5.0512114591910781E-2</v>
      </c>
      <c r="J5" s="3">
        <v>0.13636363636363641</v>
      </c>
      <c r="K5" s="3">
        <v>0.1</v>
      </c>
      <c r="L5" s="3">
        <v>0.15</v>
      </c>
      <c r="M5" t="s">
        <v>89</v>
      </c>
    </row>
    <row r="6" spans="1:13">
      <c r="A6" t="s">
        <v>208</v>
      </c>
      <c r="B6" t="s">
        <v>209</v>
      </c>
      <c r="C6" t="s">
        <v>49</v>
      </c>
      <c r="D6" t="s">
        <v>64</v>
      </c>
      <c r="E6" t="s">
        <v>51</v>
      </c>
      <c r="F6" s="3">
        <v>0.48091151044704689</v>
      </c>
      <c r="G6" s="3">
        <v>8.2535184857390718</v>
      </c>
      <c r="H6" s="3">
        <v>0.72716402116402112</v>
      </c>
      <c r="I6" s="3">
        <v>0.28251925728074301</v>
      </c>
      <c r="J6" s="3">
        <v>0.40476190476190482</v>
      </c>
      <c r="K6" s="3">
        <v>0.23333333333333331</v>
      </c>
      <c r="L6" s="3">
        <v>0.5</v>
      </c>
      <c r="M6" t="s">
        <v>90</v>
      </c>
    </row>
    <row r="7" spans="1:13">
      <c r="A7" t="s">
        <v>208</v>
      </c>
      <c r="B7" t="s">
        <v>209</v>
      </c>
      <c r="C7" t="s">
        <v>49</v>
      </c>
      <c r="D7" t="s">
        <v>66</v>
      </c>
      <c r="E7" t="s">
        <v>51</v>
      </c>
      <c r="F7" s="3">
        <v>0.31781216931216932</v>
      </c>
      <c r="G7" s="3">
        <v>4.7632576719576711</v>
      </c>
      <c r="H7" s="3">
        <v>0.69192063492063505</v>
      </c>
      <c r="I7" s="3">
        <v>7.3975326667964275E-2</v>
      </c>
      <c r="J7" s="3">
        <v>0.14285714285714279</v>
      </c>
      <c r="K7" s="3">
        <v>0.12</v>
      </c>
      <c r="L7" s="3">
        <v>0.15</v>
      </c>
      <c r="M7" t="s">
        <v>91</v>
      </c>
    </row>
    <row r="8" spans="1:13">
      <c r="A8" t="s">
        <v>208</v>
      </c>
      <c r="B8" t="s">
        <v>209</v>
      </c>
      <c r="C8" t="s">
        <v>68</v>
      </c>
      <c r="D8" t="s">
        <v>50</v>
      </c>
      <c r="E8" t="s">
        <v>51</v>
      </c>
      <c r="F8" s="3">
        <v>0.4523005921281783</v>
      </c>
      <c r="G8" s="3">
        <v>5.3367474747474741</v>
      </c>
      <c r="H8" s="3">
        <v>0.83546031746031757</v>
      </c>
      <c r="I8" s="3">
        <v>0.20701488644619331</v>
      </c>
      <c r="J8" s="3">
        <v>0.29391304347826092</v>
      </c>
      <c r="K8" s="3">
        <v>0.23428571428571429</v>
      </c>
      <c r="L8" s="3">
        <v>0.32</v>
      </c>
      <c r="M8" t="s">
        <v>92</v>
      </c>
    </row>
    <row r="9" spans="1:13">
      <c r="A9" t="s">
        <v>208</v>
      </c>
      <c r="B9" t="s">
        <v>209</v>
      </c>
      <c r="C9" t="s">
        <v>68</v>
      </c>
      <c r="D9" t="s">
        <v>58</v>
      </c>
      <c r="E9" t="s">
        <v>51</v>
      </c>
      <c r="F9" s="3">
        <v>9.412618135376756E-2</v>
      </c>
      <c r="G9" s="3">
        <v>1.0992948148148149</v>
      </c>
      <c r="H9" s="3">
        <v>0.53338624338624341</v>
      </c>
      <c r="I9" s="3">
        <v>2.0460144353286799E-2</v>
      </c>
      <c r="J9" s="3">
        <v>0.21639490332353201</v>
      </c>
      <c r="K9" s="3">
        <v>6.9629629629629625E-2</v>
      </c>
      <c r="L9" s="3">
        <v>0.55999999999999994</v>
      </c>
      <c r="M9" t="s">
        <v>93</v>
      </c>
    </row>
    <row r="10" spans="1:13">
      <c r="A10" t="s">
        <v>208</v>
      </c>
      <c r="B10" t="s">
        <v>209</v>
      </c>
      <c r="C10" t="s">
        <v>68</v>
      </c>
      <c r="D10" t="s">
        <v>60</v>
      </c>
      <c r="E10" t="s">
        <v>51</v>
      </c>
      <c r="F10" s="3">
        <v>0.52408953418027826</v>
      </c>
      <c r="G10" s="3">
        <v>7.1767982456140347</v>
      </c>
      <c r="H10" s="3">
        <v>0.84572486772486788</v>
      </c>
      <c r="I10" s="3">
        <v>0.1418248416684669</v>
      </c>
      <c r="J10" s="3">
        <v>0.2042160737812912</v>
      </c>
      <c r="K10" s="3">
        <v>0.1211822660098522</v>
      </c>
      <c r="L10" s="3">
        <v>0.4</v>
      </c>
      <c r="M10" t="s">
        <v>94</v>
      </c>
    </row>
    <row r="11" spans="1:13">
      <c r="A11" t="s">
        <v>208</v>
      </c>
      <c r="B11" t="s">
        <v>209</v>
      </c>
      <c r="C11" t="s">
        <v>68</v>
      </c>
      <c r="D11" t="s">
        <v>62</v>
      </c>
      <c r="E11" t="s">
        <v>51</v>
      </c>
      <c r="F11" s="3">
        <v>0.41281135531135532</v>
      </c>
      <c r="G11" s="3">
        <v>4.3806332417582414</v>
      </c>
      <c r="H11" s="3">
        <v>0.79533862433862434</v>
      </c>
      <c r="I11" s="3">
        <v>0.11440441681311291</v>
      </c>
      <c r="J11" s="3">
        <v>0.17391304347826089</v>
      </c>
      <c r="K11" s="3">
        <v>0.1142857142857143</v>
      </c>
      <c r="L11" s="3">
        <v>0.2</v>
      </c>
      <c r="M11" t="s">
        <v>95</v>
      </c>
    </row>
    <row r="12" spans="1:13">
      <c r="A12" t="s">
        <v>208</v>
      </c>
      <c r="B12" t="s">
        <v>209</v>
      </c>
      <c r="C12" t="s">
        <v>68</v>
      </c>
      <c r="D12" t="s">
        <v>64</v>
      </c>
      <c r="E12" t="s">
        <v>51</v>
      </c>
      <c r="F12" s="3">
        <v>0.41649999999999998</v>
      </c>
      <c r="G12" s="3">
        <v>4.3486305555555553</v>
      </c>
      <c r="H12" s="3">
        <v>0.79814285714285715</v>
      </c>
      <c r="I12" s="3">
        <v>0.26254829831734272</v>
      </c>
      <c r="J12" s="3">
        <v>0.42362539421362949</v>
      </c>
      <c r="K12" s="3">
        <v>0.205982905982906</v>
      </c>
      <c r="L12" s="3">
        <v>0.65999999999999992</v>
      </c>
      <c r="M12" t="s">
        <v>96</v>
      </c>
    </row>
    <row r="13" spans="1:13">
      <c r="A13" t="s">
        <v>208</v>
      </c>
      <c r="B13" t="s">
        <v>209</v>
      </c>
      <c r="C13" t="s">
        <v>68</v>
      </c>
      <c r="D13" t="s">
        <v>66</v>
      </c>
      <c r="E13" t="s">
        <v>51</v>
      </c>
      <c r="F13" s="3">
        <v>0.45069230769230761</v>
      </c>
      <c r="G13" s="3">
        <v>6.339771794871794</v>
      </c>
      <c r="H13" s="3">
        <v>0.79646560846560843</v>
      </c>
      <c r="I13" s="3">
        <v>0.25197124075384941</v>
      </c>
      <c r="J13" s="3">
        <v>0.3231077694235589</v>
      </c>
      <c r="K13" s="3">
        <v>0.25333333333333341</v>
      </c>
      <c r="L13" s="3">
        <v>0.48</v>
      </c>
      <c r="M13" t="s">
        <v>97</v>
      </c>
    </row>
    <row r="14" spans="1:13">
      <c r="A14" t="s">
        <v>208</v>
      </c>
      <c r="B14" t="s">
        <v>209</v>
      </c>
      <c r="C14" t="s">
        <v>75</v>
      </c>
      <c r="D14" t="s">
        <v>50</v>
      </c>
      <c r="E14" t="s">
        <v>51</v>
      </c>
      <c r="F14" s="3">
        <v>0.41452898550724637</v>
      </c>
      <c r="G14" s="3">
        <v>3.9955905797101452</v>
      </c>
      <c r="H14" s="3">
        <v>0.6901005291005291</v>
      </c>
      <c r="I14" s="3">
        <v>8.0204884148886837E-2</v>
      </c>
      <c r="J14" s="3">
        <v>0.16666666666666671</v>
      </c>
      <c r="K14" s="3">
        <v>0.1</v>
      </c>
      <c r="L14" s="3">
        <v>0.2</v>
      </c>
      <c r="M14" t="s">
        <v>98</v>
      </c>
    </row>
    <row r="15" spans="1:13">
      <c r="A15" t="s">
        <v>208</v>
      </c>
      <c r="B15" t="s">
        <v>209</v>
      </c>
      <c r="C15" t="s">
        <v>75</v>
      </c>
      <c r="D15" t="s">
        <v>58</v>
      </c>
      <c r="E15" t="s">
        <v>51</v>
      </c>
      <c r="F15" s="3">
        <v>0.43491534391534392</v>
      </c>
      <c r="G15" s="3">
        <v>7.6991240740740734</v>
      </c>
      <c r="H15" s="3">
        <v>0.6851640211640212</v>
      </c>
      <c r="I15" s="3">
        <v>0.33123167587849728</v>
      </c>
      <c r="J15" s="3">
        <v>0.4386363636363636</v>
      </c>
      <c r="K15" s="3">
        <v>0.35689655172413792</v>
      </c>
      <c r="L15" s="3">
        <v>0.64</v>
      </c>
      <c r="M15" t="s">
        <v>99</v>
      </c>
    </row>
    <row r="16" spans="1:13">
      <c r="A16" t="s">
        <v>208</v>
      </c>
      <c r="B16" t="s">
        <v>209</v>
      </c>
      <c r="C16" t="s">
        <v>75</v>
      </c>
      <c r="D16" t="s">
        <v>58</v>
      </c>
      <c r="E16" t="s">
        <v>78</v>
      </c>
      <c r="F16" s="3">
        <v>0.34378808446455511</v>
      </c>
      <c r="G16" s="3">
        <v>4.8250390271493213</v>
      </c>
      <c r="H16" s="3">
        <v>0.6294603174603175</v>
      </c>
      <c r="I16" s="3">
        <v>0.26635895819070737</v>
      </c>
      <c r="J16" s="3">
        <v>0.39084426040947778</v>
      </c>
      <c r="K16" s="3">
        <v>0.23809523809523811</v>
      </c>
      <c r="L16" s="3">
        <v>0.48</v>
      </c>
      <c r="M16" t="s">
        <v>100</v>
      </c>
    </row>
    <row r="17" spans="1:13">
      <c r="A17" t="s">
        <v>208</v>
      </c>
      <c r="B17" t="s">
        <v>209</v>
      </c>
      <c r="C17" t="s">
        <v>75</v>
      </c>
      <c r="D17" t="s">
        <v>58</v>
      </c>
      <c r="E17" t="s">
        <v>80</v>
      </c>
      <c r="F17" s="3">
        <v>0.50070747520976355</v>
      </c>
      <c r="G17" s="3">
        <v>8.1022377765064846</v>
      </c>
      <c r="H17" s="3">
        <v>0.62171428571428566</v>
      </c>
      <c r="I17" s="3">
        <v>0.31744058592946428</v>
      </c>
      <c r="J17" s="3">
        <v>0.42762744501874927</v>
      </c>
      <c r="K17" s="3">
        <v>0.35356321839080462</v>
      </c>
      <c r="L17" s="3">
        <v>0.64</v>
      </c>
      <c r="M17" t="s">
        <v>101</v>
      </c>
    </row>
    <row r="18" spans="1:13">
      <c r="A18" t="s">
        <v>208</v>
      </c>
      <c r="B18" t="s">
        <v>209</v>
      </c>
      <c r="C18" t="s">
        <v>75</v>
      </c>
      <c r="D18" t="s">
        <v>60</v>
      </c>
      <c r="E18" t="s">
        <v>51</v>
      </c>
      <c r="F18" s="3">
        <v>0.4199761904761905</v>
      </c>
      <c r="G18" s="3">
        <v>4.1667130952380953</v>
      </c>
      <c r="H18" s="3">
        <v>0.74465079365079367</v>
      </c>
      <c r="I18" s="3">
        <v>0.14878959065455299</v>
      </c>
      <c r="J18" s="3">
        <v>0.20962732919254659</v>
      </c>
      <c r="K18" s="3">
        <v>0.1226190476190476</v>
      </c>
      <c r="L18" s="3">
        <v>0.4</v>
      </c>
      <c r="M18" t="s">
        <v>102</v>
      </c>
    </row>
    <row r="19" spans="1:13">
      <c r="A19" t="s">
        <v>208</v>
      </c>
      <c r="B19" t="s">
        <v>209</v>
      </c>
      <c r="C19" t="s">
        <v>75</v>
      </c>
      <c r="D19" t="s">
        <v>62</v>
      </c>
      <c r="E19" t="s">
        <v>51</v>
      </c>
      <c r="F19" s="3">
        <v>0.52100366300366296</v>
      </c>
      <c r="G19" s="3">
        <v>8.5248633699633718</v>
      </c>
      <c r="H19" s="3">
        <v>0.8053597883597885</v>
      </c>
      <c r="I19" s="3">
        <v>0.12712512746276269</v>
      </c>
      <c r="J19" s="3">
        <v>0.20724637681159419</v>
      </c>
      <c r="K19" s="3">
        <v>0.121978021978022</v>
      </c>
      <c r="L19" s="3">
        <v>0.4</v>
      </c>
      <c r="M19" t="s">
        <v>103</v>
      </c>
    </row>
    <row r="20" spans="1:13">
      <c r="A20" t="s">
        <v>208</v>
      </c>
      <c r="B20" t="s">
        <v>209</v>
      </c>
      <c r="C20" t="s">
        <v>75</v>
      </c>
      <c r="D20" t="s">
        <v>64</v>
      </c>
      <c r="E20" t="s">
        <v>51</v>
      </c>
      <c r="F20" s="3">
        <v>0.39427777777777778</v>
      </c>
      <c r="G20" s="3">
        <v>5.3007972222222222</v>
      </c>
      <c r="H20" s="3">
        <v>0.7406137566137565</v>
      </c>
      <c r="I20" s="3">
        <v>0.1915018057111946</v>
      </c>
      <c r="J20" s="3">
        <v>0.30285714285714282</v>
      </c>
      <c r="K20" s="3">
        <v>0.1555555555555555</v>
      </c>
      <c r="L20" s="3">
        <v>0.4</v>
      </c>
      <c r="M20" t="s">
        <v>104</v>
      </c>
    </row>
    <row r="21" spans="1:13">
      <c r="A21" t="s">
        <v>208</v>
      </c>
      <c r="B21" t="s">
        <v>209</v>
      </c>
      <c r="C21" t="s">
        <v>75</v>
      </c>
      <c r="D21" t="s">
        <v>66</v>
      </c>
      <c r="E21" t="s">
        <v>51</v>
      </c>
      <c r="F21" s="3">
        <v>0.51553165930403788</v>
      </c>
      <c r="G21" s="3">
        <v>8.6661745330543276</v>
      </c>
      <c r="H21" s="3">
        <v>0.78186243386243393</v>
      </c>
      <c r="I21" s="3">
        <v>0.27871866621243652</v>
      </c>
      <c r="J21" s="3">
        <v>0.32380952380952382</v>
      </c>
      <c r="K21" s="3">
        <v>0.27250000000000002</v>
      </c>
      <c r="L21" s="3">
        <v>0.48</v>
      </c>
      <c r="M21" t="s">
        <v>105</v>
      </c>
    </row>
    <row r="22" spans="1:13">
      <c r="A22" t="s">
        <v>210</v>
      </c>
      <c r="B22" t="s">
        <v>188</v>
      </c>
      <c r="C22" t="s">
        <v>49</v>
      </c>
      <c r="D22" t="s">
        <v>50</v>
      </c>
      <c r="E22" t="s">
        <v>51</v>
      </c>
      <c r="F22" s="3">
        <v>0.35047301430453609</v>
      </c>
      <c r="G22" s="3">
        <v>7.0370987965838507</v>
      </c>
      <c r="H22" s="3">
        <v>0.50078835978835978</v>
      </c>
      <c r="I22" s="3">
        <v>4.3343865709575748E-2</v>
      </c>
      <c r="J22" s="3">
        <v>0.1406423034330011</v>
      </c>
      <c r="K22" s="3">
        <v>0.2296296296296296</v>
      </c>
      <c r="L22" s="3">
        <v>0.24</v>
      </c>
      <c r="M22" t="s">
        <v>53</v>
      </c>
    </row>
    <row r="23" spans="1:13">
      <c r="A23" t="s">
        <v>210</v>
      </c>
      <c r="B23" t="s">
        <v>188</v>
      </c>
      <c r="C23" t="s">
        <v>49</v>
      </c>
      <c r="D23" t="s">
        <v>58</v>
      </c>
      <c r="E23" t="s">
        <v>51</v>
      </c>
      <c r="F23" s="3">
        <v>0.1593333333333333</v>
      </c>
      <c r="G23" s="3">
        <v>1.852133333333333</v>
      </c>
      <c r="H23" s="3">
        <v>0.74618518518518528</v>
      </c>
      <c r="I23" s="3">
        <v>3.9142857142857153E-2</v>
      </c>
      <c r="J23" s="3">
        <v>0.23085179193628669</v>
      </c>
      <c r="K23" s="3">
        <v>7.3625615763546801E-2</v>
      </c>
      <c r="L23" s="3">
        <v>0.6</v>
      </c>
      <c r="M23" t="s">
        <v>59</v>
      </c>
    </row>
    <row r="24" spans="1:13">
      <c r="A24" t="s">
        <v>210</v>
      </c>
      <c r="B24" t="s">
        <v>188</v>
      </c>
      <c r="C24" t="s">
        <v>49</v>
      </c>
      <c r="D24" t="s">
        <v>60</v>
      </c>
      <c r="E24" t="s">
        <v>51</v>
      </c>
      <c r="F24" s="3">
        <v>0.45101154401154397</v>
      </c>
      <c r="G24" s="3">
        <v>7.8679740981240984</v>
      </c>
      <c r="H24" s="3">
        <v>0.70661904761904759</v>
      </c>
      <c r="I24" s="3">
        <v>0.34031698924050302</v>
      </c>
      <c r="J24" s="3">
        <v>0.40922266139657443</v>
      </c>
      <c r="K24" s="3">
        <v>0.39340659340659351</v>
      </c>
      <c r="L24" s="3">
        <v>0.59000000000000008</v>
      </c>
      <c r="M24" t="s">
        <v>61</v>
      </c>
    </row>
    <row r="25" spans="1:13">
      <c r="A25" t="s">
        <v>210</v>
      </c>
      <c r="B25" t="s">
        <v>188</v>
      </c>
      <c r="C25" t="s">
        <v>49</v>
      </c>
      <c r="D25" t="s">
        <v>62</v>
      </c>
      <c r="E25" t="s">
        <v>51</v>
      </c>
      <c r="F25" s="3">
        <v>0.29631148078974162</v>
      </c>
      <c r="G25" s="3">
        <v>2.8051595718291371</v>
      </c>
      <c r="H25" s="3">
        <v>0.58257671957671953</v>
      </c>
      <c r="I25" s="3">
        <v>2.137060692458383E-2</v>
      </c>
      <c r="J25" s="3">
        <v>9.0909090909090912E-2</v>
      </c>
      <c r="K25" s="3">
        <v>6.6666666666666666E-2</v>
      </c>
      <c r="L25" s="3">
        <v>0.1</v>
      </c>
      <c r="M25" t="s">
        <v>63</v>
      </c>
    </row>
    <row r="26" spans="1:13">
      <c r="A26" t="s">
        <v>210</v>
      </c>
      <c r="B26" t="s">
        <v>188</v>
      </c>
      <c r="C26" t="s">
        <v>49</v>
      </c>
      <c r="D26" t="s">
        <v>64</v>
      </c>
      <c r="E26" t="s">
        <v>51</v>
      </c>
      <c r="F26" s="3">
        <v>0.32476556776556781</v>
      </c>
      <c r="G26" s="3">
        <v>4.6937987179487184</v>
      </c>
      <c r="H26" s="3">
        <v>0.62150793650793656</v>
      </c>
      <c r="I26" s="3">
        <v>6.6458760815143347E-2</v>
      </c>
      <c r="J26" s="3">
        <v>0.22142857142857139</v>
      </c>
      <c r="K26" s="3">
        <v>0.14357142857142849</v>
      </c>
      <c r="L26" s="3">
        <v>0.27</v>
      </c>
      <c r="M26" t="s">
        <v>65</v>
      </c>
    </row>
    <row r="27" spans="1:13">
      <c r="A27" t="s">
        <v>210</v>
      </c>
      <c r="B27" t="s">
        <v>188</v>
      </c>
      <c r="C27" t="s">
        <v>49</v>
      </c>
      <c r="D27" t="s">
        <v>66</v>
      </c>
      <c r="E27" t="s">
        <v>51</v>
      </c>
      <c r="F27" s="3">
        <v>0.39474386724386729</v>
      </c>
      <c r="G27" s="3">
        <v>7.3558259379509376</v>
      </c>
      <c r="H27" s="3">
        <v>0.61192063492063486</v>
      </c>
      <c r="I27" s="3">
        <v>-1.342967650376148E-2</v>
      </c>
      <c r="J27" s="3">
        <v>9.5238095238095233E-2</v>
      </c>
      <c r="K27" s="3">
        <v>0.08</v>
      </c>
      <c r="L27" s="3">
        <v>0.1</v>
      </c>
      <c r="M27" t="s">
        <v>67</v>
      </c>
    </row>
    <row r="28" spans="1:13">
      <c r="A28" t="s">
        <v>210</v>
      </c>
      <c r="B28" t="s">
        <v>188</v>
      </c>
      <c r="C28" t="s">
        <v>68</v>
      </c>
      <c r="D28" t="s">
        <v>50</v>
      </c>
      <c r="E28" t="s">
        <v>51</v>
      </c>
      <c r="F28" s="3">
        <v>0.51899178981937599</v>
      </c>
      <c r="G28" s="3">
        <v>6.9327476190476194</v>
      </c>
      <c r="H28" s="3">
        <v>0.88436507936507947</v>
      </c>
      <c r="I28" s="3">
        <v>0.30247495482338621</v>
      </c>
      <c r="J28" s="3">
        <v>0.32439782439782439</v>
      </c>
      <c r="K28" s="3">
        <v>0.32222222222222219</v>
      </c>
      <c r="L28" s="3">
        <v>0.45</v>
      </c>
      <c r="M28" t="s">
        <v>69</v>
      </c>
    </row>
    <row r="29" spans="1:13">
      <c r="A29" t="s">
        <v>210</v>
      </c>
      <c r="B29" t="s">
        <v>188</v>
      </c>
      <c r="C29" t="s">
        <v>68</v>
      </c>
      <c r="D29" t="s">
        <v>58</v>
      </c>
      <c r="E29" t="s">
        <v>51</v>
      </c>
      <c r="F29" s="3">
        <v>0.17903310415075119</v>
      </c>
      <c r="G29" s="3">
        <v>2.2324930353959771</v>
      </c>
      <c r="H29" s="3">
        <v>0.71179629629629626</v>
      </c>
      <c r="I29" s="3">
        <v>0.15187359472100789</v>
      </c>
      <c r="J29" s="3">
        <v>0.34793907603322849</v>
      </c>
      <c r="K29" s="3">
        <v>0.13061272061272061</v>
      </c>
      <c r="L29" s="3">
        <v>0.71</v>
      </c>
      <c r="M29" t="s">
        <v>70</v>
      </c>
    </row>
    <row r="30" spans="1:13">
      <c r="A30" t="s">
        <v>210</v>
      </c>
      <c r="B30" t="s">
        <v>188</v>
      </c>
      <c r="C30" t="s">
        <v>68</v>
      </c>
      <c r="D30" t="s">
        <v>60</v>
      </c>
      <c r="E30" t="s">
        <v>51</v>
      </c>
      <c r="F30" s="3">
        <v>0.55888888888888888</v>
      </c>
      <c r="G30" s="3">
        <v>6.980944444444444</v>
      </c>
      <c r="H30" s="3">
        <v>0.90486243386243381</v>
      </c>
      <c r="I30" s="3">
        <v>0.2072029616492195</v>
      </c>
      <c r="J30" s="3">
        <v>0.25183512140033881</v>
      </c>
      <c r="K30" s="3">
        <v>0.32118226600985222</v>
      </c>
      <c r="L30" s="3">
        <v>0.44000000000000011</v>
      </c>
      <c r="M30" t="s">
        <v>71</v>
      </c>
    </row>
    <row r="31" spans="1:13">
      <c r="A31" t="s">
        <v>210</v>
      </c>
      <c r="B31" t="s">
        <v>188</v>
      </c>
      <c r="C31" t="s">
        <v>68</v>
      </c>
      <c r="D31" t="s">
        <v>62</v>
      </c>
      <c r="E31" t="s">
        <v>51</v>
      </c>
      <c r="F31" s="3">
        <v>0.53796798029556636</v>
      </c>
      <c r="G31" s="3">
        <v>7.9060773809523814</v>
      </c>
      <c r="H31" s="3">
        <v>0.89624338624338618</v>
      </c>
      <c r="I31" s="3">
        <v>0.32904723447587247</v>
      </c>
      <c r="J31" s="3">
        <v>0.35169082125603868</v>
      </c>
      <c r="K31" s="3">
        <v>0.33246753246753252</v>
      </c>
      <c r="L31" s="3">
        <v>0.5</v>
      </c>
      <c r="M31" t="s">
        <v>72</v>
      </c>
    </row>
    <row r="32" spans="1:13">
      <c r="A32" t="s">
        <v>210</v>
      </c>
      <c r="B32" t="s">
        <v>188</v>
      </c>
      <c r="C32" t="s">
        <v>68</v>
      </c>
      <c r="D32" t="s">
        <v>64</v>
      </c>
      <c r="E32" t="s">
        <v>51</v>
      </c>
      <c r="F32" s="3">
        <v>0.53419841269841262</v>
      </c>
      <c r="G32" s="3">
        <v>7.8507257936507928</v>
      </c>
      <c r="H32" s="3">
        <v>0.89660846560846574</v>
      </c>
      <c r="I32" s="3">
        <v>0.29090138826350859</v>
      </c>
      <c r="J32" s="3">
        <v>0.39798711755233501</v>
      </c>
      <c r="K32" s="3">
        <v>0.1785201640464798</v>
      </c>
      <c r="L32" s="3">
        <v>0.8</v>
      </c>
      <c r="M32" t="s">
        <v>73</v>
      </c>
    </row>
    <row r="33" spans="1:13">
      <c r="A33" t="s">
        <v>210</v>
      </c>
      <c r="B33" t="s">
        <v>188</v>
      </c>
      <c r="C33" t="s">
        <v>68</v>
      </c>
      <c r="D33" t="s">
        <v>66</v>
      </c>
      <c r="E33" t="s">
        <v>51</v>
      </c>
      <c r="F33" s="3">
        <v>0.4700432900432901</v>
      </c>
      <c r="G33" s="3">
        <v>5.9905086580086584</v>
      </c>
      <c r="H33" s="3">
        <v>0.84569841269841262</v>
      </c>
      <c r="I33" s="3">
        <v>0.27934928956362332</v>
      </c>
      <c r="J33" s="3">
        <v>0.33630952380952378</v>
      </c>
      <c r="K33" s="3">
        <v>0.27666666666666673</v>
      </c>
      <c r="L33" s="3">
        <v>0.48</v>
      </c>
      <c r="M33" t="s">
        <v>74</v>
      </c>
    </row>
    <row r="34" spans="1:13">
      <c r="A34" t="s">
        <v>210</v>
      </c>
      <c r="B34" t="s">
        <v>188</v>
      </c>
      <c r="C34" t="s">
        <v>75</v>
      </c>
      <c r="D34" t="s">
        <v>50</v>
      </c>
      <c r="E34" t="s">
        <v>51</v>
      </c>
      <c r="F34" s="3">
        <v>0.41785470085470078</v>
      </c>
      <c r="G34" s="3">
        <v>3.6948478632478632</v>
      </c>
      <c r="H34" s="3">
        <v>0.70948148148148149</v>
      </c>
      <c r="I34" s="3">
        <v>0.24927799462229999</v>
      </c>
      <c r="J34" s="3">
        <v>0.23999654308184251</v>
      </c>
      <c r="K34" s="3">
        <v>0.40799999999999997</v>
      </c>
      <c r="L34" s="3">
        <v>0.39</v>
      </c>
      <c r="M34" t="s">
        <v>76</v>
      </c>
    </row>
    <row r="35" spans="1:13">
      <c r="A35" t="s">
        <v>210</v>
      </c>
      <c r="B35" t="s">
        <v>188</v>
      </c>
      <c r="C35" t="s">
        <v>75</v>
      </c>
      <c r="D35" t="s">
        <v>58</v>
      </c>
      <c r="E35" t="s">
        <v>51</v>
      </c>
      <c r="F35" s="3">
        <v>0.50880880230880232</v>
      </c>
      <c r="G35" s="3">
        <v>8.8769931096681098</v>
      </c>
      <c r="H35" s="3">
        <v>0.8674708994708995</v>
      </c>
      <c r="I35" s="3">
        <v>0.36547354409516902</v>
      </c>
      <c r="J35" s="3">
        <v>0.44337121212121211</v>
      </c>
      <c r="K35" s="3">
        <v>0.40714285714285708</v>
      </c>
      <c r="L35" s="3">
        <v>0.64</v>
      </c>
      <c r="M35" t="s">
        <v>77</v>
      </c>
    </row>
    <row r="36" spans="1:13">
      <c r="A36" t="s">
        <v>210</v>
      </c>
      <c r="B36" t="s">
        <v>188</v>
      </c>
      <c r="C36" t="s">
        <v>75</v>
      </c>
      <c r="D36" t="s">
        <v>58</v>
      </c>
      <c r="E36" t="s">
        <v>78</v>
      </c>
      <c r="F36" s="3">
        <v>0.42392529912053228</v>
      </c>
      <c r="G36" s="3">
        <v>7.6262422250951669</v>
      </c>
      <c r="H36" s="3">
        <v>0.58051851851851854</v>
      </c>
      <c r="I36" s="3">
        <v>1.494980040411964E-2</v>
      </c>
      <c r="J36" s="3">
        <v>0.1111111111111111</v>
      </c>
      <c r="K36" s="3">
        <v>5.4545454545454543E-2</v>
      </c>
      <c r="L36" s="3">
        <v>0.15</v>
      </c>
      <c r="M36" t="s">
        <v>79</v>
      </c>
    </row>
    <row r="37" spans="1:13">
      <c r="A37" t="s">
        <v>210</v>
      </c>
      <c r="B37" t="s">
        <v>188</v>
      </c>
      <c r="C37" t="s">
        <v>75</v>
      </c>
      <c r="D37" t="s">
        <v>58</v>
      </c>
      <c r="E37" t="s">
        <v>80</v>
      </c>
      <c r="F37" s="3">
        <v>0.46890543666859452</v>
      </c>
      <c r="G37" s="3">
        <v>7.974438813379602</v>
      </c>
      <c r="H37" s="3">
        <v>0.67095767195767197</v>
      </c>
      <c r="I37" s="3">
        <v>0.29040550302692641</v>
      </c>
      <c r="J37" s="3">
        <v>0.3666666666666667</v>
      </c>
      <c r="K37" s="3">
        <v>0.3</v>
      </c>
      <c r="L37" s="3">
        <v>0.4</v>
      </c>
      <c r="M37" t="s">
        <v>81</v>
      </c>
    </row>
    <row r="38" spans="1:13">
      <c r="A38" t="s">
        <v>210</v>
      </c>
      <c r="B38" t="s">
        <v>188</v>
      </c>
      <c r="C38" t="s">
        <v>75</v>
      </c>
      <c r="D38" t="s">
        <v>60</v>
      </c>
      <c r="E38" t="s">
        <v>51</v>
      </c>
      <c r="F38" s="3">
        <v>0.44447619047619052</v>
      </c>
      <c r="G38" s="3">
        <v>5.5269857142857139</v>
      </c>
      <c r="H38" s="3">
        <v>0.70103703703703713</v>
      </c>
      <c r="I38" s="3">
        <v>0.16844946218280629</v>
      </c>
      <c r="J38" s="3">
        <v>0.20761904761904759</v>
      </c>
      <c r="K38" s="3">
        <v>0.28888888888888892</v>
      </c>
      <c r="L38" s="3">
        <v>0.24</v>
      </c>
      <c r="M38" t="s">
        <v>82</v>
      </c>
    </row>
    <row r="39" spans="1:13">
      <c r="A39" t="s">
        <v>210</v>
      </c>
      <c r="B39" t="s">
        <v>188</v>
      </c>
      <c r="C39" t="s">
        <v>75</v>
      </c>
      <c r="D39" t="s">
        <v>62</v>
      </c>
      <c r="E39" t="s">
        <v>51</v>
      </c>
      <c r="F39" s="3">
        <v>0.45396825396825402</v>
      </c>
      <c r="G39" s="3">
        <v>4.9143492063492058</v>
      </c>
      <c r="H39" s="3">
        <v>0.85279894179894189</v>
      </c>
      <c r="I39" s="3">
        <v>0.29551906516239301</v>
      </c>
      <c r="J39" s="3">
        <v>0.3339130434782609</v>
      </c>
      <c r="K39" s="3">
        <v>0.29941520467836258</v>
      </c>
      <c r="L39" s="3">
        <v>0.52</v>
      </c>
      <c r="M39" t="s">
        <v>83</v>
      </c>
    </row>
    <row r="40" spans="1:13">
      <c r="A40" t="s">
        <v>210</v>
      </c>
      <c r="B40" t="s">
        <v>188</v>
      </c>
      <c r="C40" t="s">
        <v>75</v>
      </c>
      <c r="D40" t="s">
        <v>64</v>
      </c>
      <c r="E40" t="s">
        <v>51</v>
      </c>
      <c r="F40" s="3">
        <v>0.37308630641389262</v>
      </c>
      <c r="G40" s="3">
        <v>4.6735461399711404</v>
      </c>
      <c r="H40" s="3">
        <v>0.80647089947089934</v>
      </c>
      <c r="I40" s="3">
        <v>0.31623391230052572</v>
      </c>
      <c r="J40" s="3">
        <v>0.43643426588912659</v>
      </c>
      <c r="K40" s="3">
        <v>0.20805675805675811</v>
      </c>
      <c r="L40" s="3">
        <v>0.8</v>
      </c>
      <c r="M40" t="s">
        <v>84</v>
      </c>
    </row>
    <row r="41" spans="1:13">
      <c r="A41" t="s">
        <v>210</v>
      </c>
      <c r="B41" t="s">
        <v>188</v>
      </c>
      <c r="C41" t="s">
        <v>75</v>
      </c>
      <c r="D41" t="s">
        <v>66</v>
      </c>
      <c r="E41" t="s">
        <v>51</v>
      </c>
      <c r="F41" s="3">
        <v>0.42550207961972658</v>
      </c>
      <c r="G41" s="3">
        <v>4.8113205585264396</v>
      </c>
      <c r="H41" s="3">
        <v>0.83146560846560846</v>
      </c>
      <c r="I41" s="3">
        <v>0.23828191366593079</v>
      </c>
      <c r="J41" s="3">
        <v>0.2839544513457557</v>
      </c>
      <c r="K41" s="3">
        <v>0.23916666666666669</v>
      </c>
      <c r="L41" s="3">
        <v>0.44000000000000011</v>
      </c>
      <c r="M41" t="s">
        <v>85</v>
      </c>
    </row>
    <row r="42" spans="1:13">
      <c r="A42" t="s">
        <v>211</v>
      </c>
      <c r="B42" t="s">
        <v>107</v>
      </c>
      <c r="C42" t="s">
        <v>49</v>
      </c>
      <c r="D42" t="s">
        <v>108</v>
      </c>
      <c r="E42" t="s">
        <v>51</v>
      </c>
      <c r="F42" s="3">
        <v>0.39831150331150328</v>
      </c>
      <c r="G42" s="3">
        <v>7.4081547249047244</v>
      </c>
      <c r="H42" s="3">
        <v>0.59795238095238101</v>
      </c>
      <c r="I42" s="3">
        <v>0.25119936195801079</v>
      </c>
      <c r="J42" s="3">
        <v>0.41182266009852209</v>
      </c>
      <c r="K42" s="3">
        <v>0.36444444444444452</v>
      </c>
      <c r="L42" s="3">
        <v>0.43</v>
      </c>
      <c r="M42" t="s">
        <v>109</v>
      </c>
    </row>
    <row r="43" spans="1:13">
      <c r="A43" t="s">
        <v>211</v>
      </c>
      <c r="B43" t="s">
        <v>107</v>
      </c>
      <c r="C43" t="s">
        <v>49</v>
      </c>
      <c r="D43" t="s">
        <v>110</v>
      </c>
      <c r="E43" t="s">
        <v>51</v>
      </c>
      <c r="F43" s="3">
        <v>0.2842126436781609</v>
      </c>
      <c r="G43" s="3">
        <v>2.2978083333333328</v>
      </c>
      <c r="H43" s="3">
        <v>0.56597089947089951</v>
      </c>
      <c r="I43" s="3">
        <v>0.1476793321513426</v>
      </c>
      <c r="J43" s="3">
        <v>0.24458874458874461</v>
      </c>
      <c r="K43" s="3">
        <v>0.1768965517241379</v>
      </c>
      <c r="L43" s="3">
        <v>0.43</v>
      </c>
      <c r="M43" t="s">
        <v>111</v>
      </c>
    </row>
    <row r="44" spans="1:13">
      <c r="A44" t="s">
        <v>211</v>
      </c>
      <c r="B44" t="s">
        <v>107</v>
      </c>
      <c r="C44" t="s">
        <v>49</v>
      </c>
      <c r="D44" t="s">
        <v>112</v>
      </c>
      <c r="E44" t="s">
        <v>51</v>
      </c>
      <c r="F44" s="3">
        <v>0.19553332327474199</v>
      </c>
      <c r="G44" s="3">
        <v>1.899560211565704</v>
      </c>
      <c r="H44" s="3">
        <v>0.45992063492063501</v>
      </c>
      <c r="I44" s="3">
        <v>2.123386480507072E-2</v>
      </c>
      <c r="J44" s="3">
        <v>0.20940170940170941</v>
      </c>
      <c r="K44" s="3">
        <v>0.105</v>
      </c>
      <c r="L44" s="3">
        <v>0.28000000000000003</v>
      </c>
      <c r="M44" t="s">
        <v>113</v>
      </c>
    </row>
    <row r="45" spans="1:13">
      <c r="A45" t="s">
        <v>211</v>
      </c>
      <c r="B45" t="s">
        <v>107</v>
      </c>
      <c r="C45" t="s">
        <v>49</v>
      </c>
      <c r="D45" t="s">
        <v>66</v>
      </c>
      <c r="E45" t="s">
        <v>51</v>
      </c>
      <c r="F45" s="3">
        <v>0.19558297258297261</v>
      </c>
      <c r="G45" s="3">
        <v>2.028914391164391</v>
      </c>
      <c r="H45" s="3">
        <v>0.5513756613756613</v>
      </c>
      <c r="I45" s="3">
        <v>-2.0117591042797259E-2</v>
      </c>
      <c r="J45" s="3">
        <v>0.13095238095238099</v>
      </c>
      <c r="K45" s="3">
        <v>0.105</v>
      </c>
      <c r="L45" s="3">
        <v>0.14000000000000001</v>
      </c>
      <c r="M45" t="s">
        <v>114</v>
      </c>
    </row>
    <row r="46" spans="1:13">
      <c r="A46" t="s">
        <v>211</v>
      </c>
      <c r="B46" t="s">
        <v>107</v>
      </c>
      <c r="C46" t="s">
        <v>49</v>
      </c>
      <c r="D46" t="s">
        <v>115</v>
      </c>
      <c r="E46" t="s">
        <v>51</v>
      </c>
      <c r="F46" s="3">
        <v>0.31999723644246969</v>
      </c>
      <c r="G46" s="3">
        <v>4.0214619125427946</v>
      </c>
      <c r="H46" s="3">
        <v>0.63130687830687826</v>
      </c>
      <c r="I46" s="3">
        <v>0.25065399122614263</v>
      </c>
      <c r="J46" s="3">
        <v>0.34193121693121692</v>
      </c>
      <c r="K46" s="3">
        <v>0.22714285714285709</v>
      </c>
      <c r="L46" s="3">
        <v>0.43</v>
      </c>
      <c r="M46" t="s">
        <v>116</v>
      </c>
    </row>
    <row r="47" spans="1:13">
      <c r="A47" t="s">
        <v>211</v>
      </c>
      <c r="B47" t="s">
        <v>107</v>
      </c>
      <c r="C47" t="s">
        <v>49</v>
      </c>
      <c r="D47" t="s">
        <v>117</v>
      </c>
      <c r="E47" t="s">
        <v>51</v>
      </c>
      <c r="F47" s="3">
        <v>0.26558275441034068</v>
      </c>
      <c r="G47" s="3">
        <v>3.1702710012210011</v>
      </c>
      <c r="H47" s="3">
        <v>0.59412698412698417</v>
      </c>
      <c r="I47" s="3">
        <v>4.3684827299284933E-2</v>
      </c>
      <c r="J47" s="3">
        <v>0.1333333333333333</v>
      </c>
      <c r="K47" s="3">
        <v>5.7142857142857141E-2</v>
      </c>
      <c r="L47" s="3">
        <v>0.2</v>
      </c>
      <c r="M47" t="s">
        <v>118</v>
      </c>
    </row>
    <row r="48" spans="1:13">
      <c r="A48" t="s">
        <v>211</v>
      </c>
      <c r="B48" t="s">
        <v>107</v>
      </c>
      <c r="C48" t="s">
        <v>68</v>
      </c>
      <c r="D48" t="s">
        <v>108</v>
      </c>
      <c r="E48" t="s">
        <v>51</v>
      </c>
      <c r="F48" s="3">
        <v>0.49494417077175701</v>
      </c>
      <c r="G48" s="3">
        <v>9.0840988095238089</v>
      </c>
      <c r="H48" s="3">
        <v>0.83916402116402122</v>
      </c>
      <c r="I48" s="3">
        <v>0.28726299950974121</v>
      </c>
      <c r="J48" s="3">
        <v>0.38603425559947302</v>
      </c>
      <c r="K48" s="3">
        <v>0.31428571428571428</v>
      </c>
      <c r="L48" s="3">
        <v>0.44000000000000011</v>
      </c>
      <c r="M48" t="s">
        <v>119</v>
      </c>
    </row>
    <row r="49" spans="1:13">
      <c r="A49" t="s">
        <v>211</v>
      </c>
      <c r="B49" t="s">
        <v>107</v>
      </c>
      <c r="C49" t="s">
        <v>68</v>
      </c>
      <c r="D49" t="s">
        <v>110</v>
      </c>
      <c r="E49" t="s">
        <v>51</v>
      </c>
      <c r="F49" s="3">
        <v>0.54686453201970442</v>
      </c>
      <c r="G49" s="3">
        <v>8.8924392857142855</v>
      </c>
      <c r="H49" s="3">
        <v>0.83380423280423288</v>
      </c>
      <c r="I49" s="3">
        <v>0.23071640145739961</v>
      </c>
      <c r="J49" s="3">
        <v>0.29117259552042157</v>
      </c>
      <c r="K49" s="3">
        <v>0.25451559934318557</v>
      </c>
      <c r="L49" s="3">
        <v>0.48</v>
      </c>
      <c r="M49" t="s">
        <v>120</v>
      </c>
    </row>
    <row r="50" spans="1:13">
      <c r="A50" t="s">
        <v>211</v>
      </c>
      <c r="B50" t="s">
        <v>107</v>
      </c>
      <c r="C50" t="s">
        <v>68</v>
      </c>
      <c r="D50" t="s">
        <v>112</v>
      </c>
      <c r="E50" t="s">
        <v>51</v>
      </c>
      <c r="F50" s="3">
        <v>0.32282467532467529</v>
      </c>
      <c r="G50" s="3">
        <v>3.2596596320346309</v>
      </c>
      <c r="H50" s="3">
        <v>0.71564550264550264</v>
      </c>
      <c r="I50" s="3">
        <v>6.741181452560277E-2</v>
      </c>
      <c r="J50" s="3">
        <v>0.21921921921921919</v>
      </c>
      <c r="K50" s="3">
        <v>8.8095238095238088E-2</v>
      </c>
      <c r="L50" s="3">
        <v>0.36</v>
      </c>
      <c r="M50" t="s">
        <v>121</v>
      </c>
    </row>
    <row r="51" spans="1:13">
      <c r="A51" t="s">
        <v>211</v>
      </c>
      <c r="B51" t="s">
        <v>107</v>
      </c>
      <c r="C51" t="s">
        <v>68</v>
      </c>
      <c r="D51" t="s">
        <v>66</v>
      </c>
      <c r="E51" t="s">
        <v>51</v>
      </c>
      <c r="F51" s="3">
        <v>0.4878095238095238</v>
      </c>
      <c r="G51" s="3">
        <v>7.9598785714285709</v>
      </c>
      <c r="H51" s="3">
        <v>0.67036507936507927</v>
      </c>
      <c r="I51" s="3">
        <v>0.2178775866820723</v>
      </c>
      <c r="J51" s="3">
        <v>0.2608695652173913</v>
      </c>
      <c r="K51" s="3">
        <v>0.2476190476190476</v>
      </c>
      <c r="L51" s="3">
        <v>0.28000000000000003</v>
      </c>
      <c r="M51" t="s">
        <v>122</v>
      </c>
    </row>
    <row r="52" spans="1:13">
      <c r="A52" t="s">
        <v>211</v>
      </c>
      <c r="B52" t="s">
        <v>107</v>
      </c>
      <c r="C52" t="s">
        <v>68</v>
      </c>
      <c r="D52" t="s">
        <v>115</v>
      </c>
      <c r="E52" t="s">
        <v>51</v>
      </c>
      <c r="F52" s="3">
        <v>0.51007142857142851</v>
      </c>
      <c r="G52" s="3">
        <v>9.2244857142857146</v>
      </c>
      <c r="H52" s="3">
        <v>0.82683068783068769</v>
      </c>
      <c r="I52" s="3">
        <v>0.21582612865856241</v>
      </c>
      <c r="J52" s="3">
        <v>0.27391304347826079</v>
      </c>
      <c r="K52" s="3">
        <v>0.14761904761904759</v>
      </c>
      <c r="L52" s="3">
        <v>0.4</v>
      </c>
      <c r="M52" t="s">
        <v>123</v>
      </c>
    </row>
    <row r="53" spans="1:13">
      <c r="A53" t="s">
        <v>211</v>
      </c>
      <c r="B53" t="s">
        <v>107</v>
      </c>
      <c r="C53" t="s">
        <v>68</v>
      </c>
      <c r="D53" t="s">
        <v>117</v>
      </c>
      <c r="E53" t="s">
        <v>51</v>
      </c>
      <c r="F53" s="3">
        <v>0.37622128851540609</v>
      </c>
      <c r="G53" s="3">
        <v>4.39146918767507</v>
      </c>
      <c r="H53" s="3">
        <v>0.67792592592592593</v>
      </c>
      <c r="I53" s="3">
        <v>0.21590158664258491</v>
      </c>
      <c r="J53" s="3">
        <v>0.2608695652173913</v>
      </c>
      <c r="K53" s="3">
        <v>0.2476190476190476</v>
      </c>
      <c r="L53" s="3">
        <v>0.28000000000000003</v>
      </c>
      <c r="M53" t="s">
        <v>124</v>
      </c>
    </row>
    <row r="54" spans="1:13">
      <c r="A54" t="s">
        <v>211</v>
      </c>
      <c r="B54" t="s">
        <v>107</v>
      </c>
      <c r="C54" t="s">
        <v>75</v>
      </c>
      <c r="D54" t="s">
        <v>108</v>
      </c>
      <c r="E54" t="s">
        <v>51</v>
      </c>
      <c r="F54" s="3">
        <v>0.46456601951125281</v>
      </c>
      <c r="G54" s="3">
        <v>7.9440312324929963</v>
      </c>
      <c r="H54" s="3">
        <v>0.73019576719576718</v>
      </c>
      <c r="I54" s="3">
        <v>0.3875747385939759</v>
      </c>
      <c r="J54" s="3">
        <v>0.44695652173913042</v>
      </c>
      <c r="K54" s="3">
        <v>0.42222222222222222</v>
      </c>
      <c r="L54" s="3">
        <v>0.48</v>
      </c>
      <c r="M54" t="s">
        <v>125</v>
      </c>
    </row>
    <row r="55" spans="1:13">
      <c r="A55" t="s">
        <v>211</v>
      </c>
      <c r="B55" t="s">
        <v>107</v>
      </c>
      <c r="C55" t="s">
        <v>75</v>
      </c>
      <c r="D55" t="s">
        <v>110</v>
      </c>
      <c r="E55" t="s">
        <v>51</v>
      </c>
      <c r="F55" s="3">
        <v>0.4145944170771757</v>
      </c>
      <c r="G55" s="3">
        <v>5.1689809523809522</v>
      </c>
      <c r="H55" s="3">
        <v>0.73861375661375672</v>
      </c>
      <c r="I55" s="3">
        <v>0.2897268362459573</v>
      </c>
      <c r="J55" s="3">
        <v>0.38278750235271969</v>
      </c>
      <c r="K55" s="3">
        <v>0.24618226600985221</v>
      </c>
      <c r="L55" s="3">
        <v>0.6</v>
      </c>
      <c r="M55" t="s">
        <v>126</v>
      </c>
    </row>
    <row r="56" spans="1:13">
      <c r="A56" t="s">
        <v>211</v>
      </c>
      <c r="B56" t="s">
        <v>107</v>
      </c>
      <c r="C56" t="s">
        <v>75</v>
      </c>
      <c r="D56" t="s">
        <v>112</v>
      </c>
      <c r="E56" t="s">
        <v>51</v>
      </c>
      <c r="F56" s="3">
        <v>0.21185692360614961</v>
      </c>
      <c r="G56" s="3">
        <v>2.129519122088781</v>
      </c>
      <c r="H56" s="3">
        <v>0.59500000000000008</v>
      </c>
      <c r="I56" s="3">
        <v>0.23609851571510779</v>
      </c>
      <c r="J56" s="3">
        <v>0.36342123056119002</v>
      </c>
      <c r="K56" s="3">
        <v>0.2042735042735043</v>
      </c>
      <c r="L56" s="3">
        <v>0.55999999999999994</v>
      </c>
      <c r="M56" t="s">
        <v>127</v>
      </c>
    </row>
    <row r="57" spans="1:13">
      <c r="A57" t="s">
        <v>211</v>
      </c>
      <c r="B57" t="s">
        <v>107</v>
      </c>
      <c r="C57" t="s">
        <v>75</v>
      </c>
      <c r="D57" t="s">
        <v>66</v>
      </c>
      <c r="E57" t="s">
        <v>51</v>
      </c>
      <c r="F57" s="3">
        <v>0.5059312169312169</v>
      </c>
      <c r="G57" s="3">
        <v>8.223026719576719</v>
      </c>
      <c r="H57" s="3">
        <v>0.70747089947089958</v>
      </c>
      <c r="I57" s="3">
        <v>0.19958386631391239</v>
      </c>
      <c r="J57" s="3">
        <v>0.2142857142857143</v>
      </c>
      <c r="K57" s="3">
        <v>0.3</v>
      </c>
      <c r="L57" s="3">
        <v>0.24</v>
      </c>
      <c r="M57" t="s">
        <v>128</v>
      </c>
    </row>
    <row r="58" spans="1:13">
      <c r="A58" t="s">
        <v>211</v>
      </c>
      <c r="B58" t="s">
        <v>107</v>
      </c>
      <c r="C58" t="s">
        <v>75</v>
      </c>
      <c r="D58" t="s">
        <v>115</v>
      </c>
      <c r="E58" t="s">
        <v>51</v>
      </c>
      <c r="F58" s="3">
        <v>0.66033597883597883</v>
      </c>
      <c r="G58" s="3">
        <v>13.37870502645503</v>
      </c>
      <c r="H58" s="3">
        <v>0.7828518518518518</v>
      </c>
      <c r="I58" s="3">
        <v>0.20615652149823799</v>
      </c>
      <c r="J58" s="3">
        <v>0.32629399585921331</v>
      </c>
      <c r="K58" s="3">
        <v>0.1674325674325674</v>
      </c>
      <c r="L58" s="3">
        <v>0.6</v>
      </c>
      <c r="M58" t="s">
        <v>129</v>
      </c>
    </row>
    <row r="59" spans="1:13">
      <c r="A59" t="s">
        <v>211</v>
      </c>
      <c r="B59" t="s">
        <v>107</v>
      </c>
      <c r="C59" t="s">
        <v>75</v>
      </c>
      <c r="D59" t="s">
        <v>117</v>
      </c>
      <c r="E59" t="s">
        <v>51</v>
      </c>
      <c r="F59" s="3">
        <v>0.35695488721804508</v>
      </c>
      <c r="G59" s="3">
        <v>3.4928919172932331</v>
      </c>
      <c r="H59" s="3">
        <v>0.64687301587301582</v>
      </c>
      <c r="I59" s="3">
        <v>0.24365205332812581</v>
      </c>
      <c r="J59" s="3">
        <v>0.26482213438735169</v>
      </c>
      <c r="K59" s="3">
        <v>0.31428571428571428</v>
      </c>
      <c r="L59" s="3">
        <v>0.28000000000000003</v>
      </c>
      <c r="M59" t="s">
        <v>130</v>
      </c>
    </row>
    <row r="60" spans="1:13">
      <c r="A60" t="s">
        <v>211</v>
      </c>
      <c r="B60" t="s">
        <v>131</v>
      </c>
      <c r="C60" t="s">
        <v>49</v>
      </c>
      <c r="D60" t="s">
        <v>108</v>
      </c>
      <c r="E60" t="s">
        <v>51</v>
      </c>
      <c r="F60" s="3">
        <v>0.23204512154512161</v>
      </c>
      <c r="G60" s="3">
        <v>3.370656576756577</v>
      </c>
      <c r="H60" s="3">
        <v>0.57899470899470906</v>
      </c>
      <c r="I60" s="3">
        <v>1.8241520160368618E-2</v>
      </c>
      <c r="J60" s="3">
        <v>0.14285714285714279</v>
      </c>
      <c r="K60" s="3">
        <v>0.12</v>
      </c>
      <c r="L60" s="3">
        <v>0.15</v>
      </c>
      <c r="M60" t="s">
        <v>132</v>
      </c>
    </row>
    <row r="61" spans="1:13">
      <c r="A61" t="s">
        <v>211</v>
      </c>
      <c r="B61" t="s">
        <v>131</v>
      </c>
      <c r="C61" t="s">
        <v>49</v>
      </c>
      <c r="D61" t="s">
        <v>110</v>
      </c>
      <c r="E61" t="s">
        <v>51</v>
      </c>
      <c r="F61" s="3">
        <v>0.23183908045977011</v>
      </c>
      <c r="G61" s="3">
        <v>3.3263333333333329</v>
      </c>
      <c r="H61" s="3">
        <v>0.55346560846560844</v>
      </c>
      <c r="I61" s="3">
        <v>4.7604948459248342E-2</v>
      </c>
      <c r="J61" s="3">
        <v>0.16002388416181521</v>
      </c>
      <c r="K61" s="3">
        <v>0.1091187739463601</v>
      </c>
      <c r="L61" s="3">
        <v>0.34</v>
      </c>
      <c r="M61" t="s">
        <v>133</v>
      </c>
    </row>
    <row r="62" spans="1:13">
      <c r="A62" t="s">
        <v>211</v>
      </c>
      <c r="B62" t="s">
        <v>131</v>
      </c>
      <c r="C62" t="s">
        <v>49</v>
      </c>
      <c r="D62" t="s">
        <v>112</v>
      </c>
      <c r="E62" t="s">
        <v>51</v>
      </c>
      <c r="F62" s="3">
        <v>0.16673367056919691</v>
      </c>
      <c r="G62" s="3">
        <v>1.6733877061900091</v>
      </c>
      <c r="H62" s="3">
        <v>0.43725925925925929</v>
      </c>
      <c r="I62" s="3">
        <v>4.7312840932642536E-3</v>
      </c>
      <c r="J62" s="3">
        <v>0.12</v>
      </c>
      <c r="K62" s="3">
        <v>0.1022222222222222</v>
      </c>
      <c r="L62" s="3">
        <v>0.13</v>
      </c>
      <c r="M62" t="s">
        <v>134</v>
      </c>
    </row>
    <row r="63" spans="1:13">
      <c r="A63" t="s">
        <v>211</v>
      </c>
      <c r="B63" t="s">
        <v>131</v>
      </c>
      <c r="C63" t="s">
        <v>49</v>
      </c>
      <c r="D63" t="s">
        <v>66</v>
      </c>
      <c r="E63" t="s">
        <v>51</v>
      </c>
      <c r="F63" s="3">
        <v>0.15042624042624039</v>
      </c>
      <c r="G63" s="3">
        <v>1.731550116550117</v>
      </c>
      <c r="H63" s="3">
        <v>0.48775661375661372</v>
      </c>
      <c r="I63" s="3">
        <v>-3.9866636644995609E-2</v>
      </c>
      <c r="J63" s="3">
        <v>9.0909090909090912E-2</v>
      </c>
      <c r="K63" s="3">
        <v>6.6666666666666666E-2</v>
      </c>
      <c r="L63" s="3">
        <v>0.1</v>
      </c>
      <c r="M63" t="s">
        <v>135</v>
      </c>
    </row>
    <row r="64" spans="1:13">
      <c r="A64" t="s">
        <v>211</v>
      </c>
      <c r="B64" t="s">
        <v>131</v>
      </c>
      <c r="C64" t="s">
        <v>49</v>
      </c>
      <c r="D64" t="s">
        <v>115</v>
      </c>
      <c r="E64" t="s">
        <v>51</v>
      </c>
      <c r="F64" s="3">
        <v>0.38001420217209692</v>
      </c>
      <c r="G64" s="3">
        <v>7.4686564466722363</v>
      </c>
      <c r="H64" s="3">
        <v>0.59317460317460324</v>
      </c>
      <c r="I64" s="3">
        <v>0.1382686135886726</v>
      </c>
      <c r="J64" s="3">
        <v>0.22306636155606399</v>
      </c>
      <c r="K64" s="3">
        <v>0.139047619047619</v>
      </c>
      <c r="L64" s="3">
        <v>0.39</v>
      </c>
      <c r="M64" t="s">
        <v>136</v>
      </c>
    </row>
    <row r="65" spans="1:13">
      <c r="A65" t="s">
        <v>211</v>
      </c>
      <c r="B65" t="s">
        <v>131</v>
      </c>
      <c r="C65" t="s">
        <v>49</v>
      </c>
      <c r="D65" t="s">
        <v>117</v>
      </c>
      <c r="E65" t="s">
        <v>51</v>
      </c>
      <c r="F65" s="3">
        <v>0.20650082276398071</v>
      </c>
      <c r="G65" s="3">
        <v>3.177703980911875</v>
      </c>
      <c r="H65" s="3">
        <v>0.49581481481481482</v>
      </c>
      <c r="I65" s="3">
        <v>-3.6662931064537288E-2</v>
      </c>
      <c r="J65" s="3">
        <v>7.2258064516129039E-2</v>
      </c>
      <c r="K65" s="3">
        <v>2.9629629629629631E-2</v>
      </c>
      <c r="L65" s="3">
        <v>0.25</v>
      </c>
      <c r="M65" t="s">
        <v>137</v>
      </c>
    </row>
    <row r="66" spans="1:13">
      <c r="A66" t="s">
        <v>211</v>
      </c>
      <c r="B66" t="s">
        <v>131</v>
      </c>
      <c r="C66" t="s">
        <v>68</v>
      </c>
      <c r="D66" t="s">
        <v>108</v>
      </c>
      <c r="E66" t="s">
        <v>51</v>
      </c>
      <c r="F66" s="3">
        <v>0.60715800865800862</v>
      </c>
      <c r="G66" s="3">
        <v>11.090406601731599</v>
      </c>
      <c r="H66" s="3">
        <v>0.88741269841269843</v>
      </c>
      <c r="I66" s="3">
        <v>0.32281099501147031</v>
      </c>
      <c r="J66" s="3">
        <v>0.43362977602108038</v>
      </c>
      <c r="K66" s="3">
        <v>0.27500000000000002</v>
      </c>
      <c r="L66" s="3">
        <v>0.64</v>
      </c>
      <c r="M66" t="s">
        <v>138</v>
      </c>
    </row>
    <row r="67" spans="1:13">
      <c r="A67" t="s">
        <v>211</v>
      </c>
      <c r="B67" t="s">
        <v>131</v>
      </c>
      <c r="C67" t="s">
        <v>68</v>
      </c>
      <c r="D67" t="s">
        <v>110</v>
      </c>
      <c r="E67" t="s">
        <v>51</v>
      </c>
      <c r="F67" s="3">
        <v>0.69129310344827588</v>
      </c>
      <c r="G67" s="3">
        <v>11.346875000000001</v>
      </c>
      <c r="H67" s="3">
        <v>0.87774603174603172</v>
      </c>
      <c r="I67" s="3">
        <v>0.37527121840165317</v>
      </c>
      <c r="J67" s="3">
        <v>0.39047619047619048</v>
      </c>
      <c r="K67" s="3">
        <v>0.36</v>
      </c>
      <c r="L67" s="3">
        <v>0.4</v>
      </c>
      <c r="M67" t="s">
        <v>139</v>
      </c>
    </row>
    <row r="68" spans="1:13">
      <c r="A68" t="s">
        <v>211</v>
      </c>
      <c r="B68" t="s">
        <v>131</v>
      </c>
      <c r="C68" t="s">
        <v>68</v>
      </c>
      <c r="D68" t="s">
        <v>112</v>
      </c>
      <c r="E68" t="s">
        <v>51</v>
      </c>
      <c r="F68" s="3">
        <v>0.1189723440810397</v>
      </c>
      <c r="G68" s="3">
        <v>1.4229469721100161</v>
      </c>
      <c r="H68" s="3">
        <v>0.40770899470899469</v>
      </c>
      <c r="I68" s="3">
        <v>-4.3663063245329169E-2</v>
      </c>
      <c r="J68" s="3">
        <v>0.19696969696969699</v>
      </c>
      <c r="K68" s="3">
        <v>8.4666666666666654E-2</v>
      </c>
      <c r="L68" s="3">
        <v>0.46</v>
      </c>
      <c r="M68" t="s">
        <v>140</v>
      </c>
    </row>
    <row r="69" spans="1:13">
      <c r="A69" t="s">
        <v>211</v>
      </c>
      <c r="B69" t="s">
        <v>131</v>
      </c>
      <c r="C69" t="s">
        <v>68</v>
      </c>
      <c r="D69" t="s">
        <v>66</v>
      </c>
      <c r="E69" t="s">
        <v>51</v>
      </c>
      <c r="F69" s="3">
        <v>0.70233613445378151</v>
      </c>
      <c r="G69" s="3">
        <v>11.83673585434174</v>
      </c>
      <c r="H69" s="3">
        <v>0.92126455026455023</v>
      </c>
      <c r="I69" s="3">
        <v>0.2615516983170722</v>
      </c>
      <c r="J69" s="3">
        <v>0.33047870004391738</v>
      </c>
      <c r="K69" s="3">
        <v>0.25428571428571428</v>
      </c>
      <c r="L69" s="3">
        <v>0.44000000000000011</v>
      </c>
      <c r="M69" t="s">
        <v>141</v>
      </c>
    </row>
    <row r="70" spans="1:13">
      <c r="A70" t="s">
        <v>211</v>
      </c>
      <c r="B70" t="s">
        <v>131</v>
      </c>
      <c r="C70" t="s">
        <v>68</v>
      </c>
      <c r="D70" t="s">
        <v>115</v>
      </c>
      <c r="E70" t="s">
        <v>51</v>
      </c>
      <c r="F70" s="3">
        <v>0.63951559934318547</v>
      </c>
      <c r="G70" s="3">
        <v>9.306690476190477</v>
      </c>
      <c r="H70" s="3">
        <v>0.70564814814814814</v>
      </c>
      <c r="I70" s="3">
        <v>0.24227715782770209</v>
      </c>
      <c r="J70" s="3">
        <v>0.2813852813852814</v>
      </c>
      <c r="K70" s="3">
        <v>0.18857142857142861</v>
      </c>
      <c r="L70" s="3">
        <v>0.4</v>
      </c>
      <c r="M70" t="s">
        <v>142</v>
      </c>
    </row>
    <row r="71" spans="1:13">
      <c r="A71" t="s">
        <v>211</v>
      </c>
      <c r="B71" t="s">
        <v>131</v>
      </c>
      <c r="C71" t="s">
        <v>68</v>
      </c>
      <c r="D71" t="s">
        <v>117</v>
      </c>
      <c r="E71" t="s">
        <v>51</v>
      </c>
      <c r="F71" s="3">
        <v>0.51364803312629392</v>
      </c>
      <c r="G71" s="3">
        <v>7.2598107660455486</v>
      </c>
      <c r="H71" s="3">
        <v>0.83994708994709</v>
      </c>
      <c r="I71" s="3">
        <v>0.29223281987703481</v>
      </c>
      <c r="J71" s="3">
        <v>0.40605590062111813</v>
      </c>
      <c r="K71" s="3">
        <v>0.2392857142857143</v>
      </c>
      <c r="L71" s="3">
        <v>0.52</v>
      </c>
      <c r="M71" t="s">
        <v>143</v>
      </c>
    </row>
    <row r="72" spans="1:13">
      <c r="A72" t="s">
        <v>211</v>
      </c>
      <c r="B72" t="s">
        <v>131</v>
      </c>
      <c r="C72" t="s">
        <v>75</v>
      </c>
      <c r="D72" t="s">
        <v>108</v>
      </c>
      <c r="E72" t="s">
        <v>51</v>
      </c>
      <c r="F72" s="3">
        <v>0.58974121200436991</v>
      </c>
      <c r="G72" s="3">
        <v>11.06683236295868</v>
      </c>
      <c r="H72" s="3">
        <v>0.88048677248677243</v>
      </c>
      <c r="I72" s="3">
        <v>0.29464362043958242</v>
      </c>
      <c r="J72" s="3">
        <v>0.45006717420510522</v>
      </c>
      <c r="K72" s="3">
        <v>0.25079365079365079</v>
      </c>
      <c r="L72" s="3">
        <v>0.64</v>
      </c>
      <c r="M72" t="s">
        <v>144</v>
      </c>
    </row>
    <row r="73" spans="1:13">
      <c r="A73" t="s">
        <v>211</v>
      </c>
      <c r="B73" t="s">
        <v>131</v>
      </c>
      <c r="C73" t="s">
        <v>75</v>
      </c>
      <c r="D73" t="s">
        <v>110</v>
      </c>
      <c r="E73" t="s">
        <v>51</v>
      </c>
      <c r="F73" s="3">
        <v>0.58518965517241384</v>
      </c>
      <c r="G73" s="3">
        <v>10.671058333333329</v>
      </c>
      <c r="H73" s="3">
        <v>0.85448677248677252</v>
      </c>
      <c r="I73" s="3">
        <v>0.32693788506831978</v>
      </c>
      <c r="J73" s="3">
        <v>0.3504761904761905</v>
      </c>
      <c r="K73" s="3">
        <v>0.32</v>
      </c>
      <c r="L73" s="3">
        <v>0.36</v>
      </c>
      <c r="M73" t="s">
        <v>145</v>
      </c>
    </row>
    <row r="74" spans="1:13">
      <c r="A74" t="s">
        <v>211</v>
      </c>
      <c r="B74" t="s">
        <v>131</v>
      </c>
      <c r="C74" t="s">
        <v>75</v>
      </c>
      <c r="D74" t="s">
        <v>112</v>
      </c>
      <c r="E74" t="s">
        <v>51</v>
      </c>
      <c r="F74" s="3">
        <v>0.42973646723646719</v>
      </c>
      <c r="G74" s="3">
        <v>4.1323037749287748</v>
      </c>
      <c r="H74" s="3">
        <v>0.79319576719576723</v>
      </c>
      <c r="I74" s="3">
        <v>0.2416993354690706</v>
      </c>
      <c r="J74" s="3">
        <v>0.33333333333333331</v>
      </c>
      <c r="K74" s="3">
        <v>0.26</v>
      </c>
      <c r="L74" s="3">
        <v>0.36</v>
      </c>
      <c r="M74" t="s">
        <v>146</v>
      </c>
    </row>
    <row r="75" spans="1:13">
      <c r="A75" t="s">
        <v>211</v>
      </c>
      <c r="B75" t="s">
        <v>131</v>
      </c>
      <c r="C75" t="s">
        <v>75</v>
      </c>
      <c r="D75" t="s">
        <v>66</v>
      </c>
      <c r="E75" t="s">
        <v>51</v>
      </c>
      <c r="F75" s="3">
        <v>0.52574603174603174</v>
      </c>
      <c r="G75" s="3">
        <v>7.5546841269841263</v>
      </c>
      <c r="H75" s="3">
        <v>0.88012698412698409</v>
      </c>
      <c r="I75" s="3">
        <v>0.29163864821559837</v>
      </c>
      <c r="J75" s="3">
        <v>0.31244118200639942</v>
      </c>
      <c r="K75" s="3">
        <v>0.34285714285714292</v>
      </c>
      <c r="L75" s="3">
        <v>0.44000000000000011</v>
      </c>
      <c r="M75" t="s">
        <v>147</v>
      </c>
    </row>
    <row r="76" spans="1:13">
      <c r="A76" t="s">
        <v>211</v>
      </c>
      <c r="B76" t="s">
        <v>131</v>
      </c>
      <c r="C76" t="s">
        <v>75</v>
      </c>
      <c r="D76" t="s">
        <v>115</v>
      </c>
      <c r="E76" t="s">
        <v>51</v>
      </c>
      <c r="F76" s="3">
        <v>0.41087803320561939</v>
      </c>
      <c r="G76" s="3">
        <v>3.4898888888888879</v>
      </c>
      <c r="H76" s="3">
        <v>0.49932275132275128</v>
      </c>
      <c r="I76" s="3">
        <v>0.18130928539044419</v>
      </c>
      <c r="J76" s="3">
        <v>0.32996632996632991</v>
      </c>
      <c r="K76" s="3">
        <v>0.2476190476190476</v>
      </c>
      <c r="L76" s="3">
        <v>0.36</v>
      </c>
      <c r="M76" t="s">
        <v>148</v>
      </c>
    </row>
    <row r="77" spans="1:13">
      <c r="A77" t="s">
        <v>211</v>
      </c>
      <c r="B77" t="s">
        <v>131</v>
      </c>
      <c r="C77" t="s">
        <v>75</v>
      </c>
      <c r="D77" t="s">
        <v>117</v>
      </c>
      <c r="E77" t="s">
        <v>51</v>
      </c>
      <c r="F77" s="3">
        <v>0.56141176470588239</v>
      </c>
      <c r="G77" s="3">
        <v>9.5897882352941188</v>
      </c>
      <c r="H77" s="3">
        <v>0.82357142857142862</v>
      </c>
      <c r="I77" s="3">
        <v>0.30546912442510032</v>
      </c>
      <c r="J77" s="3">
        <v>0.39777777777777779</v>
      </c>
      <c r="K77" s="3">
        <v>0.26</v>
      </c>
      <c r="L77" s="3">
        <v>0.52</v>
      </c>
      <c r="M77" t="s">
        <v>149</v>
      </c>
    </row>
    <row r="78" spans="1:13">
      <c r="A78" t="s">
        <v>211</v>
      </c>
      <c r="B78" t="s">
        <v>150</v>
      </c>
      <c r="C78" t="s">
        <v>49</v>
      </c>
      <c r="D78" t="s">
        <v>108</v>
      </c>
      <c r="E78" t="s">
        <v>51</v>
      </c>
      <c r="F78" s="3">
        <v>0.24526280255692021</v>
      </c>
      <c r="G78" s="3">
        <v>3.5087715075773902</v>
      </c>
      <c r="H78" s="3">
        <v>0.6256613756613757</v>
      </c>
      <c r="I78" s="3">
        <v>7.686174349117475E-2</v>
      </c>
      <c r="J78" s="3">
        <v>0.18285714285714291</v>
      </c>
      <c r="K78" s="3">
        <v>0.16</v>
      </c>
      <c r="L78" s="3">
        <v>0.19</v>
      </c>
      <c r="M78" t="s">
        <v>151</v>
      </c>
    </row>
    <row r="79" spans="1:13">
      <c r="A79" t="s">
        <v>211</v>
      </c>
      <c r="B79" t="s">
        <v>150</v>
      </c>
      <c r="C79" t="s">
        <v>49</v>
      </c>
      <c r="D79" t="s">
        <v>110</v>
      </c>
      <c r="E79" t="s">
        <v>51</v>
      </c>
      <c r="F79" s="3">
        <v>0.23183908045977011</v>
      </c>
      <c r="G79" s="3">
        <v>3.3263333333333329</v>
      </c>
      <c r="H79" s="3">
        <v>0.56753968253968257</v>
      </c>
      <c r="I79" s="3">
        <v>5.3883695947298228E-2</v>
      </c>
      <c r="J79" s="3">
        <v>0.16125541125541129</v>
      </c>
      <c r="K79" s="3">
        <v>0.1118965517241379</v>
      </c>
      <c r="L79" s="3">
        <v>0.34</v>
      </c>
      <c r="M79" t="s">
        <v>152</v>
      </c>
    </row>
    <row r="80" spans="1:13">
      <c r="A80" t="s">
        <v>211</v>
      </c>
      <c r="B80" t="s">
        <v>150</v>
      </c>
      <c r="C80" t="s">
        <v>49</v>
      </c>
      <c r="D80" t="s">
        <v>112</v>
      </c>
      <c r="E80" t="s">
        <v>51</v>
      </c>
      <c r="F80" s="3">
        <v>0.1538422082322338</v>
      </c>
      <c r="G80" s="3">
        <v>1.700730838634227</v>
      </c>
      <c r="H80" s="3">
        <v>0.5009894179894181</v>
      </c>
      <c r="I80" s="3">
        <v>-4.0103553824346883E-2</v>
      </c>
      <c r="J80" s="3">
        <v>8.7619047619047624E-2</v>
      </c>
      <c r="K80" s="3">
        <v>0.08</v>
      </c>
      <c r="L80" s="3">
        <v>0.09</v>
      </c>
      <c r="M80" t="s">
        <v>153</v>
      </c>
    </row>
    <row r="81" spans="1:13">
      <c r="A81" t="s">
        <v>211</v>
      </c>
      <c r="B81" t="s">
        <v>150</v>
      </c>
      <c r="C81" t="s">
        <v>49</v>
      </c>
      <c r="D81" t="s">
        <v>66</v>
      </c>
      <c r="E81" t="s">
        <v>51</v>
      </c>
      <c r="F81" s="3">
        <v>0.15320445950263389</v>
      </c>
      <c r="G81" s="3">
        <v>1.8758914206708319</v>
      </c>
      <c r="H81" s="3">
        <v>0.49841269841269842</v>
      </c>
      <c r="I81" s="3">
        <v>-1.548602439121285E-2</v>
      </c>
      <c r="J81" s="3">
        <v>9.5238095238095233E-2</v>
      </c>
      <c r="K81" s="3">
        <v>0.08</v>
      </c>
      <c r="L81" s="3">
        <v>0.1</v>
      </c>
      <c r="M81" t="s">
        <v>154</v>
      </c>
    </row>
    <row r="82" spans="1:13">
      <c r="A82" t="s">
        <v>211</v>
      </c>
      <c r="B82" t="s">
        <v>150</v>
      </c>
      <c r="C82" t="s">
        <v>49</v>
      </c>
      <c r="D82" t="s">
        <v>115</v>
      </c>
      <c r="E82" t="s">
        <v>51</v>
      </c>
      <c r="F82" s="3">
        <v>0.38283915343915342</v>
      </c>
      <c r="G82" s="3">
        <v>7.5223268783068793</v>
      </c>
      <c r="H82" s="3">
        <v>0.61373015873015879</v>
      </c>
      <c r="I82" s="3">
        <v>0.14368516989053831</v>
      </c>
      <c r="J82" s="3">
        <v>0.2292583120204604</v>
      </c>
      <c r="K82" s="3">
        <v>0.14109890109890111</v>
      </c>
      <c r="L82" s="3">
        <v>0.39</v>
      </c>
      <c r="M82" t="s">
        <v>155</v>
      </c>
    </row>
    <row r="83" spans="1:13">
      <c r="A83" t="s">
        <v>211</v>
      </c>
      <c r="B83" t="s">
        <v>150</v>
      </c>
      <c r="C83" t="s">
        <v>49</v>
      </c>
      <c r="D83" t="s">
        <v>117</v>
      </c>
      <c r="E83" t="s">
        <v>51</v>
      </c>
      <c r="F83" s="3">
        <v>0.1936454509730372</v>
      </c>
      <c r="G83" s="3">
        <v>2.7461395363895358</v>
      </c>
      <c r="H83" s="3">
        <v>0.50201587301587303</v>
      </c>
      <c r="I83" s="3">
        <v>1.3404177422237091E-2</v>
      </c>
      <c r="J83" s="3">
        <v>0.13375130616509931</v>
      </c>
      <c r="K83" s="3">
        <v>5.3050397877984087E-2</v>
      </c>
      <c r="L83" s="3">
        <v>0.35</v>
      </c>
      <c r="M83" t="s">
        <v>156</v>
      </c>
    </row>
    <row r="84" spans="1:13">
      <c r="A84" t="s">
        <v>211</v>
      </c>
      <c r="B84" t="s">
        <v>150</v>
      </c>
      <c r="C84" t="s">
        <v>68</v>
      </c>
      <c r="D84" t="s">
        <v>108</v>
      </c>
      <c r="E84" t="s">
        <v>51</v>
      </c>
      <c r="F84" s="3">
        <v>0.51779653679653681</v>
      </c>
      <c r="G84" s="3">
        <v>9.1615770562770571</v>
      </c>
      <c r="H84" s="3">
        <v>0.79661375661375655</v>
      </c>
      <c r="I84" s="3">
        <v>0.33261411050025241</v>
      </c>
      <c r="J84" s="3">
        <v>0.39047619047619048</v>
      </c>
      <c r="K84" s="3">
        <v>0.36</v>
      </c>
      <c r="L84" s="3">
        <v>0.4</v>
      </c>
      <c r="M84" t="s">
        <v>157</v>
      </c>
    </row>
    <row r="85" spans="1:13">
      <c r="A85" t="s">
        <v>211</v>
      </c>
      <c r="B85" t="s">
        <v>150</v>
      </c>
      <c r="C85" t="s">
        <v>68</v>
      </c>
      <c r="D85" t="s">
        <v>110</v>
      </c>
      <c r="E85" t="s">
        <v>51</v>
      </c>
      <c r="F85" s="3">
        <v>0.47637931034482761</v>
      </c>
      <c r="G85" s="3">
        <v>8.3784999999999989</v>
      </c>
      <c r="H85" s="3">
        <v>0.7596666666666666</v>
      </c>
      <c r="I85" s="3">
        <v>0.18557263973042509</v>
      </c>
      <c r="J85" s="3">
        <v>0.22529644268774701</v>
      </c>
      <c r="K85" s="3">
        <v>0.2</v>
      </c>
      <c r="L85" s="3">
        <v>0.24</v>
      </c>
      <c r="M85" t="s">
        <v>158</v>
      </c>
    </row>
    <row r="86" spans="1:13">
      <c r="A86" t="s">
        <v>211</v>
      </c>
      <c r="B86" t="s">
        <v>150</v>
      </c>
      <c r="C86" t="s">
        <v>68</v>
      </c>
      <c r="D86" t="s">
        <v>112</v>
      </c>
      <c r="E86" t="s">
        <v>51</v>
      </c>
      <c r="F86" s="3">
        <v>0.30008379534695317</v>
      </c>
      <c r="G86" s="3">
        <v>2.9648902622718412</v>
      </c>
      <c r="H86" s="3">
        <v>0.67546560846560844</v>
      </c>
      <c r="I86" s="3">
        <v>0.23353535830882771</v>
      </c>
      <c r="J86" s="3">
        <v>0.29043478260869571</v>
      </c>
      <c r="K86" s="3">
        <v>0.28888888888888892</v>
      </c>
      <c r="L86" s="3">
        <v>0.32</v>
      </c>
      <c r="M86" t="s">
        <v>159</v>
      </c>
    </row>
    <row r="87" spans="1:13">
      <c r="A87" t="s">
        <v>211</v>
      </c>
      <c r="B87" t="s">
        <v>150</v>
      </c>
      <c r="C87" t="s">
        <v>68</v>
      </c>
      <c r="D87" t="s">
        <v>66</v>
      </c>
      <c r="E87" t="s">
        <v>51</v>
      </c>
      <c r="F87" s="3">
        <v>0.57323809523809521</v>
      </c>
      <c r="G87" s="3">
        <v>8.7062142857142852</v>
      </c>
      <c r="H87" s="3">
        <v>0.87882539682539684</v>
      </c>
      <c r="I87" s="3">
        <v>0.28352183944576931</v>
      </c>
      <c r="J87" s="3">
        <v>0.34436758893280628</v>
      </c>
      <c r="K87" s="3">
        <v>0.26428571428571429</v>
      </c>
      <c r="L87" s="3">
        <v>0.44000000000000011</v>
      </c>
      <c r="M87" t="s">
        <v>160</v>
      </c>
    </row>
    <row r="88" spans="1:13">
      <c r="A88" t="s">
        <v>211</v>
      </c>
      <c r="B88" t="s">
        <v>150</v>
      </c>
      <c r="C88" t="s">
        <v>68</v>
      </c>
      <c r="D88" t="s">
        <v>115</v>
      </c>
      <c r="E88" t="s">
        <v>51</v>
      </c>
      <c r="F88" s="3">
        <v>0.57826821326821332</v>
      </c>
      <c r="G88" s="3">
        <v>8.5904503459503463</v>
      </c>
      <c r="H88" s="3">
        <v>0.65974867724867736</v>
      </c>
      <c r="I88" s="3">
        <v>0.16015263948128411</v>
      </c>
      <c r="J88" s="3">
        <v>0.19047619047619049</v>
      </c>
      <c r="K88" s="3">
        <v>0.16</v>
      </c>
      <c r="L88" s="3">
        <v>0.2</v>
      </c>
      <c r="M88" t="s">
        <v>161</v>
      </c>
    </row>
    <row r="89" spans="1:13">
      <c r="A89" t="s">
        <v>211</v>
      </c>
      <c r="B89" t="s">
        <v>150</v>
      </c>
      <c r="C89" t="s">
        <v>68</v>
      </c>
      <c r="D89" t="s">
        <v>117</v>
      </c>
      <c r="E89" t="s">
        <v>51</v>
      </c>
      <c r="F89" s="3">
        <v>0.60711050443809067</v>
      </c>
      <c r="G89" s="3">
        <v>10.467205669330671</v>
      </c>
      <c r="H89" s="3">
        <v>0.82912169312169315</v>
      </c>
      <c r="I89" s="3">
        <v>0.31320093893656709</v>
      </c>
      <c r="J89" s="3">
        <v>0.41333333333333339</v>
      </c>
      <c r="K89" s="3">
        <v>0.28000000000000003</v>
      </c>
      <c r="L89" s="3">
        <v>0.48</v>
      </c>
      <c r="M89" t="s">
        <v>162</v>
      </c>
    </row>
    <row r="90" spans="1:13">
      <c r="A90" t="s">
        <v>211</v>
      </c>
      <c r="B90" t="s">
        <v>150</v>
      </c>
      <c r="C90" t="s">
        <v>75</v>
      </c>
      <c r="D90" t="s">
        <v>108</v>
      </c>
      <c r="E90" t="s">
        <v>51</v>
      </c>
      <c r="F90" s="3">
        <v>0.51161904761904764</v>
      </c>
      <c r="G90" s="3">
        <v>9.0532476190476192</v>
      </c>
      <c r="H90" s="3">
        <v>0.79420634920634925</v>
      </c>
      <c r="I90" s="3">
        <v>0.4432642707079209</v>
      </c>
      <c r="J90" s="3">
        <v>0.50158730158730158</v>
      </c>
      <c r="K90" s="3">
        <v>0.4</v>
      </c>
      <c r="L90" s="3">
        <v>0.6</v>
      </c>
      <c r="M90" t="s">
        <v>163</v>
      </c>
    </row>
    <row r="91" spans="1:13">
      <c r="A91" t="s">
        <v>211</v>
      </c>
      <c r="B91" t="s">
        <v>150</v>
      </c>
      <c r="C91" t="s">
        <v>75</v>
      </c>
      <c r="D91" t="s">
        <v>110</v>
      </c>
      <c r="E91" t="s">
        <v>51</v>
      </c>
      <c r="F91" s="3">
        <v>0.457212643678161</v>
      </c>
      <c r="G91" s="3">
        <v>8.2492083333333337</v>
      </c>
      <c r="H91" s="3">
        <v>0.75600000000000001</v>
      </c>
      <c r="I91" s="3">
        <v>0.13178600190961209</v>
      </c>
      <c r="J91" s="3">
        <v>0.1818181818181818</v>
      </c>
      <c r="K91" s="3">
        <v>0.1333333333333333</v>
      </c>
      <c r="L91" s="3">
        <v>0.2</v>
      </c>
      <c r="M91" t="s">
        <v>164</v>
      </c>
    </row>
    <row r="92" spans="1:13">
      <c r="A92" t="s">
        <v>211</v>
      </c>
      <c r="B92" t="s">
        <v>150</v>
      </c>
      <c r="C92" t="s">
        <v>75</v>
      </c>
      <c r="D92" t="s">
        <v>112</v>
      </c>
      <c r="E92" t="s">
        <v>51</v>
      </c>
      <c r="F92" s="3">
        <v>0.2476824564324564</v>
      </c>
      <c r="G92" s="3">
        <v>3.2879629190254192</v>
      </c>
      <c r="H92" s="3">
        <v>0.68562433862433869</v>
      </c>
      <c r="I92" s="3">
        <v>2.254614376837866E-2</v>
      </c>
      <c r="J92" s="3">
        <v>0.21903967371153141</v>
      </c>
      <c r="K92" s="3">
        <v>0.11433566433566431</v>
      </c>
      <c r="L92" s="3">
        <v>0.28999999999999998</v>
      </c>
      <c r="M92" t="s">
        <v>165</v>
      </c>
    </row>
    <row r="93" spans="1:13">
      <c r="A93" t="s">
        <v>211</v>
      </c>
      <c r="B93" t="s">
        <v>150</v>
      </c>
      <c r="C93" t="s">
        <v>75</v>
      </c>
      <c r="D93" t="s">
        <v>66</v>
      </c>
      <c r="E93" t="s">
        <v>51</v>
      </c>
      <c r="F93" s="3">
        <v>0.57606321839080454</v>
      </c>
      <c r="G93" s="3">
        <v>8.7238749999999996</v>
      </c>
      <c r="H93" s="3">
        <v>0.86434391534391541</v>
      </c>
      <c r="I93" s="3">
        <v>0.26303200818355799</v>
      </c>
      <c r="J93" s="3">
        <v>0.31936758893280631</v>
      </c>
      <c r="K93" s="3">
        <v>0.2476190476190476</v>
      </c>
      <c r="L93" s="3">
        <v>0.44000000000000011</v>
      </c>
      <c r="M93" t="s">
        <v>166</v>
      </c>
    </row>
    <row r="94" spans="1:13">
      <c r="A94" t="s">
        <v>211</v>
      </c>
      <c r="B94" t="s">
        <v>150</v>
      </c>
      <c r="C94" t="s">
        <v>75</v>
      </c>
      <c r="D94" t="s">
        <v>115</v>
      </c>
      <c r="E94" t="s">
        <v>51</v>
      </c>
      <c r="F94" s="3">
        <v>0.56852693602693605</v>
      </c>
      <c r="G94" s="3">
        <v>8.521752525252527</v>
      </c>
      <c r="H94" s="3">
        <v>0.64400793650793653</v>
      </c>
      <c r="I94" s="3">
        <v>0.1624324036263258</v>
      </c>
      <c r="J94" s="3">
        <v>0.19047619047619049</v>
      </c>
      <c r="K94" s="3">
        <v>0.16</v>
      </c>
      <c r="L94" s="3">
        <v>0.2</v>
      </c>
      <c r="M94" t="s">
        <v>167</v>
      </c>
    </row>
    <row r="95" spans="1:13">
      <c r="A95" t="s">
        <v>211</v>
      </c>
      <c r="B95" t="s">
        <v>150</v>
      </c>
      <c r="C95" t="s">
        <v>75</v>
      </c>
      <c r="D95" t="s">
        <v>117</v>
      </c>
      <c r="E95" t="s">
        <v>51</v>
      </c>
      <c r="F95" s="3">
        <v>0.48695238095238091</v>
      </c>
      <c r="G95" s="3">
        <v>7.0769666666666664</v>
      </c>
      <c r="H95" s="3">
        <v>0.79776190476190478</v>
      </c>
      <c r="I95" s="3">
        <v>0.42407733424176619</v>
      </c>
      <c r="J95" s="3">
        <v>0.52391304347826084</v>
      </c>
      <c r="K95" s="3">
        <v>0.34761904761904761</v>
      </c>
      <c r="L95" s="3">
        <v>0.67999999999999994</v>
      </c>
      <c r="M95" t="s">
        <v>168</v>
      </c>
    </row>
    <row r="96" spans="1:13">
      <c r="A96" t="s">
        <v>211</v>
      </c>
      <c r="B96" t="s">
        <v>169</v>
      </c>
      <c r="C96" t="s">
        <v>49</v>
      </c>
      <c r="D96" t="s">
        <v>108</v>
      </c>
      <c r="E96" t="s">
        <v>51</v>
      </c>
      <c r="F96" s="3">
        <v>0.46055096352922442</v>
      </c>
      <c r="G96" s="3">
        <v>8.1138741598980726</v>
      </c>
      <c r="H96" s="3">
        <v>0.7460687830687831</v>
      </c>
      <c r="I96" s="3">
        <v>0.35386534781990298</v>
      </c>
      <c r="J96" s="3">
        <v>0.49505299195701669</v>
      </c>
      <c r="K96" s="3">
        <v>0.3126984126984127</v>
      </c>
      <c r="L96" s="3">
        <v>0.73</v>
      </c>
      <c r="M96" t="s">
        <v>170</v>
      </c>
    </row>
    <row r="97" spans="1:13">
      <c r="A97" t="s">
        <v>211</v>
      </c>
      <c r="B97" t="s">
        <v>169</v>
      </c>
      <c r="C97" t="s">
        <v>49</v>
      </c>
      <c r="D97" t="s">
        <v>110</v>
      </c>
      <c r="E97" t="s">
        <v>51</v>
      </c>
      <c r="F97" s="3">
        <v>0.29956896551724138</v>
      </c>
      <c r="G97" s="3">
        <v>4.546875</v>
      </c>
      <c r="H97" s="3">
        <v>0.59347883597883599</v>
      </c>
      <c r="I97" s="3">
        <v>0</v>
      </c>
      <c r="J97" s="3">
        <v>3.03030303030303E-2</v>
      </c>
      <c r="K97" s="3">
        <v>6.8965517241379309E-3</v>
      </c>
      <c r="L97" s="3">
        <v>0.2</v>
      </c>
      <c r="M97" t="s">
        <v>171</v>
      </c>
    </row>
    <row r="98" spans="1:13">
      <c r="A98" t="s">
        <v>211</v>
      </c>
      <c r="B98" t="s">
        <v>169</v>
      </c>
      <c r="C98" t="s">
        <v>49</v>
      </c>
      <c r="D98" t="s">
        <v>112</v>
      </c>
      <c r="E98" t="s">
        <v>51</v>
      </c>
      <c r="F98" s="3">
        <v>0.1279178969178969</v>
      </c>
      <c r="G98" s="3">
        <v>1.459923006623006</v>
      </c>
      <c r="H98" s="3">
        <v>0.38897354497354503</v>
      </c>
      <c r="I98" s="3">
        <v>5.3169093222665789E-2</v>
      </c>
      <c r="J98" s="3">
        <v>0.24652543009540981</v>
      </c>
      <c r="K98" s="3">
        <v>0.1245686680469289</v>
      </c>
      <c r="L98" s="3">
        <v>0.57000000000000006</v>
      </c>
      <c r="M98" t="s">
        <v>172</v>
      </c>
    </row>
    <row r="99" spans="1:13">
      <c r="A99" t="s">
        <v>211</v>
      </c>
      <c r="B99" t="s">
        <v>169</v>
      </c>
      <c r="C99" t="s">
        <v>49</v>
      </c>
      <c r="D99" t="s">
        <v>66</v>
      </c>
      <c r="E99" t="s">
        <v>51</v>
      </c>
      <c r="F99" s="3">
        <v>0.30312535612535613</v>
      </c>
      <c r="G99" s="3">
        <v>4.7221584045584049</v>
      </c>
      <c r="H99" s="3">
        <v>0.65425396825396831</v>
      </c>
      <c r="I99" s="3">
        <v>4.6806946847074697E-2</v>
      </c>
      <c r="J99" s="3">
        <v>0.16666666666666671</v>
      </c>
      <c r="K99" s="3">
        <v>0.1</v>
      </c>
      <c r="L99" s="3">
        <v>0.2</v>
      </c>
      <c r="M99" t="s">
        <v>173</v>
      </c>
    </row>
    <row r="100" spans="1:13">
      <c r="A100" t="s">
        <v>211</v>
      </c>
      <c r="B100" t="s">
        <v>169</v>
      </c>
      <c r="C100" t="s">
        <v>49</v>
      </c>
      <c r="D100" t="s">
        <v>115</v>
      </c>
      <c r="E100" t="s">
        <v>51</v>
      </c>
      <c r="F100" s="3">
        <v>0.21414970597729219</v>
      </c>
      <c r="G100" s="3">
        <v>2.0510806573056568</v>
      </c>
      <c r="H100" s="3">
        <v>0.39470370370370372</v>
      </c>
      <c r="I100" s="3">
        <v>-4.1368254647121593E-2</v>
      </c>
      <c r="J100" s="3">
        <v>6.1669829222011377E-2</v>
      </c>
      <c r="K100" s="3">
        <v>2.1693121693121691E-2</v>
      </c>
      <c r="L100" s="3">
        <v>0.24</v>
      </c>
      <c r="M100" t="s">
        <v>174</v>
      </c>
    </row>
    <row r="101" spans="1:13">
      <c r="A101" t="s">
        <v>211</v>
      </c>
      <c r="B101" t="s">
        <v>169</v>
      </c>
      <c r="C101" t="s">
        <v>49</v>
      </c>
      <c r="D101" t="s">
        <v>117</v>
      </c>
      <c r="E101" t="s">
        <v>51</v>
      </c>
      <c r="F101" s="3">
        <v>0.43976470588235289</v>
      </c>
      <c r="G101" s="3">
        <v>8.0078138655462201</v>
      </c>
      <c r="H101" s="3">
        <v>0.74324867724867727</v>
      </c>
      <c r="I101" s="3">
        <v>0.17619190641813509</v>
      </c>
      <c r="J101" s="3">
        <v>0.25083612040133779</v>
      </c>
      <c r="K101" s="3">
        <v>0.1542857142857143</v>
      </c>
      <c r="L101" s="3">
        <v>0.3</v>
      </c>
      <c r="M101" t="s">
        <v>175</v>
      </c>
    </row>
    <row r="102" spans="1:13">
      <c r="A102" t="s">
        <v>211</v>
      </c>
      <c r="B102" t="s">
        <v>169</v>
      </c>
      <c r="C102" t="s">
        <v>68</v>
      </c>
      <c r="D102" t="s">
        <v>108</v>
      </c>
      <c r="E102" t="s">
        <v>51</v>
      </c>
      <c r="F102" s="3">
        <v>0.5388351648351648</v>
      </c>
      <c r="G102" s="3">
        <v>10.5748978021978</v>
      </c>
      <c r="H102" s="3">
        <v>0.77559788359788373</v>
      </c>
      <c r="I102" s="3">
        <v>0.29938304151798362</v>
      </c>
      <c r="J102" s="3">
        <v>0.37089133089133092</v>
      </c>
      <c r="K102" s="3">
        <v>0.34285714285714292</v>
      </c>
      <c r="L102" s="3">
        <v>0.57999999999999996</v>
      </c>
      <c r="M102" t="s">
        <v>176</v>
      </c>
    </row>
    <row r="103" spans="1:13">
      <c r="A103" t="s">
        <v>211</v>
      </c>
      <c r="B103" t="s">
        <v>169</v>
      </c>
      <c r="C103" t="s">
        <v>68</v>
      </c>
      <c r="D103" t="s">
        <v>110</v>
      </c>
      <c r="E103" t="s">
        <v>51</v>
      </c>
      <c r="F103" s="3">
        <v>0.56449917898193758</v>
      </c>
      <c r="G103" s="3">
        <v>10.22159523809524</v>
      </c>
      <c r="H103" s="3">
        <v>0.86282539682539683</v>
      </c>
      <c r="I103" s="3">
        <v>9.7479504759489438E-2</v>
      </c>
      <c r="J103" s="3">
        <v>0.17316017316017321</v>
      </c>
      <c r="K103" s="3">
        <v>0.12689655172413791</v>
      </c>
      <c r="L103" s="3">
        <v>0.35</v>
      </c>
      <c r="M103" t="s">
        <v>177</v>
      </c>
    </row>
    <row r="104" spans="1:13">
      <c r="A104" t="s">
        <v>211</v>
      </c>
      <c r="B104" t="s">
        <v>169</v>
      </c>
      <c r="C104" t="s">
        <v>68</v>
      </c>
      <c r="D104" t="s">
        <v>112</v>
      </c>
      <c r="E104" t="s">
        <v>51</v>
      </c>
      <c r="F104" s="3">
        <v>0.25361789321789319</v>
      </c>
      <c r="G104" s="3">
        <v>2.5188211544011541</v>
      </c>
      <c r="H104" s="3">
        <v>0.47191005291005289</v>
      </c>
      <c r="I104" s="3">
        <v>0.17446699538351551</v>
      </c>
      <c r="J104" s="3">
        <v>0.28942307692307689</v>
      </c>
      <c r="K104" s="3">
        <v>0.20555555555555549</v>
      </c>
      <c r="L104" s="3">
        <v>0.43</v>
      </c>
      <c r="M104" t="s">
        <v>178</v>
      </c>
    </row>
    <row r="105" spans="1:13">
      <c r="A105" t="s">
        <v>211</v>
      </c>
      <c r="B105" t="s">
        <v>169</v>
      </c>
      <c r="C105" t="s">
        <v>68</v>
      </c>
      <c r="D105" t="s">
        <v>66</v>
      </c>
      <c r="E105" t="s">
        <v>51</v>
      </c>
      <c r="F105" s="3">
        <v>0.6533121693121694</v>
      </c>
      <c r="G105" s="3">
        <v>10.75082169312169</v>
      </c>
      <c r="H105" s="3">
        <v>0.87408465608465613</v>
      </c>
      <c r="I105" s="3">
        <v>0.29163864821559837</v>
      </c>
      <c r="J105" s="3">
        <v>0.31244118200639942</v>
      </c>
      <c r="K105" s="3">
        <v>0.34285714285714292</v>
      </c>
      <c r="L105" s="3">
        <v>0.44000000000000011</v>
      </c>
      <c r="M105" t="s">
        <v>179</v>
      </c>
    </row>
    <row r="106" spans="1:13">
      <c r="A106" t="s">
        <v>211</v>
      </c>
      <c r="B106" t="s">
        <v>169</v>
      </c>
      <c r="C106" t="s">
        <v>68</v>
      </c>
      <c r="D106" t="s">
        <v>115</v>
      </c>
      <c r="E106" t="s">
        <v>51</v>
      </c>
      <c r="F106" s="3">
        <v>0.41586509574590069</v>
      </c>
      <c r="G106" s="3">
        <v>4.6661075650728128</v>
      </c>
      <c r="H106" s="3">
        <v>0.62019576719576719</v>
      </c>
      <c r="I106" s="3">
        <v>0.1489215782632817</v>
      </c>
      <c r="J106" s="3">
        <v>0.1444444444444444</v>
      </c>
      <c r="K106" s="3">
        <v>0.2076923076923077</v>
      </c>
      <c r="L106" s="3">
        <v>0.3</v>
      </c>
      <c r="M106" t="s">
        <v>180</v>
      </c>
    </row>
    <row r="107" spans="1:13">
      <c r="A107" t="s">
        <v>211</v>
      </c>
      <c r="B107" t="s">
        <v>169</v>
      </c>
      <c r="C107" t="s">
        <v>68</v>
      </c>
      <c r="D107" t="s">
        <v>117</v>
      </c>
      <c r="E107" t="s">
        <v>51</v>
      </c>
      <c r="F107" s="3">
        <v>0.5072910216718266</v>
      </c>
      <c r="G107" s="3">
        <v>6.7532291021671824</v>
      </c>
      <c r="H107" s="3">
        <v>0.74508994708994725</v>
      </c>
      <c r="I107" s="3">
        <v>0.37248003212307751</v>
      </c>
      <c r="J107" s="3">
        <v>0.4138120333772507</v>
      </c>
      <c r="K107" s="3">
        <v>0.42539682539682527</v>
      </c>
      <c r="L107" s="3">
        <v>0.57999999999999996</v>
      </c>
      <c r="M107" t="s">
        <v>181</v>
      </c>
    </row>
    <row r="108" spans="1:13">
      <c r="A108" t="s">
        <v>211</v>
      </c>
      <c r="B108" t="s">
        <v>169</v>
      </c>
      <c r="C108" t="s">
        <v>75</v>
      </c>
      <c r="D108" t="s">
        <v>108</v>
      </c>
      <c r="E108" t="s">
        <v>51</v>
      </c>
      <c r="F108" s="3">
        <v>0.5381684981684981</v>
      </c>
      <c r="G108" s="3">
        <v>10.571031135531131</v>
      </c>
      <c r="H108" s="3">
        <v>0.78393121693121703</v>
      </c>
      <c r="I108" s="3">
        <v>0.31049188518462278</v>
      </c>
      <c r="J108" s="3">
        <v>0.3611111111111111</v>
      </c>
      <c r="K108" s="3">
        <v>0.36</v>
      </c>
      <c r="L108" s="3">
        <v>0.57999999999999996</v>
      </c>
      <c r="M108" t="s">
        <v>182</v>
      </c>
    </row>
    <row r="109" spans="1:13">
      <c r="A109" t="s">
        <v>211</v>
      </c>
      <c r="B109" t="s">
        <v>169</v>
      </c>
      <c r="C109" t="s">
        <v>75</v>
      </c>
      <c r="D109" t="s">
        <v>110</v>
      </c>
      <c r="E109" t="s">
        <v>51</v>
      </c>
      <c r="F109" s="3">
        <v>0.49222906403940891</v>
      </c>
      <c r="G109" s="3">
        <v>9.0226369047619048</v>
      </c>
      <c r="H109" s="3">
        <v>0.80553439153439155</v>
      </c>
      <c r="I109" s="3">
        <v>0.1709414380708153</v>
      </c>
      <c r="J109" s="3">
        <v>0.22378129117259549</v>
      </c>
      <c r="K109" s="3">
        <v>0.22356321839080459</v>
      </c>
      <c r="L109" s="3">
        <v>0.39</v>
      </c>
      <c r="M109" t="s">
        <v>183</v>
      </c>
    </row>
    <row r="110" spans="1:13">
      <c r="A110" t="s">
        <v>211</v>
      </c>
      <c r="B110" t="s">
        <v>169</v>
      </c>
      <c r="C110" t="s">
        <v>75</v>
      </c>
      <c r="D110" t="s">
        <v>112</v>
      </c>
      <c r="E110" t="s">
        <v>51</v>
      </c>
      <c r="F110" s="3">
        <v>0.19173960636886331</v>
      </c>
      <c r="G110" s="3">
        <v>2.2167647777532058</v>
      </c>
      <c r="H110" s="3">
        <v>0.57306349206349205</v>
      </c>
      <c r="I110" s="3">
        <v>9.8776054239916811E-2</v>
      </c>
      <c r="J110" s="3">
        <v>0.28749999999999998</v>
      </c>
      <c r="K110" s="3">
        <v>0.1095238095238095</v>
      </c>
      <c r="L110" s="3">
        <v>0.55000000000000004</v>
      </c>
      <c r="M110" t="s">
        <v>184</v>
      </c>
    </row>
    <row r="111" spans="1:13">
      <c r="A111" t="s">
        <v>211</v>
      </c>
      <c r="B111" t="s">
        <v>169</v>
      </c>
      <c r="C111" t="s">
        <v>75</v>
      </c>
      <c r="D111" t="s">
        <v>66</v>
      </c>
      <c r="E111" t="s">
        <v>51</v>
      </c>
      <c r="F111" s="3">
        <v>0.56304761904761902</v>
      </c>
      <c r="G111" s="3">
        <v>7.9194857142857149</v>
      </c>
      <c r="H111" s="3">
        <v>0.86523809523809514</v>
      </c>
      <c r="I111" s="3">
        <v>0.23401749173558431</v>
      </c>
      <c r="J111" s="3">
        <v>0.28186758893280628</v>
      </c>
      <c r="K111" s="3">
        <v>0.23095238095238091</v>
      </c>
      <c r="L111" s="3">
        <v>0.44000000000000011</v>
      </c>
      <c r="M111" t="s">
        <v>185</v>
      </c>
    </row>
    <row r="112" spans="1:13">
      <c r="A112" t="s">
        <v>211</v>
      </c>
      <c r="B112" t="s">
        <v>169</v>
      </c>
      <c r="C112" t="s">
        <v>75</v>
      </c>
      <c r="D112" t="s">
        <v>115</v>
      </c>
      <c r="E112" t="s">
        <v>51</v>
      </c>
      <c r="F112" s="3">
        <v>0.40385670462908319</v>
      </c>
      <c r="G112" s="3">
        <v>4.5829294343527076</v>
      </c>
      <c r="H112" s="3">
        <v>0.60519576719576729</v>
      </c>
      <c r="I112" s="3">
        <v>0.1533344024715132</v>
      </c>
      <c r="J112" s="3">
        <v>0.1468253968253968</v>
      </c>
      <c r="K112" s="3">
        <v>0.20833333333333329</v>
      </c>
      <c r="L112" s="3">
        <v>0.3</v>
      </c>
      <c r="M112" t="s">
        <v>186</v>
      </c>
    </row>
    <row r="113" spans="1:13">
      <c r="A113" t="s">
        <v>211</v>
      </c>
      <c r="B113" t="s">
        <v>169</v>
      </c>
      <c r="C113" t="s">
        <v>75</v>
      </c>
      <c r="D113" t="s">
        <v>117</v>
      </c>
      <c r="E113" t="s">
        <v>51</v>
      </c>
      <c r="F113" s="3">
        <v>0.47695055821371612</v>
      </c>
      <c r="G113" s="3">
        <v>5.7867904306220099</v>
      </c>
      <c r="H113" s="3">
        <v>0.71029100529100531</v>
      </c>
      <c r="I113" s="3">
        <v>0.29794641956669171</v>
      </c>
      <c r="J113" s="3">
        <v>0.36835748792270528</v>
      </c>
      <c r="K113" s="3">
        <v>0.41428571428571431</v>
      </c>
      <c r="L113" s="3">
        <v>0.38</v>
      </c>
      <c r="M113" t="s">
        <v>187</v>
      </c>
    </row>
    <row r="114" spans="1:13">
      <c r="A114" t="s">
        <v>211</v>
      </c>
      <c r="B114" t="s">
        <v>188</v>
      </c>
      <c r="C114" t="s">
        <v>49</v>
      </c>
      <c r="D114" t="s">
        <v>108</v>
      </c>
      <c r="E114" t="s">
        <v>51</v>
      </c>
      <c r="F114" s="3">
        <v>0.38731116709377578</v>
      </c>
      <c r="G114" s="3">
        <v>7.9028171068062374</v>
      </c>
      <c r="H114" s="3">
        <v>0.73099470899470897</v>
      </c>
      <c r="I114" s="3">
        <v>0.31733977819644138</v>
      </c>
      <c r="J114" s="3">
        <v>0.44465608465608458</v>
      </c>
      <c r="K114" s="3">
        <v>0.3292250233426704</v>
      </c>
      <c r="L114" s="3">
        <v>0.64</v>
      </c>
      <c r="M114" t="s">
        <v>189</v>
      </c>
    </row>
    <row r="115" spans="1:13">
      <c r="A115" t="s">
        <v>211</v>
      </c>
      <c r="B115" t="s">
        <v>188</v>
      </c>
      <c r="C115" t="s">
        <v>49</v>
      </c>
      <c r="D115" t="s">
        <v>110</v>
      </c>
      <c r="E115" t="s">
        <v>51</v>
      </c>
      <c r="F115" s="3">
        <v>0.1623070607553366</v>
      </c>
      <c r="G115" s="3">
        <v>1.5267261904761911</v>
      </c>
      <c r="H115" s="3">
        <v>0.52789947089947087</v>
      </c>
      <c r="I115" s="3">
        <v>0.12961481396815719</v>
      </c>
      <c r="J115" s="3">
        <v>0.19696969696969699</v>
      </c>
      <c r="K115" s="3">
        <v>0.10689655172413789</v>
      </c>
      <c r="L115" s="3">
        <v>0.4</v>
      </c>
      <c r="M115" t="s">
        <v>190</v>
      </c>
    </row>
    <row r="116" spans="1:13">
      <c r="A116" t="s">
        <v>211</v>
      </c>
      <c r="B116" t="s">
        <v>188</v>
      </c>
      <c r="C116" t="s">
        <v>49</v>
      </c>
      <c r="D116" t="s">
        <v>112</v>
      </c>
      <c r="E116" t="s">
        <v>51</v>
      </c>
      <c r="F116" s="3">
        <v>0.1377432328593319</v>
      </c>
      <c r="G116" s="3">
        <v>1.6665852275519459</v>
      </c>
      <c r="H116" s="3">
        <v>0.50800529100529102</v>
      </c>
      <c r="I116" s="3">
        <v>-1.4830279270452249E-2</v>
      </c>
      <c r="J116" s="3">
        <v>0.15257352941176469</v>
      </c>
      <c r="K116" s="3">
        <v>6.6071428571428573E-2</v>
      </c>
      <c r="L116" s="3">
        <v>0.23</v>
      </c>
      <c r="M116" t="s">
        <v>191</v>
      </c>
    </row>
    <row r="117" spans="1:13">
      <c r="A117" t="s">
        <v>211</v>
      </c>
      <c r="B117" t="s">
        <v>188</v>
      </c>
      <c r="C117" t="s">
        <v>49</v>
      </c>
      <c r="D117" t="s">
        <v>66</v>
      </c>
      <c r="E117" t="s">
        <v>51</v>
      </c>
      <c r="F117" s="3">
        <v>0.30530680388097259</v>
      </c>
      <c r="G117" s="3">
        <v>4.7885811462266066</v>
      </c>
      <c r="H117" s="3">
        <v>0.68697883597883602</v>
      </c>
      <c r="I117" s="3">
        <v>8.5187701606526445E-2</v>
      </c>
      <c r="J117" s="3">
        <v>0.16</v>
      </c>
      <c r="K117" s="3">
        <v>8.8888888888888878E-2</v>
      </c>
      <c r="L117" s="3">
        <v>0.2</v>
      </c>
      <c r="M117" t="s">
        <v>192</v>
      </c>
    </row>
    <row r="118" spans="1:13">
      <c r="A118" t="s">
        <v>211</v>
      </c>
      <c r="B118" t="s">
        <v>188</v>
      </c>
      <c r="C118" t="s">
        <v>49</v>
      </c>
      <c r="D118" t="s">
        <v>115</v>
      </c>
      <c r="E118" t="s">
        <v>51</v>
      </c>
      <c r="F118" s="3">
        <v>0.2440490356325597</v>
      </c>
      <c r="G118" s="3">
        <v>2.9719378228179152</v>
      </c>
      <c r="H118" s="3">
        <v>0.58154497354497359</v>
      </c>
      <c r="I118" s="3">
        <v>5.3437677703301011E-2</v>
      </c>
      <c r="J118" s="3">
        <v>0.17989417989417991</v>
      </c>
      <c r="K118" s="3">
        <v>0.12869565217391299</v>
      </c>
      <c r="L118" s="3">
        <v>0.35</v>
      </c>
      <c r="M118" t="s">
        <v>193</v>
      </c>
    </row>
    <row r="119" spans="1:13">
      <c r="A119" t="s">
        <v>211</v>
      </c>
      <c r="B119" t="s">
        <v>188</v>
      </c>
      <c r="C119" t="s">
        <v>49</v>
      </c>
      <c r="D119" t="s">
        <v>117</v>
      </c>
      <c r="E119" t="s">
        <v>51</v>
      </c>
      <c r="F119" s="3">
        <v>0.35083551639279198</v>
      </c>
      <c r="G119" s="3">
        <v>5.64776266174486</v>
      </c>
      <c r="H119" s="3">
        <v>0.80662433862433858</v>
      </c>
      <c r="I119" s="3">
        <v>0.12263947056925879</v>
      </c>
      <c r="J119" s="3">
        <v>0.18633540372670809</v>
      </c>
      <c r="K119" s="3">
        <v>7.7192982456140341E-2</v>
      </c>
      <c r="L119" s="3">
        <v>0.4</v>
      </c>
      <c r="M119" t="s">
        <v>194</v>
      </c>
    </row>
    <row r="120" spans="1:13">
      <c r="A120" t="s">
        <v>211</v>
      </c>
      <c r="B120" t="s">
        <v>188</v>
      </c>
      <c r="C120" t="s">
        <v>68</v>
      </c>
      <c r="D120" t="s">
        <v>108</v>
      </c>
      <c r="E120" t="s">
        <v>51</v>
      </c>
      <c r="F120" s="3">
        <v>0.4508041147493479</v>
      </c>
      <c r="G120" s="3">
        <v>6.5060455182072818</v>
      </c>
      <c r="H120" s="3">
        <v>0.75942328042328044</v>
      </c>
      <c r="I120" s="3">
        <v>0.35428251028584318</v>
      </c>
      <c r="J120" s="3">
        <v>0.43109064848195289</v>
      </c>
      <c r="K120" s="3">
        <v>0.33052631578947372</v>
      </c>
      <c r="L120" s="3">
        <v>0.61</v>
      </c>
      <c r="M120" t="s">
        <v>195</v>
      </c>
    </row>
    <row r="121" spans="1:13">
      <c r="A121" t="s">
        <v>211</v>
      </c>
      <c r="B121" t="s">
        <v>188</v>
      </c>
      <c r="C121" t="s">
        <v>68</v>
      </c>
      <c r="D121" t="s">
        <v>110</v>
      </c>
      <c r="E121" t="s">
        <v>51</v>
      </c>
      <c r="F121" s="3">
        <v>0.59412643678160915</v>
      </c>
      <c r="G121" s="3">
        <v>9.4509333333333334</v>
      </c>
      <c r="H121" s="3">
        <v>0.83555555555555561</v>
      </c>
      <c r="I121" s="3">
        <v>0.28280786712108252</v>
      </c>
      <c r="J121" s="3">
        <v>0.27792207792207801</v>
      </c>
      <c r="K121" s="3">
        <v>0.40689655172413791</v>
      </c>
      <c r="L121" s="3">
        <v>0.44000000000000011</v>
      </c>
      <c r="M121" t="s">
        <v>196</v>
      </c>
    </row>
    <row r="122" spans="1:13">
      <c r="A122" t="s">
        <v>211</v>
      </c>
      <c r="B122" t="s">
        <v>188</v>
      </c>
      <c r="C122" t="s">
        <v>68</v>
      </c>
      <c r="D122" t="s">
        <v>112</v>
      </c>
      <c r="E122" t="s">
        <v>51</v>
      </c>
      <c r="F122" s="3">
        <v>0.17531199192963901</v>
      </c>
      <c r="G122" s="3">
        <v>1.656568052045994</v>
      </c>
      <c r="H122" s="3">
        <v>0.41095238095238101</v>
      </c>
      <c r="I122" s="3">
        <v>2.6463303783284681E-2</v>
      </c>
      <c r="J122" s="3">
        <v>0.18714285714285711</v>
      </c>
      <c r="K122" s="3">
        <v>0.13</v>
      </c>
      <c r="L122" s="3">
        <v>0.23</v>
      </c>
      <c r="M122" t="s">
        <v>197</v>
      </c>
    </row>
    <row r="123" spans="1:13">
      <c r="A123" t="s">
        <v>211</v>
      </c>
      <c r="B123" t="s">
        <v>188</v>
      </c>
      <c r="C123" t="s">
        <v>68</v>
      </c>
      <c r="D123" t="s">
        <v>66</v>
      </c>
      <c r="E123" t="s">
        <v>51</v>
      </c>
      <c r="F123" s="3">
        <v>0.66912962962962974</v>
      </c>
      <c r="G123" s="3">
        <v>11.57360462962963</v>
      </c>
      <c r="H123" s="3">
        <v>0.87889417989417995</v>
      </c>
      <c r="I123" s="3">
        <v>0.28642396807933518</v>
      </c>
      <c r="J123" s="3">
        <v>0.31428571428571428</v>
      </c>
      <c r="K123" s="3">
        <v>0.33333333333333343</v>
      </c>
      <c r="L123" s="3">
        <v>0.44000000000000011</v>
      </c>
      <c r="M123" t="s">
        <v>198</v>
      </c>
    </row>
    <row r="124" spans="1:13">
      <c r="A124" t="s">
        <v>211</v>
      </c>
      <c r="B124" t="s">
        <v>188</v>
      </c>
      <c r="C124" t="s">
        <v>68</v>
      </c>
      <c r="D124" t="s">
        <v>115</v>
      </c>
      <c r="E124" t="s">
        <v>51</v>
      </c>
      <c r="F124" s="3">
        <v>0.32167572079336793</v>
      </c>
      <c r="G124" s="3">
        <v>2.6577023455846991</v>
      </c>
      <c r="H124" s="3">
        <v>0.58566137566137555</v>
      </c>
      <c r="I124" s="3">
        <v>0.1525899161381305</v>
      </c>
      <c r="J124" s="3">
        <v>0.15789473684210531</v>
      </c>
      <c r="K124" s="3">
        <v>0.2</v>
      </c>
      <c r="L124" s="3">
        <v>0.15</v>
      </c>
      <c r="M124" t="s">
        <v>199</v>
      </c>
    </row>
    <row r="125" spans="1:13">
      <c r="A125" t="s">
        <v>211</v>
      </c>
      <c r="B125" t="s">
        <v>188</v>
      </c>
      <c r="C125" t="s">
        <v>68</v>
      </c>
      <c r="D125" t="s">
        <v>117</v>
      </c>
      <c r="E125" t="s">
        <v>51</v>
      </c>
      <c r="F125" s="3">
        <v>0.44710140736456527</v>
      </c>
      <c r="G125" s="3">
        <v>5.903570030846347</v>
      </c>
      <c r="H125" s="3">
        <v>0.76355555555555554</v>
      </c>
      <c r="I125" s="3">
        <v>0.22967432007279859</v>
      </c>
      <c r="J125" s="3">
        <v>0.25</v>
      </c>
      <c r="K125" s="3">
        <v>0.30833333333333329</v>
      </c>
      <c r="L125" s="3">
        <v>0.44000000000000011</v>
      </c>
      <c r="M125" t="s">
        <v>200</v>
      </c>
    </row>
    <row r="126" spans="1:13">
      <c r="A126" t="s">
        <v>211</v>
      </c>
      <c r="B126" t="s">
        <v>188</v>
      </c>
      <c r="C126" t="s">
        <v>75</v>
      </c>
      <c r="D126" t="s">
        <v>108</v>
      </c>
      <c r="E126" t="s">
        <v>51</v>
      </c>
      <c r="F126" s="3">
        <v>0.56717640912164236</v>
      </c>
      <c r="G126" s="3">
        <v>9.517011319073081</v>
      </c>
      <c r="H126" s="3">
        <v>0.8022328042328043</v>
      </c>
      <c r="I126" s="3">
        <v>0.33074034129316637</v>
      </c>
      <c r="J126" s="3">
        <v>0.41590909090909089</v>
      </c>
      <c r="K126" s="3">
        <v>0.31119047619047618</v>
      </c>
      <c r="L126" s="3">
        <v>0.61</v>
      </c>
      <c r="M126" t="s">
        <v>201</v>
      </c>
    </row>
    <row r="127" spans="1:13">
      <c r="A127" t="s">
        <v>211</v>
      </c>
      <c r="B127" t="s">
        <v>188</v>
      </c>
      <c r="C127" t="s">
        <v>75</v>
      </c>
      <c r="D127" t="s">
        <v>110</v>
      </c>
      <c r="E127" t="s">
        <v>51</v>
      </c>
      <c r="F127" s="3">
        <v>0.50251532567049817</v>
      </c>
      <c r="G127" s="3">
        <v>8.717797222222222</v>
      </c>
      <c r="H127" s="3">
        <v>0.80501851851851858</v>
      </c>
      <c r="I127" s="3">
        <v>0.17527121840165311</v>
      </c>
      <c r="J127" s="3">
        <v>0.2207792207792208</v>
      </c>
      <c r="K127" s="3">
        <v>0.16689655172413789</v>
      </c>
      <c r="L127" s="3">
        <v>0.4</v>
      </c>
      <c r="M127" t="s">
        <v>202</v>
      </c>
    </row>
    <row r="128" spans="1:13">
      <c r="A128" t="s">
        <v>211</v>
      </c>
      <c r="B128" t="s">
        <v>188</v>
      </c>
      <c r="C128" t="s">
        <v>75</v>
      </c>
      <c r="D128" t="s">
        <v>112</v>
      </c>
      <c r="E128" t="s">
        <v>51</v>
      </c>
      <c r="F128" s="3">
        <v>0.17431077027705619</v>
      </c>
      <c r="G128" s="3">
        <v>2.403390238504759</v>
      </c>
      <c r="H128" s="3">
        <v>0.51928042328042334</v>
      </c>
      <c r="I128" s="3">
        <v>9.6465437146400993E-3</v>
      </c>
      <c r="J128" s="3">
        <v>0.174025974025974</v>
      </c>
      <c r="K128" s="3">
        <v>0.08</v>
      </c>
      <c r="L128" s="3">
        <v>0.33</v>
      </c>
      <c r="M128" t="s">
        <v>203</v>
      </c>
    </row>
    <row r="129" spans="1:13">
      <c r="A129" t="s">
        <v>211</v>
      </c>
      <c r="B129" t="s">
        <v>188</v>
      </c>
      <c r="C129" t="s">
        <v>75</v>
      </c>
      <c r="D129" t="s">
        <v>66</v>
      </c>
      <c r="E129" t="s">
        <v>51</v>
      </c>
      <c r="F129" s="3">
        <v>0.55008187134502928</v>
      </c>
      <c r="G129" s="3">
        <v>7.8592204678362574</v>
      </c>
      <c r="H129" s="3">
        <v>0.89157142857142857</v>
      </c>
      <c r="I129" s="3">
        <v>0.27365992465881922</v>
      </c>
      <c r="J129" s="3">
        <v>0.29761904761904762</v>
      </c>
      <c r="K129" s="3">
        <v>0.32500000000000001</v>
      </c>
      <c r="L129" s="3">
        <v>0.44000000000000011</v>
      </c>
      <c r="M129" t="s">
        <v>204</v>
      </c>
    </row>
    <row r="130" spans="1:13">
      <c r="A130" t="s">
        <v>211</v>
      </c>
      <c r="B130" t="s">
        <v>188</v>
      </c>
      <c r="C130" t="s">
        <v>75</v>
      </c>
      <c r="D130" t="s">
        <v>115</v>
      </c>
      <c r="E130" t="s">
        <v>51</v>
      </c>
      <c r="F130" s="3">
        <v>0.32255977830119698</v>
      </c>
      <c r="G130" s="3">
        <v>2.6427893447852262</v>
      </c>
      <c r="H130" s="3">
        <v>0.54153968253968254</v>
      </c>
      <c r="I130" s="3">
        <v>0.14852148348612829</v>
      </c>
      <c r="J130" s="3">
        <v>0.15789473684210531</v>
      </c>
      <c r="K130" s="3">
        <v>0.2</v>
      </c>
      <c r="L130" s="3">
        <v>0.15</v>
      </c>
      <c r="M130" t="s">
        <v>205</v>
      </c>
    </row>
    <row r="131" spans="1:13">
      <c r="A131" t="s">
        <v>211</v>
      </c>
      <c r="B131" t="s">
        <v>188</v>
      </c>
      <c r="C131" t="s">
        <v>75</v>
      </c>
      <c r="D131" t="s">
        <v>117</v>
      </c>
      <c r="E131" t="s">
        <v>51</v>
      </c>
      <c r="F131" s="3">
        <v>0.37876190476190469</v>
      </c>
      <c r="G131" s="3">
        <v>4.1367119047619054</v>
      </c>
      <c r="H131" s="3">
        <v>0.70197883597883592</v>
      </c>
      <c r="I131" s="3">
        <v>0.1696778363502956</v>
      </c>
      <c r="J131" s="3">
        <v>0.2121212121212121</v>
      </c>
      <c r="K131" s="3">
        <v>0.2</v>
      </c>
      <c r="L131" s="3">
        <v>0.24</v>
      </c>
      <c r="M131" t="s">
        <v>206</v>
      </c>
    </row>
  </sheetData>
  <autoFilter ref="A1:M131" xr:uid="{00000000-0009-0000-0000-000007000000}"/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6"/>
  <sheetViews>
    <sheetView workbookViewId="0">
      <pane ySplit="1" topLeftCell="A2" activePane="bottomLeft" state="frozen"/>
      <selection pane="bottomLeft"/>
    </sheetView>
  </sheetViews>
  <sheetFormatPr defaultRowHeight="16.5"/>
  <cols>
    <col min="1" max="3" width="10" customWidth="1"/>
    <col min="4" max="4" width="20" customWidth="1"/>
    <col min="5" max="5" width="19" customWidth="1"/>
    <col min="6" max="6" width="15" customWidth="1"/>
    <col min="7" max="7" width="13" customWidth="1"/>
    <col min="8" max="8" width="10" customWidth="1"/>
    <col min="9" max="9" width="65" customWidth="1"/>
  </cols>
  <sheetData>
    <row r="1" spans="1:9">
      <c r="A1" s="1" t="s">
        <v>212</v>
      </c>
      <c r="B1" s="1" t="s">
        <v>106</v>
      </c>
      <c r="C1" s="1" t="s">
        <v>36</v>
      </c>
      <c r="D1" s="1" t="s">
        <v>38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48</v>
      </c>
    </row>
    <row r="2" spans="1:9">
      <c r="A2" t="s">
        <v>217</v>
      </c>
      <c r="B2" t="s">
        <v>209</v>
      </c>
      <c r="C2" t="s">
        <v>49</v>
      </c>
      <c r="D2" t="s">
        <v>51</v>
      </c>
      <c r="E2" t="s">
        <v>52</v>
      </c>
      <c r="F2" s="2">
        <v>1</v>
      </c>
      <c r="G2" s="2">
        <v>1</v>
      </c>
      <c r="H2" s="2">
        <v>8</v>
      </c>
      <c r="I2" t="s">
        <v>218</v>
      </c>
    </row>
    <row r="3" spans="1:9">
      <c r="A3" t="s">
        <v>217</v>
      </c>
      <c r="B3" t="s">
        <v>209</v>
      </c>
      <c r="C3" t="s">
        <v>49</v>
      </c>
      <c r="D3" t="s">
        <v>51</v>
      </c>
      <c r="E3" t="s">
        <v>54</v>
      </c>
      <c r="F3" s="2">
        <v>5</v>
      </c>
      <c r="G3" s="2">
        <v>2</v>
      </c>
      <c r="H3" s="2">
        <v>8</v>
      </c>
      <c r="I3" t="s">
        <v>218</v>
      </c>
    </row>
    <row r="4" spans="1:9">
      <c r="A4" t="s">
        <v>217</v>
      </c>
      <c r="B4" t="s">
        <v>209</v>
      </c>
      <c r="C4" t="s">
        <v>49</v>
      </c>
      <c r="D4" t="s">
        <v>51</v>
      </c>
      <c r="E4" t="s">
        <v>55</v>
      </c>
      <c r="F4" s="2">
        <v>4</v>
      </c>
      <c r="G4" s="2">
        <v>2</v>
      </c>
      <c r="H4" s="2">
        <v>8</v>
      </c>
      <c r="I4" t="s">
        <v>218</v>
      </c>
    </row>
    <row r="5" spans="1:9">
      <c r="A5" t="s">
        <v>217</v>
      </c>
      <c r="B5" t="s">
        <v>209</v>
      </c>
      <c r="C5" t="s">
        <v>49</v>
      </c>
      <c r="D5" t="s">
        <v>51</v>
      </c>
      <c r="E5" t="s">
        <v>56</v>
      </c>
      <c r="F5" s="2">
        <v>2</v>
      </c>
      <c r="G5" s="2">
        <v>1</v>
      </c>
      <c r="H5" s="2">
        <v>8</v>
      </c>
      <c r="I5" t="s">
        <v>218</v>
      </c>
    </row>
    <row r="6" spans="1:9">
      <c r="A6" t="s">
        <v>217</v>
      </c>
      <c r="B6" t="s">
        <v>209</v>
      </c>
      <c r="C6" t="s">
        <v>49</v>
      </c>
      <c r="D6" t="s">
        <v>51</v>
      </c>
      <c r="E6" t="s">
        <v>57</v>
      </c>
      <c r="F6" s="2">
        <v>1</v>
      </c>
      <c r="G6" s="2">
        <v>1</v>
      </c>
      <c r="H6" s="2">
        <v>8</v>
      </c>
      <c r="I6" t="s">
        <v>218</v>
      </c>
    </row>
    <row r="7" spans="1:9">
      <c r="A7" t="s">
        <v>217</v>
      </c>
      <c r="B7" t="s">
        <v>209</v>
      </c>
      <c r="C7" t="s">
        <v>68</v>
      </c>
      <c r="D7" t="s">
        <v>51</v>
      </c>
      <c r="E7" t="s">
        <v>52</v>
      </c>
      <c r="F7" s="2">
        <v>1</v>
      </c>
      <c r="G7" s="2">
        <v>1</v>
      </c>
      <c r="H7" s="2">
        <v>8</v>
      </c>
      <c r="I7" t="s">
        <v>219</v>
      </c>
    </row>
    <row r="8" spans="1:9">
      <c r="A8" t="s">
        <v>217</v>
      </c>
      <c r="B8" t="s">
        <v>209</v>
      </c>
      <c r="C8" t="s">
        <v>68</v>
      </c>
      <c r="D8" t="s">
        <v>51</v>
      </c>
      <c r="E8" t="s">
        <v>54</v>
      </c>
      <c r="F8" s="2">
        <v>5</v>
      </c>
      <c r="G8" s="2">
        <v>2</v>
      </c>
      <c r="H8" s="2">
        <v>8</v>
      </c>
      <c r="I8" t="s">
        <v>219</v>
      </c>
    </row>
    <row r="9" spans="1:9">
      <c r="A9" t="s">
        <v>217</v>
      </c>
      <c r="B9" t="s">
        <v>209</v>
      </c>
      <c r="C9" t="s">
        <v>68</v>
      </c>
      <c r="D9" t="s">
        <v>51</v>
      </c>
      <c r="E9" t="s">
        <v>55</v>
      </c>
      <c r="F9" s="2">
        <v>4</v>
      </c>
      <c r="G9" s="2">
        <v>2</v>
      </c>
      <c r="H9" s="2">
        <v>8</v>
      </c>
      <c r="I9" t="s">
        <v>219</v>
      </c>
    </row>
    <row r="10" spans="1:9">
      <c r="A10" t="s">
        <v>217</v>
      </c>
      <c r="B10" t="s">
        <v>209</v>
      </c>
      <c r="C10" t="s">
        <v>68</v>
      </c>
      <c r="D10" t="s">
        <v>51</v>
      </c>
      <c r="E10" t="s">
        <v>56</v>
      </c>
      <c r="F10" s="2">
        <v>2</v>
      </c>
      <c r="G10" s="2">
        <v>1</v>
      </c>
      <c r="H10" s="2">
        <v>8</v>
      </c>
      <c r="I10" t="s">
        <v>219</v>
      </c>
    </row>
    <row r="11" spans="1:9">
      <c r="A11" t="s">
        <v>217</v>
      </c>
      <c r="B11" t="s">
        <v>209</v>
      </c>
      <c r="C11" t="s">
        <v>68</v>
      </c>
      <c r="D11" t="s">
        <v>51</v>
      </c>
      <c r="E11" t="s">
        <v>57</v>
      </c>
      <c r="F11" s="2">
        <v>1</v>
      </c>
      <c r="G11" s="2">
        <v>1</v>
      </c>
      <c r="H11" s="2">
        <v>8</v>
      </c>
      <c r="I11" t="s">
        <v>219</v>
      </c>
    </row>
    <row r="12" spans="1:9">
      <c r="A12" t="s">
        <v>217</v>
      </c>
      <c r="B12" t="s">
        <v>209</v>
      </c>
      <c r="C12" t="s">
        <v>51</v>
      </c>
      <c r="D12" t="s">
        <v>220</v>
      </c>
      <c r="E12" t="s">
        <v>52</v>
      </c>
      <c r="F12" s="2">
        <v>1</v>
      </c>
      <c r="G12" s="2">
        <v>1</v>
      </c>
      <c r="H12" s="2">
        <v>8</v>
      </c>
      <c r="I12" t="s">
        <v>221</v>
      </c>
    </row>
    <row r="13" spans="1:9">
      <c r="A13" t="s">
        <v>217</v>
      </c>
      <c r="B13" t="s">
        <v>209</v>
      </c>
      <c r="C13" t="s">
        <v>51</v>
      </c>
      <c r="D13" t="s">
        <v>220</v>
      </c>
      <c r="E13" t="s">
        <v>54</v>
      </c>
      <c r="F13" s="2">
        <v>5</v>
      </c>
      <c r="G13" s="2">
        <v>2</v>
      </c>
      <c r="H13" s="2">
        <v>8</v>
      </c>
      <c r="I13" t="s">
        <v>221</v>
      </c>
    </row>
    <row r="14" spans="1:9">
      <c r="A14" t="s">
        <v>217</v>
      </c>
      <c r="B14" t="s">
        <v>209</v>
      </c>
      <c r="C14" t="s">
        <v>51</v>
      </c>
      <c r="D14" t="s">
        <v>220</v>
      </c>
      <c r="E14" t="s">
        <v>55</v>
      </c>
      <c r="F14" s="2">
        <v>4</v>
      </c>
      <c r="G14" s="2">
        <v>2</v>
      </c>
      <c r="H14" s="2">
        <v>8</v>
      </c>
      <c r="I14" t="s">
        <v>221</v>
      </c>
    </row>
    <row r="15" spans="1:9">
      <c r="A15" t="s">
        <v>217</v>
      </c>
      <c r="B15" t="s">
        <v>209</v>
      </c>
      <c r="C15" t="s">
        <v>51</v>
      </c>
      <c r="D15" t="s">
        <v>220</v>
      </c>
      <c r="E15" t="s">
        <v>56</v>
      </c>
      <c r="F15" s="2">
        <v>2</v>
      </c>
      <c r="G15" s="2">
        <v>1</v>
      </c>
      <c r="H15" s="2">
        <v>8</v>
      </c>
      <c r="I15" t="s">
        <v>221</v>
      </c>
    </row>
    <row r="16" spans="1:9">
      <c r="A16" t="s">
        <v>217</v>
      </c>
      <c r="B16" t="s">
        <v>209</v>
      </c>
      <c r="C16" t="s">
        <v>51</v>
      </c>
      <c r="D16" t="s">
        <v>220</v>
      </c>
      <c r="E16" t="s">
        <v>57</v>
      </c>
      <c r="F16" s="2">
        <v>1</v>
      </c>
      <c r="G16" s="2">
        <v>1</v>
      </c>
      <c r="H16" s="2">
        <v>8</v>
      </c>
      <c r="I16" t="s">
        <v>221</v>
      </c>
    </row>
    <row r="17" spans="1:9">
      <c r="A17" t="s">
        <v>217</v>
      </c>
      <c r="B17" t="s">
        <v>209</v>
      </c>
      <c r="C17" t="s">
        <v>75</v>
      </c>
      <c r="D17" t="s">
        <v>51</v>
      </c>
      <c r="E17" t="s">
        <v>52</v>
      </c>
      <c r="F17" s="2">
        <v>1</v>
      </c>
      <c r="G17" s="2">
        <v>1</v>
      </c>
      <c r="H17" s="2">
        <v>8</v>
      </c>
      <c r="I17" t="s">
        <v>222</v>
      </c>
    </row>
    <row r="18" spans="1:9">
      <c r="A18" t="s">
        <v>217</v>
      </c>
      <c r="B18" t="s">
        <v>209</v>
      </c>
      <c r="C18" t="s">
        <v>75</v>
      </c>
      <c r="D18" t="s">
        <v>51</v>
      </c>
      <c r="E18" t="s">
        <v>54</v>
      </c>
      <c r="F18" s="2">
        <v>5</v>
      </c>
      <c r="G18" s="2">
        <v>2</v>
      </c>
      <c r="H18" s="2">
        <v>8</v>
      </c>
      <c r="I18" t="s">
        <v>222</v>
      </c>
    </row>
    <row r="19" spans="1:9">
      <c r="A19" t="s">
        <v>217</v>
      </c>
      <c r="B19" t="s">
        <v>209</v>
      </c>
      <c r="C19" t="s">
        <v>75</v>
      </c>
      <c r="D19" t="s">
        <v>51</v>
      </c>
      <c r="E19" t="s">
        <v>55</v>
      </c>
      <c r="F19" s="2">
        <v>4</v>
      </c>
      <c r="G19" s="2">
        <v>2</v>
      </c>
      <c r="H19" s="2">
        <v>8</v>
      </c>
      <c r="I19" t="s">
        <v>222</v>
      </c>
    </row>
    <row r="20" spans="1:9">
      <c r="A20" t="s">
        <v>217</v>
      </c>
      <c r="B20" t="s">
        <v>209</v>
      </c>
      <c r="C20" t="s">
        <v>75</v>
      </c>
      <c r="D20" t="s">
        <v>51</v>
      </c>
      <c r="E20" t="s">
        <v>56</v>
      </c>
      <c r="F20" s="2">
        <v>2</v>
      </c>
      <c r="G20" s="2">
        <v>1</v>
      </c>
      <c r="H20" s="2">
        <v>8</v>
      </c>
      <c r="I20" t="s">
        <v>222</v>
      </c>
    </row>
    <row r="21" spans="1:9">
      <c r="A21" t="s">
        <v>217</v>
      </c>
      <c r="B21" t="s">
        <v>209</v>
      </c>
      <c r="C21" t="s">
        <v>75</v>
      </c>
      <c r="D21" t="s">
        <v>51</v>
      </c>
      <c r="E21" t="s">
        <v>57</v>
      </c>
      <c r="F21" s="2">
        <v>1</v>
      </c>
      <c r="G21" s="2">
        <v>1</v>
      </c>
      <c r="H21" s="2">
        <v>8</v>
      </c>
      <c r="I21" t="s">
        <v>222</v>
      </c>
    </row>
    <row r="22" spans="1:9">
      <c r="A22" t="s">
        <v>223</v>
      </c>
      <c r="B22" t="s">
        <v>188</v>
      </c>
      <c r="C22" t="s">
        <v>49</v>
      </c>
      <c r="D22" t="s">
        <v>51</v>
      </c>
      <c r="E22" t="s">
        <v>52</v>
      </c>
      <c r="F22" s="2">
        <v>1</v>
      </c>
      <c r="G22" s="2">
        <v>1</v>
      </c>
      <c r="H22" s="2">
        <v>8</v>
      </c>
      <c r="I22" t="s">
        <v>224</v>
      </c>
    </row>
    <row r="23" spans="1:9">
      <c r="A23" t="s">
        <v>223</v>
      </c>
      <c r="B23" t="s">
        <v>188</v>
      </c>
      <c r="C23" t="s">
        <v>49</v>
      </c>
      <c r="D23" t="s">
        <v>51</v>
      </c>
      <c r="E23" t="s">
        <v>54</v>
      </c>
      <c r="F23" s="2">
        <v>5</v>
      </c>
      <c r="G23" s="2">
        <v>2</v>
      </c>
      <c r="H23" s="2">
        <v>8</v>
      </c>
      <c r="I23" t="s">
        <v>224</v>
      </c>
    </row>
    <row r="24" spans="1:9">
      <c r="A24" t="s">
        <v>223</v>
      </c>
      <c r="B24" t="s">
        <v>188</v>
      </c>
      <c r="C24" t="s">
        <v>49</v>
      </c>
      <c r="D24" t="s">
        <v>51</v>
      </c>
      <c r="E24" t="s">
        <v>55</v>
      </c>
      <c r="F24" s="2">
        <v>4</v>
      </c>
      <c r="G24" s="2">
        <v>2</v>
      </c>
      <c r="H24" s="2">
        <v>8</v>
      </c>
      <c r="I24" t="s">
        <v>224</v>
      </c>
    </row>
    <row r="25" spans="1:9">
      <c r="A25" t="s">
        <v>223</v>
      </c>
      <c r="B25" t="s">
        <v>188</v>
      </c>
      <c r="C25" t="s">
        <v>49</v>
      </c>
      <c r="D25" t="s">
        <v>51</v>
      </c>
      <c r="E25" t="s">
        <v>56</v>
      </c>
      <c r="F25" s="2">
        <v>2</v>
      </c>
      <c r="G25" s="2">
        <v>1</v>
      </c>
      <c r="H25" s="2">
        <v>8</v>
      </c>
      <c r="I25" t="s">
        <v>224</v>
      </c>
    </row>
    <row r="26" spans="1:9">
      <c r="A26" t="s">
        <v>223</v>
      </c>
      <c r="B26" t="s">
        <v>188</v>
      </c>
      <c r="C26" t="s">
        <v>49</v>
      </c>
      <c r="D26" t="s">
        <v>51</v>
      </c>
      <c r="E26" t="s">
        <v>57</v>
      </c>
      <c r="F26" s="2">
        <v>1</v>
      </c>
      <c r="G26" s="2">
        <v>1</v>
      </c>
      <c r="H26" s="2">
        <v>8</v>
      </c>
      <c r="I26" t="s">
        <v>224</v>
      </c>
    </row>
    <row r="27" spans="1:9">
      <c r="A27" t="s">
        <v>223</v>
      </c>
      <c r="B27" t="s">
        <v>188</v>
      </c>
      <c r="C27" t="s">
        <v>68</v>
      </c>
      <c r="D27" t="s">
        <v>51</v>
      </c>
      <c r="E27" t="s">
        <v>52</v>
      </c>
      <c r="F27" s="2">
        <v>1</v>
      </c>
      <c r="G27" s="2">
        <v>1</v>
      </c>
      <c r="H27" s="2">
        <v>8</v>
      </c>
      <c r="I27" t="s">
        <v>225</v>
      </c>
    </row>
    <row r="28" spans="1:9">
      <c r="A28" t="s">
        <v>223</v>
      </c>
      <c r="B28" t="s">
        <v>188</v>
      </c>
      <c r="C28" t="s">
        <v>68</v>
      </c>
      <c r="D28" t="s">
        <v>51</v>
      </c>
      <c r="E28" t="s">
        <v>54</v>
      </c>
      <c r="F28" s="2">
        <v>5</v>
      </c>
      <c r="G28" s="2">
        <v>2</v>
      </c>
      <c r="H28" s="2">
        <v>8</v>
      </c>
      <c r="I28" t="s">
        <v>225</v>
      </c>
    </row>
    <row r="29" spans="1:9">
      <c r="A29" t="s">
        <v>223</v>
      </c>
      <c r="B29" t="s">
        <v>188</v>
      </c>
      <c r="C29" t="s">
        <v>68</v>
      </c>
      <c r="D29" t="s">
        <v>51</v>
      </c>
      <c r="E29" t="s">
        <v>55</v>
      </c>
      <c r="F29" s="2">
        <v>4</v>
      </c>
      <c r="G29" s="2">
        <v>2</v>
      </c>
      <c r="H29" s="2">
        <v>8</v>
      </c>
      <c r="I29" t="s">
        <v>225</v>
      </c>
    </row>
    <row r="30" spans="1:9">
      <c r="A30" t="s">
        <v>223</v>
      </c>
      <c r="B30" t="s">
        <v>188</v>
      </c>
      <c r="C30" t="s">
        <v>68</v>
      </c>
      <c r="D30" t="s">
        <v>51</v>
      </c>
      <c r="E30" t="s">
        <v>56</v>
      </c>
      <c r="F30" s="2">
        <v>2</v>
      </c>
      <c r="G30" s="2">
        <v>1</v>
      </c>
      <c r="H30" s="2">
        <v>8</v>
      </c>
      <c r="I30" t="s">
        <v>225</v>
      </c>
    </row>
    <row r="31" spans="1:9">
      <c r="A31" t="s">
        <v>223</v>
      </c>
      <c r="B31" t="s">
        <v>188</v>
      </c>
      <c r="C31" t="s">
        <v>68</v>
      </c>
      <c r="D31" t="s">
        <v>51</v>
      </c>
      <c r="E31" t="s">
        <v>57</v>
      </c>
      <c r="F31" s="2">
        <v>1</v>
      </c>
      <c r="G31" s="2">
        <v>1</v>
      </c>
      <c r="H31" s="2">
        <v>8</v>
      </c>
      <c r="I31" t="s">
        <v>225</v>
      </c>
    </row>
    <row r="32" spans="1:9">
      <c r="A32" t="s">
        <v>223</v>
      </c>
      <c r="B32" t="s">
        <v>188</v>
      </c>
      <c r="C32" t="s">
        <v>51</v>
      </c>
      <c r="D32" t="s">
        <v>220</v>
      </c>
      <c r="E32" t="s">
        <v>52</v>
      </c>
      <c r="F32" s="2">
        <v>1</v>
      </c>
      <c r="G32" s="2">
        <v>1</v>
      </c>
      <c r="H32" s="2">
        <v>8</v>
      </c>
      <c r="I32" t="s">
        <v>226</v>
      </c>
    </row>
    <row r="33" spans="1:9">
      <c r="A33" t="s">
        <v>223</v>
      </c>
      <c r="B33" t="s">
        <v>188</v>
      </c>
      <c r="C33" t="s">
        <v>51</v>
      </c>
      <c r="D33" t="s">
        <v>220</v>
      </c>
      <c r="E33" t="s">
        <v>54</v>
      </c>
      <c r="F33" s="2">
        <v>5</v>
      </c>
      <c r="G33" s="2">
        <v>2</v>
      </c>
      <c r="H33" s="2">
        <v>8</v>
      </c>
      <c r="I33" t="s">
        <v>226</v>
      </c>
    </row>
    <row r="34" spans="1:9">
      <c r="A34" t="s">
        <v>223</v>
      </c>
      <c r="B34" t="s">
        <v>188</v>
      </c>
      <c r="C34" t="s">
        <v>51</v>
      </c>
      <c r="D34" t="s">
        <v>220</v>
      </c>
      <c r="E34" t="s">
        <v>55</v>
      </c>
      <c r="F34" s="2">
        <v>4</v>
      </c>
      <c r="G34" s="2">
        <v>2</v>
      </c>
      <c r="H34" s="2">
        <v>8</v>
      </c>
      <c r="I34" t="s">
        <v>226</v>
      </c>
    </row>
    <row r="35" spans="1:9">
      <c r="A35" t="s">
        <v>223</v>
      </c>
      <c r="B35" t="s">
        <v>188</v>
      </c>
      <c r="C35" t="s">
        <v>51</v>
      </c>
      <c r="D35" t="s">
        <v>220</v>
      </c>
      <c r="E35" t="s">
        <v>56</v>
      </c>
      <c r="F35" s="2">
        <v>2</v>
      </c>
      <c r="G35" s="2">
        <v>1</v>
      </c>
      <c r="H35" s="2">
        <v>8</v>
      </c>
      <c r="I35" t="s">
        <v>226</v>
      </c>
    </row>
    <row r="36" spans="1:9">
      <c r="A36" t="s">
        <v>223</v>
      </c>
      <c r="B36" t="s">
        <v>188</v>
      </c>
      <c r="C36" t="s">
        <v>51</v>
      </c>
      <c r="D36" t="s">
        <v>220</v>
      </c>
      <c r="E36" t="s">
        <v>57</v>
      </c>
      <c r="F36" s="2">
        <v>1</v>
      </c>
      <c r="G36" s="2">
        <v>1</v>
      </c>
      <c r="H36" s="2">
        <v>8</v>
      </c>
      <c r="I36" t="s">
        <v>226</v>
      </c>
    </row>
    <row r="37" spans="1:9">
      <c r="A37" t="s">
        <v>223</v>
      </c>
      <c r="B37" t="s">
        <v>188</v>
      </c>
      <c r="C37" t="s">
        <v>75</v>
      </c>
      <c r="D37" t="s">
        <v>51</v>
      </c>
      <c r="E37" t="s">
        <v>52</v>
      </c>
      <c r="F37" s="2">
        <v>1</v>
      </c>
      <c r="G37" s="2">
        <v>1</v>
      </c>
      <c r="H37" s="2">
        <v>8</v>
      </c>
      <c r="I37" t="s">
        <v>227</v>
      </c>
    </row>
    <row r="38" spans="1:9">
      <c r="A38" t="s">
        <v>223</v>
      </c>
      <c r="B38" t="s">
        <v>188</v>
      </c>
      <c r="C38" t="s">
        <v>75</v>
      </c>
      <c r="D38" t="s">
        <v>51</v>
      </c>
      <c r="E38" t="s">
        <v>54</v>
      </c>
      <c r="F38" s="2">
        <v>5</v>
      </c>
      <c r="G38" s="2">
        <v>2</v>
      </c>
      <c r="H38" s="2">
        <v>8</v>
      </c>
      <c r="I38" t="s">
        <v>227</v>
      </c>
    </row>
    <row r="39" spans="1:9">
      <c r="A39" t="s">
        <v>223</v>
      </c>
      <c r="B39" t="s">
        <v>188</v>
      </c>
      <c r="C39" t="s">
        <v>75</v>
      </c>
      <c r="D39" t="s">
        <v>51</v>
      </c>
      <c r="E39" t="s">
        <v>55</v>
      </c>
      <c r="F39" s="2">
        <v>4</v>
      </c>
      <c r="G39" s="2">
        <v>2</v>
      </c>
      <c r="H39" s="2">
        <v>8</v>
      </c>
      <c r="I39" t="s">
        <v>227</v>
      </c>
    </row>
    <row r="40" spans="1:9">
      <c r="A40" t="s">
        <v>223</v>
      </c>
      <c r="B40" t="s">
        <v>188</v>
      </c>
      <c r="C40" t="s">
        <v>75</v>
      </c>
      <c r="D40" t="s">
        <v>51</v>
      </c>
      <c r="E40" t="s">
        <v>56</v>
      </c>
      <c r="F40" s="2">
        <v>2</v>
      </c>
      <c r="G40" s="2">
        <v>1</v>
      </c>
      <c r="H40" s="2">
        <v>8</v>
      </c>
      <c r="I40" t="s">
        <v>227</v>
      </c>
    </row>
    <row r="41" spans="1:9">
      <c r="A41" t="s">
        <v>223</v>
      </c>
      <c r="B41" t="s">
        <v>188</v>
      </c>
      <c r="C41" t="s">
        <v>75</v>
      </c>
      <c r="D41" t="s">
        <v>51</v>
      </c>
      <c r="E41" t="s">
        <v>57</v>
      </c>
      <c r="F41" s="2">
        <v>1</v>
      </c>
      <c r="G41" s="2">
        <v>1</v>
      </c>
      <c r="H41" s="2">
        <v>8</v>
      </c>
      <c r="I41" t="s">
        <v>227</v>
      </c>
    </row>
    <row r="42" spans="1:9">
      <c r="A42" t="s">
        <v>228</v>
      </c>
      <c r="B42" t="s">
        <v>131</v>
      </c>
      <c r="C42" t="s">
        <v>49</v>
      </c>
      <c r="D42" t="s">
        <v>51</v>
      </c>
      <c r="E42" t="s">
        <v>52</v>
      </c>
      <c r="F42" s="2">
        <v>1</v>
      </c>
      <c r="G42" s="2">
        <v>1</v>
      </c>
      <c r="H42" s="2">
        <v>8</v>
      </c>
      <c r="I42" t="s">
        <v>229</v>
      </c>
    </row>
    <row r="43" spans="1:9">
      <c r="A43" t="s">
        <v>228</v>
      </c>
      <c r="B43" t="s">
        <v>131</v>
      </c>
      <c r="C43" t="s">
        <v>49</v>
      </c>
      <c r="D43" t="s">
        <v>51</v>
      </c>
      <c r="E43" t="s">
        <v>54</v>
      </c>
      <c r="F43" s="2">
        <v>5</v>
      </c>
      <c r="G43" s="2">
        <v>2</v>
      </c>
      <c r="H43" s="2">
        <v>8</v>
      </c>
      <c r="I43" t="s">
        <v>229</v>
      </c>
    </row>
    <row r="44" spans="1:9">
      <c r="A44" t="s">
        <v>228</v>
      </c>
      <c r="B44" t="s">
        <v>131</v>
      </c>
      <c r="C44" t="s">
        <v>49</v>
      </c>
      <c r="D44" t="s">
        <v>51</v>
      </c>
      <c r="E44" t="s">
        <v>55</v>
      </c>
      <c r="F44" s="2">
        <v>4</v>
      </c>
      <c r="G44" s="2">
        <v>2</v>
      </c>
      <c r="H44" s="2">
        <v>8</v>
      </c>
      <c r="I44" t="s">
        <v>229</v>
      </c>
    </row>
    <row r="45" spans="1:9">
      <c r="A45" t="s">
        <v>228</v>
      </c>
      <c r="B45" t="s">
        <v>131</v>
      </c>
      <c r="C45" t="s">
        <v>49</v>
      </c>
      <c r="D45" t="s">
        <v>51</v>
      </c>
      <c r="E45" t="s">
        <v>56</v>
      </c>
      <c r="F45" s="2">
        <v>2</v>
      </c>
      <c r="G45" s="2">
        <v>1</v>
      </c>
      <c r="H45" s="2">
        <v>8</v>
      </c>
      <c r="I45" t="s">
        <v>229</v>
      </c>
    </row>
    <row r="46" spans="1:9">
      <c r="A46" t="s">
        <v>228</v>
      </c>
      <c r="B46" t="s">
        <v>131</v>
      </c>
      <c r="C46" t="s">
        <v>49</v>
      </c>
      <c r="D46" t="s">
        <v>51</v>
      </c>
      <c r="E46" t="s">
        <v>57</v>
      </c>
      <c r="F46" s="2">
        <v>1</v>
      </c>
      <c r="G46" s="2">
        <v>1</v>
      </c>
      <c r="H46" s="2">
        <v>8</v>
      </c>
      <c r="I46" t="s">
        <v>229</v>
      </c>
    </row>
    <row r="47" spans="1:9">
      <c r="A47" t="s">
        <v>228</v>
      </c>
      <c r="B47" t="s">
        <v>131</v>
      </c>
      <c r="C47" t="s">
        <v>68</v>
      </c>
      <c r="D47" t="s">
        <v>51</v>
      </c>
      <c r="E47" t="s">
        <v>52</v>
      </c>
      <c r="F47" s="2">
        <v>1</v>
      </c>
      <c r="G47" s="2">
        <v>1</v>
      </c>
      <c r="H47" s="2">
        <v>8</v>
      </c>
      <c r="I47" t="s">
        <v>230</v>
      </c>
    </row>
    <row r="48" spans="1:9">
      <c r="A48" t="s">
        <v>228</v>
      </c>
      <c r="B48" t="s">
        <v>131</v>
      </c>
      <c r="C48" t="s">
        <v>68</v>
      </c>
      <c r="D48" t="s">
        <v>51</v>
      </c>
      <c r="E48" t="s">
        <v>54</v>
      </c>
      <c r="F48" s="2">
        <v>5</v>
      </c>
      <c r="G48" s="2">
        <v>2</v>
      </c>
      <c r="H48" s="2">
        <v>8</v>
      </c>
      <c r="I48" t="s">
        <v>230</v>
      </c>
    </row>
    <row r="49" spans="1:9">
      <c r="A49" t="s">
        <v>228</v>
      </c>
      <c r="B49" t="s">
        <v>131</v>
      </c>
      <c r="C49" t="s">
        <v>68</v>
      </c>
      <c r="D49" t="s">
        <v>51</v>
      </c>
      <c r="E49" t="s">
        <v>55</v>
      </c>
      <c r="F49" s="2">
        <v>4</v>
      </c>
      <c r="G49" s="2">
        <v>2</v>
      </c>
      <c r="H49" s="2">
        <v>8</v>
      </c>
      <c r="I49" t="s">
        <v>230</v>
      </c>
    </row>
    <row r="50" spans="1:9">
      <c r="A50" t="s">
        <v>228</v>
      </c>
      <c r="B50" t="s">
        <v>131</v>
      </c>
      <c r="C50" t="s">
        <v>68</v>
      </c>
      <c r="D50" t="s">
        <v>51</v>
      </c>
      <c r="E50" t="s">
        <v>56</v>
      </c>
      <c r="F50" s="2">
        <v>2</v>
      </c>
      <c r="G50" s="2">
        <v>1</v>
      </c>
      <c r="H50" s="2">
        <v>8</v>
      </c>
      <c r="I50" t="s">
        <v>230</v>
      </c>
    </row>
    <row r="51" spans="1:9">
      <c r="A51" t="s">
        <v>228</v>
      </c>
      <c r="B51" t="s">
        <v>131</v>
      </c>
      <c r="C51" t="s">
        <v>68</v>
      </c>
      <c r="D51" t="s">
        <v>51</v>
      </c>
      <c r="E51" t="s">
        <v>57</v>
      </c>
      <c r="F51" s="2">
        <v>1</v>
      </c>
      <c r="G51" s="2">
        <v>1</v>
      </c>
      <c r="H51" s="2">
        <v>8</v>
      </c>
      <c r="I51" t="s">
        <v>230</v>
      </c>
    </row>
    <row r="52" spans="1:9">
      <c r="A52" t="s">
        <v>228</v>
      </c>
      <c r="B52" t="s">
        <v>131</v>
      </c>
      <c r="C52" t="s">
        <v>75</v>
      </c>
      <c r="D52" t="s">
        <v>51</v>
      </c>
      <c r="E52" t="s">
        <v>52</v>
      </c>
      <c r="F52" s="2">
        <v>1</v>
      </c>
      <c r="G52" s="2">
        <v>1</v>
      </c>
      <c r="H52" s="2">
        <v>8</v>
      </c>
      <c r="I52" t="s">
        <v>231</v>
      </c>
    </row>
    <row r="53" spans="1:9">
      <c r="A53" t="s">
        <v>228</v>
      </c>
      <c r="B53" t="s">
        <v>131</v>
      </c>
      <c r="C53" t="s">
        <v>75</v>
      </c>
      <c r="D53" t="s">
        <v>51</v>
      </c>
      <c r="E53" t="s">
        <v>54</v>
      </c>
      <c r="F53" s="2">
        <v>5</v>
      </c>
      <c r="G53" s="2">
        <v>2</v>
      </c>
      <c r="H53" s="2">
        <v>8</v>
      </c>
      <c r="I53" t="s">
        <v>231</v>
      </c>
    </row>
    <row r="54" spans="1:9">
      <c r="A54" t="s">
        <v>228</v>
      </c>
      <c r="B54" t="s">
        <v>131</v>
      </c>
      <c r="C54" t="s">
        <v>75</v>
      </c>
      <c r="D54" t="s">
        <v>51</v>
      </c>
      <c r="E54" t="s">
        <v>55</v>
      </c>
      <c r="F54" s="2">
        <v>4</v>
      </c>
      <c r="G54" s="2">
        <v>2</v>
      </c>
      <c r="H54" s="2">
        <v>8</v>
      </c>
      <c r="I54" t="s">
        <v>231</v>
      </c>
    </row>
    <row r="55" spans="1:9">
      <c r="A55" t="s">
        <v>228</v>
      </c>
      <c r="B55" t="s">
        <v>131</v>
      </c>
      <c r="C55" t="s">
        <v>75</v>
      </c>
      <c r="D55" t="s">
        <v>51</v>
      </c>
      <c r="E55" t="s">
        <v>56</v>
      </c>
      <c r="F55" s="2">
        <v>2</v>
      </c>
      <c r="G55" s="2">
        <v>1</v>
      </c>
      <c r="H55" s="2">
        <v>8</v>
      </c>
      <c r="I55" t="s">
        <v>231</v>
      </c>
    </row>
    <row r="56" spans="1:9">
      <c r="A56" t="s">
        <v>228</v>
      </c>
      <c r="B56" t="s">
        <v>131</v>
      </c>
      <c r="C56" t="s">
        <v>75</v>
      </c>
      <c r="D56" t="s">
        <v>51</v>
      </c>
      <c r="E56" t="s">
        <v>57</v>
      </c>
      <c r="F56" s="2">
        <v>1</v>
      </c>
      <c r="G56" s="2">
        <v>1</v>
      </c>
      <c r="H56" s="2">
        <v>8</v>
      </c>
      <c r="I56" t="s">
        <v>231</v>
      </c>
    </row>
    <row r="57" spans="1:9">
      <c r="A57" t="s">
        <v>228</v>
      </c>
      <c r="B57" t="s">
        <v>169</v>
      </c>
      <c r="C57" t="s">
        <v>49</v>
      </c>
      <c r="D57" t="s">
        <v>51</v>
      </c>
      <c r="E57" t="s">
        <v>52</v>
      </c>
      <c r="F57" s="2">
        <v>1</v>
      </c>
      <c r="G57" s="2">
        <v>1</v>
      </c>
      <c r="H57" s="2">
        <v>8</v>
      </c>
      <c r="I57" t="s">
        <v>232</v>
      </c>
    </row>
    <row r="58" spans="1:9">
      <c r="A58" t="s">
        <v>228</v>
      </c>
      <c r="B58" t="s">
        <v>169</v>
      </c>
      <c r="C58" t="s">
        <v>49</v>
      </c>
      <c r="D58" t="s">
        <v>51</v>
      </c>
      <c r="E58" t="s">
        <v>54</v>
      </c>
      <c r="F58" s="2">
        <v>5</v>
      </c>
      <c r="G58" s="2">
        <v>2</v>
      </c>
      <c r="H58" s="2">
        <v>8</v>
      </c>
      <c r="I58" t="s">
        <v>232</v>
      </c>
    </row>
    <row r="59" spans="1:9">
      <c r="A59" t="s">
        <v>228</v>
      </c>
      <c r="B59" t="s">
        <v>169</v>
      </c>
      <c r="C59" t="s">
        <v>49</v>
      </c>
      <c r="D59" t="s">
        <v>51</v>
      </c>
      <c r="E59" t="s">
        <v>55</v>
      </c>
      <c r="F59" s="2">
        <v>4</v>
      </c>
      <c r="G59" s="2">
        <v>2</v>
      </c>
      <c r="H59" s="2">
        <v>8</v>
      </c>
      <c r="I59" t="s">
        <v>232</v>
      </c>
    </row>
    <row r="60" spans="1:9">
      <c r="A60" t="s">
        <v>228</v>
      </c>
      <c r="B60" t="s">
        <v>169</v>
      </c>
      <c r="C60" t="s">
        <v>49</v>
      </c>
      <c r="D60" t="s">
        <v>51</v>
      </c>
      <c r="E60" t="s">
        <v>56</v>
      </c>
      <c r="F60" s="2">
        <v>2</v>
      </c>
      <c r="G60" s="2">
        <v>1</v>
      </c>
      <c r="H60" s="2">
        <v>8</v>
      </c>
      <c r="I60" t="s">
        <v>232</v>
      </c>
    </row>
    <row r="61" spans="1:9">
      <c r="A61" t="s">
        <v>228</v>
      </c>
      <c r="B61" t="s">
        <v>169</v>
      </c>
      <c r="C61" t="s">
        <v>49</v>
      </c>
      <c r="D61" t="s">
        <v>51</v>
      </c>
      <c r="E61" t="s">
        <v>57</v>
      </c>
      <c r="F61" s="2">
        <v>1</v>
      </c>
      <c r="G61" s="2">
        <v>1</v>
      </c>
      <c r="H61" s="2">
        <v>8</v>
      </c>
      <c r="I61" t="s">
        <v>232</v>
      </c>
    </row>
    <row r="62" spans="1:9">
      <c r="A62" t="s">
        <v>228</v>
      </c>
      <c r="B62" t="s">
        <v>169</v>
      </c>
      <c r="C62" t="s">
        <v>68</v>
      </c>
      <c r="D62" t="s">
        <v>51</v>
      </c>
      <c r="E62" t="s">
        <v>52</v>
      </c>
      <c r="F62" s="2">
        <v>1</v>
      </c>
      <c r="G62" s="2">
        <v>1</v>
      </c>
      <c r="H62" s="2">
        <v>8</v>
      </c>
      <c r="I62" t="s">
        <v>233</v>
      </c>
    </row>
    <row r="63" spans="1:9">
      <c r="A63" t="s">
        <v>228</v>
      </c>
      <c r="B63" t="s">
        <v>169</v>
      </c>
      <c r="C63" t="s">
        <v>68</v>
      </c>
      <c r="D63" t="s">
        <v>51</v>
      </c>
      <c r="E63" t="s">
        <v>54</v>
      </c>
      <c r="F63" s="2">
        <v>5</v>
      </c>
      <c r="G63" s="2">
        <v>2</v>
      </c>
      <c r="H63" s="2">
        <v>8</v>
      </c>
      <c r="I63" t="s">
        <v>233</v>
      </c>
    </row>
    <row r="64" spans="1:9">
      <c r="A64" t="s">
        <v>228</v>
      </c>
      <c r="B64" t="s">
        <v>169</v>
      </c>
      <c r="C64" t="s">
        <v>68</v>
      </c>
      <c r="D64" t="s">
        <v>51</v>
      </c>
      <c r="E64" t="s">
        <v>55</v>
      </c>
      <c r="F64" s="2">
        <v>4</v>
      </c>
      <c r="G64" s="2">
        <v>2</v>
      </c>
      <c r="H64" s="2">
        <v>8</v>
      </c>
      <c r="I64" t="s">
        <v>233</v>
      </c>
    </row>
    <row r="65" spans="1:9">
      <c r="A65" t="s">
        <v>228</v>
      </c>
      <c r="B65" t="s">
        <v>169</v>
      </c>
      <c r="C65" t="s">
        <v>68</v>
      </c>
      <c r="D65" t="s">
        <v>51</v>
      </c>
      <c r="E65" t="s">
        <v>56</v>
      </c>
      <c r="F65" s="2">
        <v>2</v>
      </c>
      <c r="G65" s="2">
        <v>1</v>
      </c>
      <c r="H65" s="2">
        <v>8</v>
      </c>
      <c r="I65" t="s">
        <v>233</v>
      </c>
    </row>
    <row r="66" spans="1:9">
      <c r="A66" t="s">
        <v>228</v>
      </c>
      <c r="B66" t="s">
        <v>169</v>
      </c>
      <c r="C66" t="s">
        <v>68</v>
      </c>
      <c r="D66" t="s">
        <v>51</v>
      </c>
      <c r="E66" t="s">
        <v>57</v>
      </c>
      <c r="F66" s="2">
        <v>1</v>
      </c>
      <c r="G66" s="2">
        <v>1</v>
      </c>
      <c r="H66" s="2">
        <v>8</v>
      </c>
      <c r="I66" t="s">
        <v>233</v>
      </c>
    </row>
    <row r="67" spans="1:9">
      <c r="A67" t="s">
        <v>228</v>
      </c>
      <c r="B67" t="s">
        <v>169</v>
      </c>
      <c r="C67" t="s">
        <v>75</v>
      </c>
      <c r="D67" t="s">
        <v>51</v>
      </c>
      <c r="E67" t="s">
        <v>52</v>
      </c>
      <c r="F67" s="2">
        <v>1</v>
      </c>
      <c r="G67" s="2">
        <v>1</v>
      </c>
      <c r="H67" s="2">
        <v>8</v>
      </c>
      <c r="I67" t="s">
        <v>234</v>
      </c>
    </row>
    <row r="68" spans="1:9">
      <c r="A68" t="s">
        <v>228</v>
      </c>
      <c r="B68" t="s">
        <v>169</v>
      </c>
      <c r="C68" t="s">
        <v>75</v>
      </c>
      <c r="D68" t="s">
        <v>51</v>
      </c>
      <c r="E68" t="s">
        <v>54</v>
      </c>
      <c r="F68" s="2">
        <v>5</v>
      </c>
      <c r="G68" s="2">
        <v>2</v>
      </c>
      <c r="H68" s="2">
        <v>8</v>
      </c>
      <c r="I68" t="s">
        <v>234</v>
      </c>
    </row>
    <row r="69" spans="1:9">
      <c r="A69" t="s">
        <v>228</v>
      </c>
      <c r="B69" t="s">
        <v>169</v>
      </c>
      <c r="C69" t="s">
        <v>75</v>
      </c>
      <c r="D69" t="s">
        <v>51</v>
      </c>
      <c r="E69" t="s">
        <v>55</v>
      </c>
      <c r="F69" s="2">
        <v>4</v>
      </c>
      <c r="G69" s="2">
        <v>2</v>
      </c>
      <c r="H69" s="2">
        <v>8</v>
      </c>
      <c r="I69" t="s">
        <v>234</v>
      </c>
    </row>
    <row r="70" spans="1:9">
      <c r="A70" t="s">
        <v>228</v>
      </c>
      <c r="B70" t="s">
        <v>169</v>
      </c>
      <c r="C70" t="s">
        <v>75</v>
      </c>
      <c r="D70" t="s">
        <v>51</v>
      </c>
      <c r="E70" t="s">
        <v>56</v>
      </c>
      <c r="F70" s="2">
        <v>2</v>
      </c>
      <c r="G70" s="2">
        <v>1</v>
      </c>
      <c r="H70" s="2">
        <v>8</v>
      </c>
      <c r="I70" t="s">
        <v>234</v>
      </c>
    </row>
    <row r="71" spans="1:9">
      <c r="A71" t="s">
        <v>228</v>
      </c>
      <c r="B71" t="s">
        <v>169</v>
      </c>
      <c r="C71" t="s">
        <v>75</v>
      </c>
      <c r="D71" t="s">
        <v>51</v>
      </c>
      <c r="E71" t="s">
        <v>57</v>
      </c>
      <c r="F71" s="2">
        <v>1</v>
      </c>
      <c r="G71" s="2">
        <v>1</v>
      </c>
      <c r="H71" s="2">
        <v>8</v>
      </c>
      <c r="I71" t="s">
        <v>234</v>
      </c>
    </row>
    <row r="72" spans="1:9">
      <c r="A72" t="s">
        <v>228</v>
      </c>
      <c r="B72" t="s">
        <v>188</v>
      </c>
      <c r="C72" t="s">
        <v>49</v>
      </c>
      <c r="D72" t="s">
        <v>51</v>
      </c>
      <c r="E72" t="s">
        <v>52</v>
      </c>
      <c r="F72" s="2">
        <v>1</v>
      </c>
      <c r="G72" s="2">
        <v>1</v>
      </c>
      <c r="H72" s="2">
        <v>8</v>
      </c>
      <c r="I72" t="s">
        <v>235</v>
      </c>
    </row>
    <row r="73" spans="1:9">
      <c r="A73" t="s">
        <v>228</v>
      </c>
      <c r="B73" t="s">
        <v>188</v>
      </c>
      <c r="C73" t="s">
        <v>49</v>
      </c>
      <c r="D73" t="s">
        <v>51</v>
      </c>
      <c r="E73" t="s">
        <v>54</v>
      </c>
      <c r="F73" s="2">
        <v>5</v>
      </c>
      <c r="G73" s="2">
        <v>2</v>
      </c>
      <c r="H73" s="2">
        <v>8</v>
      </c>
      <c r="I73" t="s">
        <v>235</v>
      </c>
    </row>
    <row r="74" spans="1:9">
      <c r="A74" t="s">
        <v>228</v>
      </c>
      <c r="B74" t="s">
        <v>188</v>
      </c>
      <c r="C74" t="s">
        <v>49</v>
      </c>
      <c r="D74" t="s">
        <v>51</v>
      </c>
      <c r="E74" t="s">
        <v>55</v>
      </c>
      <c r="F74" s="2">
        <v>4</v>
      </c>
      <c r="G74" s="2">
        <v>2</v>
      </c>
      <c r="H74" s="2">
        <v>8</v>
      </c>
      <c r="I74" t="s">
        <v>235</v>
      </c>
    </row>
    <row r="75" spans="1:9">
      <c r="A75" t="s">
        <v>228</v>
      </c>
      <c r="B75" t="s">
        <v>188</v>
      </c>
      <c r="C75" t="s">
        <v>49</v>
      </c>
      <c r="D75" t="s">
        <v>51</v>
      </c>
      <c r="E75" t="s">
        <v>56</v>
      </c>
      <c r="F75" s="2">
        <v>2</v>
      </c>
      <c r="G75" s="2">
        <v>1</v>
      </c>
      <c r="H75" s="2">
        <v>8</v>
      </c>
      <c r="I75" t="s">
        <v>235</v>
      </c>
    </row>
    <row r="76" spans="1:9">
      <c r="A76" t="s">
        <v>228</v>
      </c>
      <c r="B76" t="s">
        <v>188</v>
      </c>
      <c r="C76" t="s">
        <v>49</v>
      </c>
      <c r="D76" t="s">
        <v>51</v>
      </c>
      <c r="E76" t="s">
        <v>57</v>
      </c>
      <c r="F76" s="2">
        <v>1</v>
      </c>
      <c r="G76" s="2">
        <v>1</v>
      </c>
      <c r="H76" s="2">
        <v>8</v>
      </c>
      <c r="I76" t="s">
        <v>235</v>
      </c>
    </row>
    <row r="77" spans="1:9">
      <c r="A77" t="s">
        <v>228</v>
      </c>
      <c r="B77" t="s">
        <v>188</v>
      </c>
      <c r="C77" t="s">
        <v>68</v>
      </c>
      <c r="D77" t="s">
        <v>51</v>
      </c>
      <c r="E77" t="s">
        <v>52</v>
      </c>
      <c r="F77" s="2">
        <v>1</v>
      </c>
      <c r="G77" s="2">
        <v>1</v>
      </c>
      <c r="H77" s="2">
        <v>8</v>
      </c>
      <c r="I77" t="s">
        <v>236</v>
      </c>
    </row>
    <row r="78" spans="1:9">
      <c r="A78" t="s">
        <v>228</v>
      </c>
      <c r="B78" t="s">
        <v>188</v>
      </c>
      <c r="C78" t="s">
        <v>68</v>
      </c>
      <c r="D78" t="s">
        <v>51</v>
      </c>
      <c r="E78" t="s">
        <v>54</v>
      </c>
      <c r="F78" s="2">
        <v>5</v>
      </c>
      <c r="G78" s="2">
        <v>2</v>
      </c>
      <c r="H78" s="2">
        <v>8</v>
      </c>
      <c r="I78" t="s">
        <v>236</v>
      </c>
    </row>
    <row r="79" spans="1:9">
      <c r="A79" t="s">
        <v>228</v>
      </c>
      <c r="B79" t="s">
        <v>188</v>
      </c>
      <c r="C79" t="s">
        <v>68</v>
      </c>
      <c r="D79" t="s">
        <v>51</v>
      </c>
      <c r="E79" t="s">
        <v>55</v>
      </c>
      <c r="F79" s="2">
        <v>4</v>
      </c>
      <c r="G79" s="2">
        <v>2</v>
      </c>
      <c r="H79" s="2">
        <v>8</v>
      </c>
      <c r="I79" t="s">
        <v>236</v>
      </c>
    </row>
    <row r="80" spans="1:9">
      <c r="A80" t="s">
        <v>228</v>
      </c>
      <c r="B80" t="s">
        <v>188</v>
      </c>
      <c r="C80" t="s">
        <v>68</v>
      </c>
      <c r="D80" t="s">
        <v>51</v>
      </c>
      <c r="E80" t="s">
        <v>56</v>
      </c>
      <c r="F80" s="2">
        <v>2</v>
      </c>
      <c r="G80" s="2">
        <v>1</v>
      </c>
      <c r="H80" s="2">
        <v>8</v>
      </c>
      <c r="I80" t="s">
        <v>236</v>
      </c>
    </row>
    <row r="81" spans="1:9">
      <c r="A81" t="s">
        <v>228</v>
      </c>
      <c r="B81" t="s">
        <v>188</v>
      </c>
      <c r="C81" t="s">
        <v>68</v>
      </c>
      <c r="D81" t="s">
        <v>51</v>
      </c>
      <c r="E81" t="s">
        <v>57</v>
      </c>
      <c r="F81" s="2">
        <v>1</v>
      </c>
      <c r="G81" s="2">
        <v>1</v>
      </c>
      <c r="H81" s="2">
        <v>8</v>
      </c>
      <c r="I81" t="s">
        <v>236</v>
      </c>
    </row>
    <row r="82" spans="1:9">
      <c r="A82" t="s">
        <v>228</v>
      </c>
      <c r="B82" t="s">
        <v>188</v>
      </c>
      <c r="C82" t="s">
        <v>75</v>
      </c>
      <c r="D82" t="s">
        <v>51</v>
      </c>
      <c r="E82" t="s">
        <v>52</v>
      </c>
      <c r="F82" s="2">
        <v>1</v>
      </c>
      <c r="G82" s="2">
        <v>1</v>
      </c>
      <c r="H82" s="2">
        <v>8</v>
      </c>
      <c r="I82" t="s">
        <v>237</v>
      </c>
    </row>
    <row r="83" spans="1:9">
      <c r="A83" t="s">
        <v>228</v>
      </c>
      <c r="B83" t="s">
        <v>188</v>
      </c>
      <c r="C83" t="s">
        <v>75</v>
      </c>
      <c r="D83" t="s">
        <v>51</v>
      </c>
      <c r="E83" t="s">
        <v>54</v>
      </c>
      <c r="F83" s="2">
        <v>5</v>
      </c>
      <c r="G83" s="2">
        <v>2</v>
      </c>
      <c r="H83" s="2">
        <v>8</v>
      </c>
      <c r="I83" t="s">
        <v>237</v>
      </c>
    </row>
    <row r="84" spans="1:9">
      <c r="A84" t="s">
        <v>228</v>
      </c>
      <c r="B84" t="s">
        <v>188</v>
      </c>
      <c r="C84" t="s">
        <v>75</v>
      </c>
      <c r="D84" t="s">
        <v>51</v>
      </c>
      <c r="E84" t="s">
        <v>55</v>
      </c>
      <c r="F84" s="2">
        <v>4</v>
      </c>
      <c r="G84" s="2">
        <v>2</v>
      </c>
      <c r="H84" s="2">
        <v>8</v>
      </c>
      <c r="I84" t="s">
        <v>237</v>
      </c>
    </row>
    <row r="85" spans="1:9">
      <c r="A85" t="s">
        <v>228</v>
      </c>
      <c r="B85" t="s">
        <v>188</v>
      </c>
      <c r="C85" t="s">
        <v>75</v>
      </c>
      <c r="D85" t="s">
        <v>51</v>
      </c>
      <c r="E85" t="s">
        <v>56</v>
      </c>
      <c r="F85" s="2">
        <v>2</v>
      </c>
      <c r="G85" s="2">
        <v>1</v>
      </c>
      <c r="H85" s="2">
        <v>8</v>
      </c>
      <c r="I85" t="s">
        <v>237</v>
      </c>
    </row>
    <row r="86" spans="1:9">
      <c r="A86" t="s">
        <v>228</v>
      </c>
      <c r="B86" t="s">
        <v>188</v>
      </c>
      <c r="C86" t="s">
        <v>75</v>
      </c>
      <c r="D86" t="s">
        <v>51</v>
      </c>
      <c r="E86" t="s">
        <v>57</v>
      </c>
      <c r="F86" s="2">
        <v>1</v>
      </c>
      <c r="G86" s="2">
        <v>1</v>
      </c>
      <c r="H86" s="2">
        <v>8</v>
      </c>
      <c r="I86" t="s">
        <v>237</v>
      </c>
    </row>
    <row r="87" spans="1:9">
      <c r="A87" t="s">
        <v>228</v>
      </c>
      <c r="B87" t="s">
        <v>150</v>
      </c>
      <c r="C87" t="s">
        <v>49</v>
      </c>
      <c r="D87" t="s">
        <v>51</v>
      </c>
      <c r="E87" t="s">
        <v>52</v>
      </c>
      <c r="F87" s="2">
        <v>1</v>
      </c>
      <c r="G87" s="2">
        <v>1</v>
      </c>
      <c r="H87" s="2">
        <v>8</v>
      </c>
      <c r="I87" t="s">
        <v>238</v>
      </c>
    </row>
    <row r="88" spans="1:9">
      <c r="A88" t="s">
        <v>228</v>
      </c>
      <c r="B88" t="s">
        <v>150</v>
      </c>
      <c r="C88" t="s">
        <v>49</v>
      </c>
      <c r="D88" t="s">
        <v>51</v>
      </c>
      <c r="E88" t="s">
        <v>54</v>
      </c>
      <c r="F88" s="2">
        <v>5</v>
      </c>
      <c r="G88" s="2">
        <v>2</v>
      </c>
      <c r="H88" s="2">
        <v>8</v>
      </c>
      <c r="I88" t="s">
        <v>238</v>
      </c>
    </row>
    <row r="89" spans="1:9">
      <c r="A89" t="s">
        <v>228</v>
      </c>
      <c r="B89" t="s">
        <v>150</v>
      </c>
      <c r="C89" t="s">
        <v>49</v>
      </c>
      <c r="D89" t="s">
        <v>51</v>
      </c>
      <c r="E89" t="s">
        <v>55</v>
      </c>
      <c r="F89" s="2">
        <v>4</v>
      </c>
      <c r="G89" s="2">
        <v>2</v>
      </c>
      <c r="H89" s="2">
        <v>8</v>
      </c>
      <c r="I89" t="s">
        <v>238</v>
      </c>
    </row>
    <row r="90" spans="1:9">
      <c r="A90" t="s">
        <v>228</v>
      </c>
      <c r="B90" t="s">
        <v>150</v>
      </c>
      <c r="C90" t="s">
        <v>49</v>
      </c>
      <c r="D90" t="s">
        <v>51</v>
      </c>
      <c r="E90" t="s">
        <v>56</v>
      </c>
      <c r="F90" s="2">
        <v>2</v>
      </c>
      <c r="G90" s="2">
        <v>1</v>
      </c>
      <c r="H90" s="2">
        <v>8</v>
      </c>
      <c r="I90" t="s">
        <v>238</v>
      </c>
    </row>
    <row r="91" spans="1:9">
      <c r="A91" t="s">
        <v>228</v>
      </c>
      <c r="B91" t="s">
        <v>150</v>
      </c>
      <c r="C91" t="s">
        <v>49</v>
      </c>
      <c r="D91" t="s">
        <v>51</v>
      </c>
      <c r="E91" t="s">
        <v>57</v>
      </c>
      <c r="F91" s="2">
        <v>1</v>
      </c>
      <c r="G91" s="2">
        <v>1</v>
      </c>
      <c r="H91" s="2">
        <v>8</v>
      </c>
      <c r="I91" t="s">
        <v>238</v>
      </c>
    </row>
    <row r="92" spans="1:9">
      <c r="A92" t="s">
        <v>228</v>
      </c>
      <c r="B92" t="s">
        <v>150</v>
      </c>
      <c r="C92" t="s">
        <v>68</v>
      </c>
      <c r="D92" t="s">
        <v>51</v>
      </c>
      <c r="E92" t="s">
        <v>52</v>
      </c>
      <c r="F92" s="2">
        <v>1</v>
      </c>
      <c r="G92" s="2">
        <v>1</v>
      </c>
      <c r="H92" s="2">
        <v>8</v>
      </c>
      <c r="I92" t="s">
        <v>239</v>
      </c>
    </row>
    <row r="93" spans="1:9">
      <c r="A93" t="s">
        <v>228</v>
      </c>
      <c r="B93" t="s">
        <v>150</v>
      </c>
      <c r="C93" t="s">
        <v>68</v>
      </c>
      <c r="D93" t="s">
        <v>51</v>
      </c>
      <c r="E93" t="s">
        <v>54</v>
      </c>
      <c r="F93" s="2">
        <v>5</v>
      </c>
      <c r="G93" s="2">
        <v>2</v>
      </c>
      <c r="H93" s="2">
        <v>8</v>
      </c>
      <c r="I93" t="s">
        <v>239</v>
      </c>
    </row>
    <row r="94" spans="1:9">
      <c r="A94" t="s">
        <v>228</v>
      </c>
      <c r="B94" t="s">
        <v>150</v>
      </c>
      <c r="C94" t="s">
        <v>68</v>
      </c>
      <c r="D94" t="s">
        <v>51</v>
      </c>
      <c r="E94" t="s">
        <v>55</v>
      </c>
      <c r="F94" s="2">
        <v>4</v>
      </c>
      <c r="G94" s="2">
        <v>2</v>
      </c>
      <c r="H94" s="2">
        <v>8</v>
      </c>
      <c r="I94" t="s">
        <v>239</v>
      </c>
    </row>
    <row r="95" spans="1:9">
      <c r="A95" t="s">
        <v>228</v>
      </c>
      <c r="B95" t="s">
        <v>150</v>
      </c>
      <c r="C95" t="s">
        <v>68</v>
      </c>
      <c r="D95" t="s">
        <v>51</v>
      </c>
      <c r="E95" t="s">
        <v>56</v>
      </c>
      <c r="F95" s="2">
        <v>2</v>
      </c>
      <c r="G95" s="2">
        <v>1</v>
      </c>
      <c r="H95" s="2">
        <v>8</v>
      </c>
      <c r="I95" t="s">
        <v>239</v>
      </c>
    </row>
    <row r="96" spans="1:9">
      <c r="A96" t="s">
        <v>228</v>
      </c>
      <c r="B96" t="s">
        <v>150</v>
      </c>
      <c r="C96" t="s">
        <v>68</v>
      </c>
      <c r="D96" t="s">
        <v>51</v>
      </c>
      <c r="E96" t="s">
        <v>57</v>
      </c>
      <c r="F96" s="2">
        <v>1</v>
      </c>
      <c r="G96" s="2">
        <v>1</v>
      </c>
      <c r="H96" s="2">
        <v>8</v>
      </c>
      <c r="I96" t="s">
        <v>239</v>
      </c>
    </row>
    <row r="97" spans="1:9">
      <c r="A97" t="s">
        <v>228</v>
      </c>
      <c r="B97" t="s">
        <v>150</v>
      </c>
      <c r="C97" t="s">
        <v>75</v>
      </c>
      <c r="D97" t="s">
        <v>51</v>
      </c>
      <c r="E97" t="s">
        <v>52</v>
      </c>
      <c r="F97" s="2">
        <v>1</v>
      </c>
      <c r="G97" s="2">
        <v>1</v>
      </c>
      <c r="H97" s="2">
        <v>8</v>
      </c>
      <c r="I97" t="s">
        <v>240</v>
      </c>
    </row>
    <row r="98" spans="1:9">
      <c r="A98" t="s">
        <v>228</v>
      </c>
      <c r="B98" t="s">
        <v>150</v>
      </c>
      <c r="C98" t="s">
        <v>75</v>
      </c>
      <c r="D98" t="s">
        <v>51</v>
      </c>
      <c r="E98" t="s">
        <v>54</v>
      </c>
      <c r="F98" s="2">
        <v>5</v>
      </c>
      <c r="G98" s="2">
        <v>2</v>
      </c>
      <c r="H98" s="2">
        <v>8</v>
      </c>
      <c r="I98" t="s">
        <v>240</v>
      </c>
    </row>
    <row r="99" spans="1:9">
      <c r="A99" t="s">
        <v>228</v>
      </c>
      <c r="B99" t="s">
        <v>150</v>
      </c>
      <c r="C99" t="s">
        <v>75</v>
      </c>
      <c r="D99" t="s">
        <v>51</v>
      </c>
      <c r="E99" t="s">
        <v>55</v>
      </c>
      <c r="F99" s="2">
        <v>4</v>
      </c>
      <c r="G99" s="2">
        <v>2</v>
      </c>
      <c r="H99" s="2">
        <v>8</v>
      </c>
      <c r="I99" t="s">
        <v>240</v>
      </c>
    </row>
    <row r="100" spans="1:9">
      <c r="A100" t="s">
        <v>228</v>
      </c>
      <c r="B100" t="s">
        <v>150</v>
      </c>
      <c r="C100" t="s">
        <v>75</v>
      </c>
      <c r="D100" t="s">
        <v>51</v>
      </c>
      <c r="E100" t="s">
        <v>56</v>
      </c>
      <c r="F100" s="2">
        <v>2</v>
      </c>
      <c r="G100" s="2">
        <v>1</v>
      </c>
      <c r="H100" s="2">
        <v>8</v>
      </c>
      <c r="I100" t="s">
        <v>240</v>
      </c>
    </row>
    <row r="101" spans="1:9">
      <c r="A101" t="s">
        <v>228</v>
      </c>
      <c r="B101" t="s">
        <v>150</v>
      </c>
      <c r="C101" t="s">
        <v>75</v>
      </c>
      <c r="D101" t="s">
        <v>51</v>
      </c>
      <c r="E101" t="s">
        <v>57</v>
      </c>
      <c r="F101" s="2">
        <v>1</v>
      </c>
      <c r="G101" s="2">
        <v>1</v>
      </c>
      <c r="H101" s="2">
        <v>8</v>
      </c>
      <c r="I101" t="s">
        <v>240</v>
      </c>
    </row>
    <row r="102" spans="1:9">
      <c r="A102" t="s">
        <v>228</v>
      </c>
      <c r="B102" t="s">
        <v>107</v>
      </c>
      <c r="C102" t="s">
        <v>49</v>
      </c>
      <c r="D102" t="s">
        <v>51</v>
      </c>
      <c r="E102" t="s">
        <v>52</v>
      </c>
      <c r="F102" s="2">
        <v>1</v>
      </c>
      <c r="G102" s="2">
        <v>1</v>
      </c>
      <c r="H102" s="2">
        <v>8</v>
      </c>
      <c r="I102" t="s">
        <v>241</v>
      </c>
    </row>
    <row r="103" spans="1:9">
      <c r="A103" t="s">
        <v>228</v>
      </c>
      <c r="B103" t="s">
        <v>107</v>
      </c>
      <c r="C103" t="s">
        <v>49</v>
      </c>
      <c r="D103" t="s">
        <v>51</v>
      </c>
      <c r="E103" t="s">
        <v>54</v>
      </c>
      <c r="F103" s="2">
        <v>5</v>
      </c>
      <c r="G103" s="2">
        <v>2</v>
      </c>
      <c r="H103" s="2">
        <v>8</v>
      </c>
      <c r="I103" t="s">
        <v>241</v>
      </c>
    </row>
    <row r="104" spans="1:9">
      <c r="A104" t="s">
        <v>228</v>
      </c>
      <c r="B104" t="s">
        <v>107</v>
      </c>
      <c r="C104" t="s">
        <v>49</v>
      </c>
      <c r="D104" t="s">
        <v>51</v>
      </c>
      <c r="E104" t="s">
        <v>55</v>
      </c>
      <c r="F104" s="2">
        <v>4</v>
      </c>
      <c r="G104" s="2">
        <v>2</v>
      </c>
      <c r="H104" s="2">
        <v>8</v>
      </c>
      <c r="I104" t="s">
        <v>241</v>
      </c>
    </row>
    <row r="105" spans="1:9">
      <c r="A105" t="s">
        <v>228</v>
      </c>
      <c r="B105" t="s">
        <v>107</v>
      </c>
      <c r="C105" t="s">
        <v>49</v>
      </c>
      <c r="D105" t="s">
        <v>51</v>
      </c>
      <c r="E105" t="s">
        <v>56</v>
      </c>
      <c r="F105" s="2">
        <v>2</v>
      </c>
      <c r="G105" s="2">
        <v>1</v>
      </c>
      <c r="H105" s="2">
        <v>8</v>
      </c>
      <c r="I105" t="s">
        <v>241</v>
      </c>
    </row>
    <row r="106" spans="1:9">
      <c r="A106" t="s">
        <v>228</v>
      </c>
      <c r="B106" t="s">
        <v>107</v>
      </c>
      <c r="C106" t="s">
        <v>49</v>
      </c>
      <c r="D106" t="s">
        <v>51</v>
      </c>
      <c r="E106" t="s">
        <v>57</v>
      </c>
      <c r="F106" s="2">
        <v>1</v>
      </c>
      <c r="G106" s="2">
        <v>1</v>
      </c>
      <c r="H106" s="2">
        <v>8</v>
      </c>
      <c r="I106" t="s">
        <v>241</v>
      </c>
    </row>
    <row r="107" spans="1:9">
      <c r="A107" t="s">
        <v>228</v>
      </c>
      <c r="B107" t="s">
        <v>107</v>
      </c>
      <c r="C107" t="s">
        <v>68</v>
      </c>
      <c r="D107" t="s">
        <v>51</v>
      </c>
      <c r="E107" t="s">
        <v>52</v>
      </c>
      <c r="F107" s="2">
        <v>1</v>
      </c>
      <c r="G107" s="2">
        <v>1</v>
      </c>
      <c r="H107" s="2">
        <v>8</v>
      </c>
      <c r="I107" t="s">
        <v>242</v>
      </c>
    </row>
    <row r="108" spans="1:9">
      <c r="A108" t="s">
        <v>228</v>
      </c>
      <c r="B108" t="s">
        <v>107</v>
      </c>
      <c r="C108" t="s">
        <v>68</v>
      </c>
      <c r="D108" t="s">
        <v>51</v>
      </c>
      <c r="E108" t="s">
        <v>54</v>
      </c>
      <c r="F108" s="2">
        <v>5</v>
      </c>
      <c r="G108" s="2">
        <v>2</v>
      </c>
      <c r="H108" s="2">
        <v>8</v>
      </c>
      <c r="I108" t="s">
        <v>242</v>
      </c>
    </row>
    <row r="109" spans="1:9">
      <c r="A109" t="s">
        <v>228</v>
      </c>
      <c r="B109" t="s">
        <v>107</v>
      </c>
      <c r="C109" t="s">
        <v>68</v>
      </c>
      <c r="D109" t="s">
        <v>51</v>
      </c>
      <c r="E109" t="s">
        <v>55</v>
      </c>
      <c r="F109" s="2">
        <v>4</v>
      </c>
      <c r="G109" s="2">
        <v>2</v>
      </c>
      <c r="H109" s="2">
        <v>8</v>
      </c>
      <c r="I109" t="s">
        <v>242</v>
      </c>
    </row>
    <row r="110" spans="1:9">
      <c r="A110" t="s">
        <v>228</v>
      </c>
      <c r="B110" t="s">
        <v>107</v>
      </c>
      <c r="C110" t="s">
        <v>68</v>
      </c>
      <c r="D110" t="s">
        <v>51</v>
      </c>
      <c r="E110" t="s">
        <v>56</v>
      </c>
      <c r="F110" s="2">
        <v>2</v>
      </c>
      <c r="G110" s="2">
        <v>1</v>
      </c>
      <c r="H110" s="2">
        <v>8</v>
      </c>
      <c r="I110" t="s">
        <v>242</v>
      </c>
    </row>
    <row r="111" spans="1:9">
      <c r="A111" t="s">
        <v>228</v>
      </c>
      <c r="B111" t="s">
        <v>107</v>
      </c>
      <c r="C111" t="s">
        <v>68</v>
      </c>
      <c r="D111" t="s">
        <v>51</v>
      </c>
      <c r="E111" t="s">
        <v>57</v>
      </c>
      <c r="F111" s="2">
        <v>1</v>
      </c>
      <c r="G111" s="2">
        <v>1</v>
      </c>
      <c r="H111" s="2">
        <v>8</v>
      </c>
      <c r="I111" t="s">
        <v>242</v>
      </c>
    </row>
    <row r="112" spans="1:9">
      <c r="A112" t="s">
        <v>228</v>
      </c>
      <c r="B112" t="s">
        <v>107</v>
      </c>
      <c r="C112" t="s">
        <v>75</v>
      </c>
      <c r="D112" t="s">
        <v>51</v>
      </c>
      <c r="E112" t="s">
        <v>52</v>
      </c>
      <c r="F112" s="2">
        <v>1</v>
      </c>
      <c r="G112" s="2">
        <v>1</v>
      </c>
      <c r="H112" s="2">
        <v>8</v>
      </c>
      <c r="I112" t="s">
        <v>243</v>
      </c>
    </row>
    <row r="113" spans="1:9">
      <c r="A113" t="s">
        <v>228</v>
      </c>
      <c r="B113" t="s">
        <v>107</v>
      </c>
      <c r="C113" t="s">
        <v>75</v>
      </c>
      <c r="D113" t="s">
        <v>51</v>
      </c>
      <c r="E113" t="s">
        <v>54</v>
      </c>
      <c r="F113" s="2">
        <v>5</v>
      </c>
      <c r="G113" s="2">
        <v>2</v>
      </c>
      <c r="H113" s="2">
        <v>8</v>
      </c>
      <c r="I113" t="s">
        <v>243</v>
      </c>
    </row>
    <row r="114" spans="1:9">
      <c r="A114" t="s">
        <v>228</v>
      </c>
      <c r="B114" t="s">
        <v>107</v>
      </c>
      <c r="C114" t="s">
        <v>75</v>
      </c>
      <c r="D114" t="s">
        <v>51</v>
      </c>
      <c r="E114" t="s">
        <v>55</v>
      </c>
      <c r="F114" s="2">
        <v>4</v>
      </c>
      <c r="G114" s="2">
        <v>2</v>
      </c>
      <c r="H114" s="2">
        <v>8</v>
      </c>
      <c r="I114" t="s">
        <v>243</v>
      </c>
    </row>
    <row r="115" spans="1:9">
      <c r="A115" t="s">
        <v>228</v>
      </c>
      <c r="B115" t="s">
        <v>107</v>
      </c>
      <c r="C115" t="s">
        <v>75</v>
      </c>
      <c r="D115" t="s">
        <v>51</v>
      </c>
      <c r="E115" t="s">
        <v>56</v>
      </c>
      <c r="F115" s="2">
        <v>2</v>
      </c>
      <c r="G115" s="2">
        <v>1</v>
      </c>
      <c r="H115" s="2">
        <v>8</v>
      </c>
      <c r="I115" t="s">
        <v>243</v>
      </c>
    </row>
    <row r="116" spans="1:9">
      <c r="A116" t="s">
        <v>228</v>
      </c>
      <c r="B116" t="s">
        <v>107</v>
      </c>
      <c r="C116" t="s">
        <v>75</v>
      </c>
      <c r="D116" t="s">
        <v>51</v>
      </c>
      <c r="E116" t="s">
        <v>57</v>
      </c>
      <c r="F116" s="2">
        <v>1</v>
      </c>
      <c r="G116" s="2">
        <v>1</v>
      </c>
      <c r="H116" s="2">
        <v>8</v>
      </c>
      <c r="I116" t="s">
        <v>243</v>
      </c>
    </row>
  </sheetData>
  <autoFilter ref="A1:I116" xr:uid="{00000000-0009-0000-0000-000008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README</vt:lpstr>
      <vt:lpstr>Summary</vt:lpstr>
      <vt:lpstr>Genus_PerFlag</vt:lpstr>
      <vt:lpstr>Genus_MacroAvg</vt:lpstr>
      <vt:lpstr>ASV_PerFlag</vt:lpstr>
      <vt:lpstr>ASV_MacroAvg</vt:lpstr>
      <vt:lpstr>TaxLevel_PerFlag</vt:lpstr>
      <vt:lpstr>TaxLevel_MacroAvg</vt:lpstr>
      <vt:lpstr>Combined_MacroAvg</vt:lpstr>
      <vt:lpstr>Label_Support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최수진(환경공학부)</cp:lastModifiedBy>
  <dcterms:created xsi:type="dcterms:W3CDTF">2026-09-10T19:36:12Z</dcterms:created>
  <dcterms:modified xsi:type="dcterms:W3CDTF">2026-09-10T19:56:25Z</dcterms:modified>
</cp:coreProperties>
</file>